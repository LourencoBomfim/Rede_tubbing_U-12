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ndradegutierrez365-my.sharepoint.com/personal/lourenco_bomfim_agnet_com_br/Documents/INFRAESTRUTURA/BASE TUBBING/"/>
    </mc:Choice>
  </mc:AlternateContent>
  <xr:revisionPtr revIDLastSave="55" documentId="11_7AB76715651D6620DCC92B51E6123563CB87EF3C" xr6:coauthVersionLast="47" xr6:coauthVersionMax="47" xr10:uidLastSave="{83EF13A0-00DF-49B4-950F-D34E46F81277}"/>
  <bookViews>
    <workbookView xWindow="19090" yWindow="-110" windowWidth="19420" windowHeight="10300" tabRatio="500" xr2:uid="{00000000-000D-0000-FFFF-FFFF00000000}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Planilha1!$A$2:$AU$880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L853" i="1" l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52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P830" i="1" s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593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279" i="1"/>
  <c r="AL274" i="1"/>
  <c r="AL275" i="1"/>
  <c r="AL276" i="1"/>
  <c r="AL277" i="1"/>
  <c r="AL278" i="1"/>
  <c r="AL273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26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09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173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96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3" i="1"/>
  <c r="AS851" i="1"/>
  <c r="AR851" i="1"/>
  <c r="AQ851" i="1"/>
  <c r="AS850" i="1"/>
  <c r="AR850" i="1"/>
  <c r="AQ850" i="1"/>
  <c r="AS849" i="1"/>
  <c r="AR849" i="1"/>
  <c r="AQ849" i="1"/>
  <c r="AS848" i="1"/>
  <c r="AR848" i="1"/>
  <c r="AQ848" i="1"/>
  <c r="AS847" i="1"/>
  <c r="AR847" i="1"/>
  <c r="AQ847" i="1"/>
  <c r="AS846" i="1"/>
  <c r="AR846" i="1"/>
  <c r="AQ846" i="1"/>
  <c r="AS845" i="1"/>
  <c r="AR845" i="1"/>
  <c r="AQ845" i="1"/>
  <c r="AS844" i="1"/>
  <c r="AR844" i="1"/>
  <c r="AQ844" i="1"/>
  <c r="AS843" i="1"/>
  <c r="AR843" i="1"/>
  <c r="AQ843" i="1"/>
  <c r="AP843" i="1"/>
  <c r="AS842" i="1"/>
  <c r="AR842" i="1"/>
  <c r="AQ842" i="1"/>
  <c r="AS841" i="1"/>
  <c r="AR841" i="1"/>
  <c r="AQ841" i="1"/>
  <c r="AS840" i="1"/>
  <c r="AR840" i="1"/>
  <c r="AQ840" i="1"/>
  <c r="AS839" i="1"/>
  <c r="AR839" i="1"/>
  <c r="AQ839" i="1"/>
  <c r="AS838" i="1"/>
  <c r="AR838" i="1"/>
  <c r="AQ838" i="1"/>
  <c r="AS837" i="1"/>
  <c r="AR837" i="1"/>
  <c r="AQ837" i="1"/>
  <c r="AS836" i="1"/>
  <c r="AR836" i="1"/>
  <c r="AQ836" i="1"/>
  <c r="AS835" i="1"/>
  <c r="AR835" i="1"/>
  <c r="AQ835" i="1"/>
  <c r="AS834" i="1"/>
  <c r="AR834" i="1"/>
  <c r="AQ834" i="1"/>
  <c r="AS833" i="1"/>
  <c r="AR833" i="1"/>
  <c r="AQ833" i="1"/>
  <c r="AS832" i="1"/>
  <c r="AR832" i="1"/>
  <c r="AQ832" i="1"/>
  <c r="AS831" i="1"/>
  <c r="AR831" i="1"/>
  <c r="AQ831" i="1"/>
  <c r="AS830" i="1"/>
  <c r="AR830" i="1"/>
  <c r="AQ830" i="1"/>
  <c r="AS829" i="1"/>
  <c r="AR829" i="1"/>
  <c r="AQ829" i="1"/>
  <c r="AS828" i="1"/>
  <c r="AR828" i="1"/>
  <c r="AQ828" i="1"/>
  <c r="AS827" i="1"/>
  <c r="AR827" i="1"/>
  <c r="AQ827" i="1"/>
  <c r="AS826" i="1"/>
  <c r="AR826" i="1"/>
  <c r="AQ826" i="1"/>
  <c r="AS825" i="1"/>
  <c r="AR825" i="1"/>
  <c r="AQ825" i="1"/>
  <c r="AS824" i="1"/>
  <c r="AR824" i="1"/>
  <c r="AQ824" i="1"/>
  <c r="AS823" i="1"/>
  <c r="AR823" i="1"/>
  <c r="AQ823" i="1"/>
  <c r="AS822" i="1"/>
  <c r="AR822" i="1"/>
  <c r="AQ822" i="1"/>
  <c r="AS821" i="1"/>
  <c r="AR821" i="1"/>
  <c r="AQ821" i="1"/>
  <c r="AS820" i="1"/>
  <c r="AR820" i="1"/>
  <c r="AQ820" i="1"/>
  <c r="AS819" i="1"/>
  <c r="AR819" i="1"/>
  <c r="AQ819" i="1"/>
  <c r="AS818" i="1"/>
  <c r="AR818" i="1"/>
  <c r="AQ818" i="1"/>
  <c r="AS817" i="1"/>
  <c r="AR817" i="1"/>
  <c r="AQ817" i="1"/>
  <c r="AS816" i="1"/>
  <c r="AR816" i="1"/>
  <c r="AQ816" i="1"/>
  <c r="AS815" i="1"/>
  <c r="AR815" i="1"/>
  <c r="AQ815" i="1"/>
  <c r="AS814" i="1"/>
  <c r="AR814" i="1"/>
  <c r="AQ814" i="1"/>
  <c r="AS813" i="1"/>
  <c r="AR813" i="1"/>
  <c r="AQ813" i="1"/>
  <c r="AS812" i="1"/>
  <c r="AR812" i="1"/>
  <c r="AQ812" i="1"/>
  <c r="AS811" i="1"/>
  <c r="AR811" i="1"/>
  <c r="AQ811" i="1"/>
  <c r="AS810" i="1"/>
  <c r="AR810" i="1"/>
  <c r="AQ810" i="1"/>
  <c r="AS809" i="1"/>
  <c r="AR809" i="1"/>
  <c r="AQ809" i="1"/>
  <c r="AS808" i="1"/>
  <c r="AR808" i="1"/>
  <c r="AQ808" i="1"/>
  <c r="AP831" i="1" l="1"/>
  <c r="AP832" i="1"/>
  <c r="AT832" i="1" s="1"/>
  <c r="AP833" i="1"/>
  <c r="AT833" i="1" s="1"/>
  <c r="AP834" i="1"/>
  <c r="AT834" i="1" s="1"/>
  <c r="AP836" i="1"/>
  <c r="AT836" i="1" s="1"/>
  <c r="AP837" i="1"/>
  <c r="AP838" i="1"/>
  <c r="AT838" i="1" s="1"/>
  <c r="AP844" i="1"/>
  <c r="AT844" i="1" s="1"/>
  <c r="AP845" i="1"/>
  <c r="AT845" i="1" s="1"/>
  <c r="AP851" i="1"/>
  <c r="AT851" i="1" s="1"/>
  <c r="AP850" i="1"/>
  <c r="AT850" i="1" s="1"/>
  <c r="AP849" i="1"/>
  <c r="AP848" i="1"/>
  <c r="AT848" i="1" s="1"/>
  <c r="AP847" i="1"/>
  <c r="AP846" i="1"/>
  <c r="AT846" i="1" s="1"/>
  <c r="AP825" i="1"/>
  <c r="AT825" i="1" s="1"/>
  <c r="AP810" i="1"/>
  <c r="AT810" i="1" s="1"/>
  <c r="AP822" i="1"/>
  <c r="AP819" i="1"/>
  <c r="AT819" i="1" s="1"/>
  <c r="AP814" i="1"/>
  <c r="AT814" i="1" s="1"/>
  <c r="AP827" i="1"/>
  <c r="AT827" i="1" s="1"/>
  <c r="AP829" i="1"/>
  <c r="AT829" i="1" s="1"/>
  <c r="AP840" i="1"/>
  <c r="AT840" i="1" s="1"/>
  <c r="AP826" i="1"/>
  <c r="AT826" i="1" s="1"/>
  <c r="AP813" i="1"/>
  <c r="AT813" i="1" s="1"/>
  <c r="AP820" i="1"/>
  <c r="AT820" i="1" s="1"/>
  <c r="AP823" i="1"/>
  <c r="AT823" i="1" s="1"/>
  <c r="AP818" i="1"/>
  <c r="AT818" i="1" s="1"/>
  <c r="AP839" i="1"/>
  <c r="AT839" i="1" s="1"/>
  <c r="AP841" i="1"/>
  <c r="AT841" i="1" s="1"/>
  <c r="AP812" i="1"/>
  <c r="AT812" i="1" s="1"/>
  <c r="AP835" i="1"/>
  <c r="AT835" i="1" s="1"/>
  <c r="AP809" i="1"/>
  <c r="AT809" i="1" s="1"/>
  <c r="AP815" i="1"/>
  <c r="AT815" i="1" s="1"/>
  <c r="AP817" i="1"/>
  <c r="AT817" i="1" s="1"/>
  <c r="AP808" i="1"/>
  <c r="AT808" i="1" s="1"/>
  <c r="AP828" i="1"/>
  <c r="AT828" i="1" s="1"/>
  <c r="AP811" i="1"/>
  <c r="AT811" i="1" s="1"/>
  <c r="AP842" i="1"/>
  <c r="AT842" i="1" s="1"/>
  <c r="AP821" i="1"/>
  <c r="AT821" i="1" s="1"/>
  <c r="AP824" i="1"/>
  <c r="AT824" i="1" s="1"/>
  <c r="AP816" i="1"/>
  <c r="AT816" i="1" s="1"/>
  <c r="AT837" i="1"/>
  <c r="AT843" i="1"/>
  <c r="AT822" i="1"/>
  <c r="AT849" i="1"/>
  <c r="AT847" i="1"/>
  <c r="AT831" i="1"/>
  <c r="AT830" i="1"/>
</calcChain>
</file>

<file path=xl/sharedStrings.xml><?xml version="1.0" encoding="utf-8"?>
<sst xmlns="http://schemas.openxmlformats.org/spreadsheetml/2006/main" count="18298" uniqueCount="2853">
  <si>
    <t>FINAL STATUS</t>
  </si>
  <si>
    <t>VÍNCULO COM O DESENHO</t>
  </si>
  <si>
    <t>ACOMPANHAMENTO (preencher)</t>
  </si>
  <si>
    <t>RESUMO DO POTE (automático)</t>
  </si>
  <si>
    <t>TAG</t>
  </si>
  <si>
    <t>Unidade</t>
  </si>
  <si>
    <t>Área</t>
  </si>
  <si>
    <t>Tipo de spool</t>
  </si>
  <si>
    <t>FLUIDO</t>
  </si>
  <si>
    <t>SOP</t>
  </si>
  <si>
    <t>SUBSOP</t>
  </si>
  <si>
    <t>PIR</t>
  </si>
  <si>
    <t>SOP_PRIORITÁRIO</t>
  </si>
  <si>
    <t>SISTEMA</t>
  </si>
  <si>
    <t>Linha</t>
  </si>
  <si>
    <t>Spool</t>
  </si>
  <si>
    <t>Rev</t>
  </si>
  <si>
    <t>Ø</t>
  </si>
  <si>
    <t>Ø mm</t>
  </si>
  <si>
    <t>ESP</t>
  </si>
  <si>
    <t>Peso (kg)</t>
  </si>
  <si>
    <t>Comp (m)</t>
  </si>
  <si>
    <t>Area_m²</t>
  </si>
  <si>
    <t>Cond_Pint</t>
  </si>
  <si>
    <t>Mat</t>
  </si>
  <si>
    <t>DESCRIÇÃO COMPLETA DO MATERIAL</t>
  </si>
  <si>
    <t>PNUMBER</t>
  </si>
  <si>
    <t>STATUS DE MONTAGEM (SGERMON)</t>
  </si>
  <si>
    <t>CATEGORIA</t>
  </si>
  <si>
    <t>POTE</t>
  </si>
  <si>
    <t>LADO</t>
  </si>
  <si>
    <t>POSIÇÃO</t>
  </si>
  <si>
    <t>ITEM CHZ-113</t>
  </si>
  <si>
    <t>LESTE</t>
  </si>
  <si>
    <t>NORTE</t>
  </si>
  <si>
    <t>ELEVAÇÃO</t>
  </si>
  <si>
    <t>TAG NO DESENHO</t>
  </si>
  <si>
    <t>ZONA / FORNO</t>
  </si>
  <si>
    <t>FILEIRA</t>
  </si>
  <si>
    <t>AR DE SERVIÇO MONTADO</t>
  </si>
  <si>
    <t>POTE MONTADO</t>
  </si>
  <si>
    <t>VÁLVULA MONTADA</t>
  </si>
  <si>
    <t>TUBING MONTADO</t>
  </si>
  <si>
    <t>LINHA DE PROCESSO MONTADA</t>
  </si>
  <si>
    <t>INSTRUMENTO MONTADO</t>
  </si>
  <si>
    <t>VÁLV. MONTADAS</t>
  </si>
  <si>
    <t>TOTAL VÁLV.</t>
  </si>
  <si>
    <t>TUBINGS MONTADOS</t>
  </si>
  <si>
    <t>TOTAL TUBINGS</t>
  </si>
  <si>
    <t>% AVANÇO</t>
  </si>
  <si>
    <t>OBSERVAÇÃO</t>
  </si>
  <si>
    <t>AIT-120600</t>
  </si>
  <si>
    <t>U-12</t>
  </si>
  <si>
    <t>TUBBING</t>
  </si>
  <si>
    <t>PRO</t>
  </si>
  <si>
    <t>0012-0103-0034</t>
  </si>
  <si>
    <t>0012-0103-0034-001</t>
  </si>
  <si>
    <t>0002056</t>
  </si>
  <si>
    <t>SIM</t>
  </si>
  <si>
    <t>Subsistema F-12001 A</t>
  </si>
  <si>
    <t>1/2"-U12-PRO-AIT-120600-TUB</t>
  </si>
  <si>
    <t>001</t>
  </si>
  <si>
    <t>2</t>
  </si>
  <si>
    <t>1/2</t>
  </si>
  <si>
    <t>004</t>
  </si>
  <si>
    <t>AI</t>
  </si>
  <si>
    <t>ASTM A269 GR. TP316L SC Minimo de 2,5% Mo</t>
  </si>
  <si>
    <t>8</t>
  </si>
  <si>
    <t>Aguardando Programação de Montagem</t>
  </si>
  <si>
    <t>INSTRUMENTO</t>
  </si>
  <si>
    <t>Não montado</t>
  </si>
  <si>
    <t>AIT-120601</t>
  </si>
  <si>
    <t>0002057</t>
  </si>
  <si>
    <t>1/2"-U12-PRO-AIT-120601-TUB</t>
  </si>
  <si>
    <t>AIT-120700</t>
  </si>
  <si>
    <t>0012-0103-0034-002</t>
  </si>
  <si>
    <t>0002058</t>
  </si>
  <si>
    <t>Subsistema F-12001B</t>
  </si>
  <si>
    <t>1/2"-U12-PRO-AIT-120700-TUB</t>
  </si>
  <si>
    <t>AIT-120701</t>
  </si>
  <si>
    <t>0002059</t>
  </si>
  <si>
    <t>1/2"-U12-PRO-AIT-120701-TUB</t>
  </si>
  <si>
    <t>FIT-120003</t>
  </si>
  <si>
    <t>0012-0062-0039</t>
  </si>
  <si>
    <t>0012-0062-0039-001</t>
  </si>
  <si>
    <t>0005323</t>
  </si>
  <si>
    <t>Subsistema Diesel Pesado BOMBA DE DIESEL PESADO A</t>
  </si>
  <si>
    <t>1/2"-U12-PRO-FIT-120003-TUB</t>
  </si>
  <si>
    <t>FIT-120004</t>
  </si>
  <si>
    <t>0012-0111-0042</t>
  </si>
  <si>
    <t>0012-0111-0042-001</t>
  </si>
  <si>
    <t>0005324</t>
  </si>
  <si>
    <t>Subsistema Querosene BOMBA DE QUEROSENE BOMBA A</t>
  </si>
  <si>
    <t>1/2"-U12-PRO-FIT-120004-TUB</t>
  </si>
  <si>
    <t>FIT-120005</t>
  </si>
  <si>
    <t>0012-0110-0041</t>
  </si>
  <si>
    <t>0012-0110-0041-001</t>
  </si>
  <si>
    <t>0005325</t>
  </si>
  <si>
    <t>Subsistema Diesel Leve - B-12012A - U12</t>
  </si>
  <si>
    <t>1/2"-U12-PRO-FIT-120005-TUB</t>
  </si>
  <si>
    <t>FIT-120009</t>
  </si>
  <si>
    <t>0012-0133-0066</t>
  </si>
  <si>
    <t>0012-0133-0066-001</t>
  </si>
  <si>
    <t>0005326</t>
  </si>
  <si>
    <t>Subsistema de Água para Dessalgação - B-12025A</t>
  </si>
  <si>
    <t>1/2"-U12-PRO-FIT-120009-TUB</t>
  </si>
  <si>
    <t>FIT-120010</t>
  </si>
  <si>
    <t>0006677</t>
  </si>
  <si>
    <t>1/2"-U12-PRO-FIT-120010-TUB</t>
  </si>
  <si>
    <t>FIT-120011</t>
  </si>
  <si>
    <t>0006678</t>
  </si>
  <si>
    <t>1/2"-U12-PRO-FIT-120011-TUB</t>
  </si>
  <si>
    <t>FIT-120012</t>
  </si>
  <si>
    <t>0006679</t>
  </si>
  <si>
    <t>1/2"-U12-PRO-FIT-120012-TUB</t>
  </si>
  <si>
    <t>FIT-120013</t>
  </si>
  <si>
    <t>0012-0131-0064</t>
  </si>
  <si>
    <t>0012-0131-0064-003</t>
  </si>
  <si>
    <t>0006680</t>
  </si>
  <si>
    <t>BOMBA DE MUDWASH DO 1º ESTAGIO - B-12004A</t>
  </si>
  <si>
    <t>1/2"-U12-PRO-FIT-120013-TUB</t>
  </si>
  <si>
    <t>FIT-120014</t>
  </si>
  <si>
    <t>0012-0131-0064-005</t>
  </si>
  <si>
    <t>0006681</t>
  </si>
  <si>
    <t>NÃO</t>
  </si>
  <si>
    <t>BOMBA DE MUDWASH DO 1º ESTAGIO - B-12004C</t>
  </si>
  <si>
    <t>1/2"-U12-PRO-FIT-120014-TUB</t>
  </si>
  <si>
    <t>FIT-120015</t>
  </si>
  <si>
    <t>0012-0131-0064-010</t>
  </si>
  <si>
    <t>0006682</t>
  </si>
  <si>
    <t>BOMBA DE MUDWASH DO 2º ESTAGIO - B-12032C</t>
  </si>
  <si>
    <t>1/2"-U12-PRO-FIT-120015-TUB</t>
  </si>
  <si>
    <t>FIT-120016</t>
  </si>
  <si>
    <t>0012-0131-0064-008</t>
  </si>
  <si>
    <t>0006683</t>
  </si>
  <si>
    <t>BOMBA DE MUDWASH DO 2º ESTAGIO - B-12032A</t>
  </si>
  <si>
    <t>1/2"-U12-PRO-FIT-120016-TUB</t>
  </si>
  <si>
    <t>FIT-120017</t>
  </si>
  <si>
    <t>0006684</t>
  </si>
  <si>
    <t>1/2"-U12-PRO-FIT-120017-TUB</t>
  </si>
  <si>
    <t>FIT-120018</t>
  </si>
  <si>
    <t>0012-0102-0033</t>
  </si>
  <si>
    <t>0012-0102-0033-001</t>
  </si>
  <si>
    <t>0005327</t>
  </si>
  <si>
    <t>Subsistema de Pré-vaporização do cru (2ª e 3ª baterias) e V-12001 e linha até o Forno - B-12002A</t>
  </si>
  <si>
    <t>1/2"-U12-PRO-FIT-120018-TUB</t>
  </si>
  <si>
    <t>FIT-120019</t>
  </si>
  <si>
    <t>0005328</t>
  </si>
  <si>
    <t>1/2"-U12-PRO-FIT-120019-TUB</t>
  </si>
  <si>
    <t>FIT-120020A</t>
  </si>
  <si>
    <t>0005329</t>
  </si>
  <si>
    <t>1/2"-U12-PRO-FIT-120020A-TUB</t>
  </si>
  <si>
    <t>FIT-120020B</t>
  </si>
  <si>
    <t>0005330</t>
  </si>
  <si>
    <t>1/2"-U12-PRO-FIT-120020B-TUB</t>
  </si>
  <si>
    <t>FIT-120021A</t>
  </si>
  <si>
    <t>0005331</t>
  </si>
  <si>
    <t>1/2"-U12-PRO-FIT-120021A-TUB</t>
  </si>
  <si>
    <t>FIT-120021B</t>
  </si>
  <si>
    <t>0005332</t>
  </si>
  <si>
    <t>1/2"-U12-PRO-FIT-120021B-TUB</t>
  </si>
  <si>
    <t>FIT-120022A</t>
  </si>
  <si>
    <t>0005333</t>
  </si>
  <si>
    <t>1/2"-U12-PRO-FIT-120022A-TUB</t>
  </si>
  <si>
    <t>FIT-120022B</t>
  </si>
  <si>
    <t>0005334</t>
  </si>
  <si>
    <t>1/2"-U12-PRO-FIT-120022B-TUB</t>
  </si>
  <si>
    <t>FIT-120023A</t>
  </si>
  <si>
    <t>0005335</t>
  </si>
  <si>
    <t>1/2"-U12-PRO-FIT-120023A-TUB</t>
  </si>
  <si>
    <t>FIT-120023B</t>
  </si>
  <si>
    <t>0005336</t>
  </si>
  <si>
    <t>1/2"-U12-PRO-FIT-120023B-TUB</t>
  </si>
  <si>
    <t>FIT-120024A</t>
  </si>
  <si>
    <t>0012-0102-0033-002</t>
  </si>
  <si>
    <t>0005337</t>
  </si>
  <si>
    <t>Subsistema de Pré-vaporização do cru (2ª e 3ª baterias) e V-12001 e linha até o Forno - B-12002B</t>
  </si>
  <si>
    <t>1/2"-U12-PRO-FIT-120024A-TUB</t>
  </si>
  <si>
    <t>FIT-120024B</t>
  </si>
  <si>
    <t>0005338</t>
  </si>
  <si>
    <t>1/2"-U12-PRO-FIT-120024B-TUB</t>
  </si>
  <si>
    <t>FIT-120025A</t>
  </si>
  <si>
    <t>0005339</t>
  </si>
  <si>
    <t>1/2"-U12-PRO-FIT-120025A-TUB</t>
  </si>
  <si>
    <t>FIT-120025B</t>
  </si>
  <si>
    <t>0005340</t>
  </si>
  <si>
    <t>1/2"-U12-PRO-FIT-120025B-TUB</t>
  </si>
  <si>
    <t>FIT-120026A</t>
  </si>
  <si>
    <t>0005341</t>
  </si>
  <si>
    <t>1/2"-U12-PRO-FIT-120026A-TUB</t>
  </si>
  <si>
    <t>FIT-120026B</t>
  </si>
  <si>
    <t>0005342</t>
  </si>
  <si>
    <t>1/2"-U12-PRO-FIT-120026B-TUB</t>
  </si>
  <si>
    <t>FIT-120027A</t>
  </si>
  <si>
    <t>0005343</t>
  </si>
  <si>
    <t>1/2"-U12-PRO-FIT-120027A-TUB</t>
  </si>
  <si>
    <t>FIT-120027B</t>
  </si>
  <si>
    <t>0005344</t>
  </si>
  <si>
    <t>1/2"-U12-PRO-FIT-120027B-TUB</t>
  </si>
  <si>
    <t>FIT-120028</t>
  </si>
  <si>
    <t>0012-0109-0040</t>
  </si>
  <si>
    <t>0012-0109-0040-001</t>
  </si>
  <si>
    <t>0005345</t>
  </si>
  <si>
    <t>Subsistema Refluxo circulante intermediário - Bomba de refluxo circulante intermediário A</t>
  </si>
  <si>
    <t>1/2"-U12-PRO-FIT-120028-TUB</t>
  </si>
  <si>
    <t>FIT-120029</t>
  </si>
  <si>
    <t>0012-0107-0038</t>
  </si>
  <si>
    <t>0012-0107-0038-001</t>
  </si>
  <si>
    <t>0005346</t>
  </si>
  <si>
    <t>Subsistema circulante de fundo - BOMBA DE REFLUXO CIRCULANTE DE FUNDO A</t>
  </si>
  <si>
    <t>1/2"-U12-PRO-FIT-120029-TUB</t>
  </si>
  <si>
    <t>FIT-120030</t>
  </si>
  <si>
    <t>0012-0106-0037</t>
  </si>
  <si>
    <t>0012-0106-0037-001</t>
  </si>
  <si>
    <t>0005347</t>
  </si>
  <si>
    <t>Subsistema Sobrevaporizado B-12015A</t>
  </si>
  <si>
    <t>1/2"-U12-PRO-FIT-120030-TUB</t>
  </si>
  <si>
    <t>FIT-120031</t>
  </si>
  <si>
    <t>0012-0112-0043</t>
  </si>
  <si>
    <t>0012-0112-0043-001</t>
  </si>
  <si>
    <t>0005348</t>
  </si>
  <si>
    <t>Subsistema circulante de topo Bomba de Refluxo Circulante de topo A</t>
  </si>
  <si>
    <t>1/2"-U12-PRO-FIT-120031-TUB</t>
  </si>
  <si>
    <t>FIT-120032</t>
  </si>
  <si>
    <t>0012-0088-0029</t>
  </si>
  <si>
    <t>0012-0088-0029-001</t>
  </si>
  <si>
    <t>0006685</t>
  </si>
  <si>
    <t>Subsistema de Vapor de Baixa Pressão Superaquecido - T-12002</t>
  </si>
  <si>
    <t>1/2"-U12-PRO-FIT-120032-TUB</t>
  </si>
  <si>
    <t>FIT-120033</t>
  </si>
  <si>
    <t>0005349</t>
  </si>
  <si>
    <t>1/2"-U12-PRO-FIT-120033-TUB</t>
  </si>
  <si>
    <t>FIT-120034</t>
  </si>
  <si>
    <t>0012-0118-0049</t>
  </si>
  <si>
    <t>0012-0118-0049-001</t>
  </si>
  <si>
    <t>0005350</t>
  </si>
  <si>
    <t>Subsistema T-12003, Sistema de Topo até entrada do P-12020 - T-12003, Sistema de Topo até entrada do P-12020 - B-12008A</t>
  </si>
  <si>
    <t>1/2"-U12-PRO-FIT-120034-TUB</t>
  </si>
  <si>
    <t>FIT-120035</t>
  </si>
  <si>
    <t>0005351</t>
  </si>
  <si>
    <t>1/2"-U12-PRO-FIT-120035-TUB</t>
  </si>
  <si>
    <t>FIT-120036</t>
  </si>
  <si>
    <t>0005352</t>
  </si>
  <si>
    <t>1/2"-U12-PRO-FIT-120036-TUB</t>
  </si>
  <si>
    <t>FIT-120037</t>
  </si>
  <si>
    <t>0005353</t>
  </si>
  <si>
    <t>1/2"-U12-PRO-FIT-120037-TUB</t>
  </si>
  <si>
    <t>FIT-120038</t>
  </si>
  <si>
    <t>0012-0067-0023</t>
  </si>
  <si>
    <t>0012-0067-0023-002</t>
  </si>
  <si>
    <t>0005354</t>
  </si>
  <si>
    <t>Subsistema de Óleo de Selagem (Suprimento do sistema)</t>
  </si>
  <si>
    <t>1/2"-U12-PRO-FIT-120038-TUB</t>
  </si>
  <si>
    <t>FIT-120039</t>
  </si>
  <si>
    <t>0012-0043-0015</t>
  </si>
  <si>
    <t>0012-0043-0015-003</t>
  </si>
  <si>
    <t>0005355</t>
  </si>
  <si>
    <t>Subsistema de Bomba de Reprocessamento de Resíduo do Blowndown - B-12031</t>
  </si>
  <si>
    <t>1/2"-U12-PRO-FIT-120039-TUB</t>
  </si>
  <si>
    <t>FIT-120042</t>
  </si>
  <si>
    <t>0005356</t>
  </si>
  <si>
    <t>1/2"-U12-PRO-FIT-120042-TUB</t>
  </si>
  <si>
    <t>FIT-120043</t>
  </si>
  <si>
    <t>0012-0001-0069</t>
  </si>
  <si>
    <t>0012-0001-0069-001</t>
  </si>
  <si>
    <t>0005357</t>
  </si>
  <si>
    <t>Subsistema de água ácida - B-12007A</t>
  </si>
  <si>
    <t>1/2"-U12-PRO-FIT-120043-TUB</t>
  </si>
  <si>
    <t>FIT-120047</t>
  </si>
  <si>
    <t>0012-0045-0031</t>
  </si>
  <si>
    <t>0012-0045-0031-001</t>
  </si>
  <si>
    <t>0006686</t>
  </si>
  <si>
    <t>Subsistema Cru – 1ª Bateria de Pré-Aquecimento - Permutadores</t>
  </si>
  <si>
    <t>1/2"-U12-PRO-FIT-120047-TUB</t>
  </si>
  <si>
    <t>FIT-120048</t>
  </si>
  <si>
    <t>0006687</t>
  </si>
  <si>
    <t>1/2"-U12-PRO-FIT-120048-TUB</t>
  </si>
  <si>
    <t>FIT-120049</t>
  </si>
  <si>
    <t>0006688</t>
  </si>
  <si>
    <t>1/2"-U12-PRO-FIT-120049-TUB</t>
  </si>
  <si>
    <t>FIT-120050</t>
  </si>
  <si>
    <t>0006689</t>
  </si>
  <si>
    <t>1/2"-U12-PRO-FIT-120050-TUB</t>
  </si>
  <si>
    <t>FIT-120053</t>
  </si>
  <si>
    <t>0012-0131-0064-001</t>
  </si>
  <si>
    <t>0006690</t>
  </si>
  <si>
    <t>Subsistema de  Salmoura - B-12003A</t>
  </si>
  <si>
    <t>1/2"-U12-PRO-FIT-120053-TUB</t>
  </si>
  <si>
    <t>FIT-120054</t>
  </si>
  <si>
    <t>0012-0131-0064-006</t>
  </si>
  <si>
    <t>0006691</t>
  </si>
  <si>
    <t>BOMBA DE RECIRCULAÇÃO DE SALMOURA - B-12030A</t>
  </si>
  <si>
    <t>1/2"-U12-PRO-FIT-120054-TUB</t>
  </si>
  <si>
    <t>FIT-120055</t>
  </si>
  <si>
    <t>0012-0136-0070</t>
  </si>
  <si>
    <t>0012-0136-0070-001</t>
  </si>
  <si>
    <t>0005358</t>
  </si>
  <si>
    <t>Subsistema de Nafta Estabilizada</t>
  </si>
  <si>
    <t>1/2"-U12-PRO-FIT-120055-TUB</t>
  </si>
  <si>
    <t>FIT-120058</t>
  </si>
  <si>
    <t>0012-0105-0036</t>
  </si>
  <si>
    <t>0012-0105-0036-001</t>
  </si>
  <si>
    <t>0005359</t>
  </si>
  <si>
    <t>Subsistema atmosférico - RAT - B-12016A - U-12</t>
  </si>
  <si>
    <t>1/2"-U12-PRO-FIT-120058-TUB</t>
  </si>
  <si>
    <t>FIT-120063</t>
  </si>
  <si>
    <t>0012-0050-0048</t>
  </si>
  <si>
    <t>0012-0050-0048-003</t>
  </si>
  <si>
    <t>0005360</t>
  </si>
  <si>
    <t>Subsistema de C-12001 B até o L.B.</t>
  </si>
  <si>
    <t>1/2"-U12-PRO-FIT-120063-TUB</t>
  </si>
  <si>
    <t>FIT-120065</t>
  </si>
  <si>
    <t>0012-0084-0027</t>
  </si>
  <si>
    <t>0012-0084-0027-001</t>
  </si>
  <si>
    <t>0006692</t>
  </si>
  <si>
    <t>Subsistema de Vapor Baixa Pressão TIE-IN-0022/0044 UD12</t>
  </si>
  <si>
    <t>1/2"-U12-PRO-FIT-120065-TUB</t>
  </si>
  <si>
    <t>FIT-120066</t>
  </si>
  <si>
    <t>0006693</t>
  </si>
  <si>
    <t>1/2"-U12-PRO-FIT-120066-TUB</t>
  </si>
  <si>
    <t>FIT-120067</t>
  </si>
  <si>
    <t>0006694</t>
  </si>
  <si>
    <t>1/2"-U12-PRO-FIT-120067-TUB</t>
  </si>
  <si>
    <t>FIT-120071</t>
  </si>
  <si>
    <t>0005361</t>
  </si>
  <si>
    <t>1/2"-U12-PRO-FIT-120071-TUB</t>
  </si>
  <si>
    <t>FIT-120072</t>
  </si>
  <si>
    <t>0005362</t>
  </si>
  <si>
    <t>1/2"-U12-PRO-FIT-120072-TUB</t>
  </si>
  <si>
    <t>FIT-120090</t>
  </si>
  <si>
    <t>0012-0045-0031-002</t>
  </si>
  <si>
    <t>0005363</t>
  </si>
  <si>
    <t>Subsistema Cru – 1ª Bateria de Pré-Aquecimento - Bombas A</t>
  </si>
  <si>
    <t>1/2"-U12-PRO-FIT-120090-TUB</t>
  </si>
  <si>
    <t>FIT-120091</t>
  </si>
  <si>
    <t>0005364</t>
  </si>
  <si>
    <t>1/2"-U12-PRO-FIT-120091-TUB</t>
  </si>
  <si>
    <t>FIT-120092</t>
  </si>
  <si>
    <t>0005365</t>
  </si>
  <si>
    <t>1/2"-U12-PRO-FIT-120092-TUB</t>
  </si>
  <si>
    <t>FIT-120094A</t>
  </si>
  <si>
    <t>0012-0101-0032</t>
  </si>
  <si>
    <t>0012-0101-0032-003</t>
  </si>
  <si>
    <t>0006695</t>
  </si>
  <si>
    <t>Subsistema da Dessalgadoras - DL-12001C</t>
  </si>
  <si>
    <t>1/2"-U12-PRO-FIT-120094A-TUB</t>
  </si>
  <si>
    <t>FIT-120094B</t>
  </si>
  <si>
    <t>0012-0101-0032-004</t>
  </si>
  <si>
    <t>0006696</t>
  </si>
  <si>
    <t>Subsistema da Dessalgadoras - DL-12001D</t>
  </si>
  <si>
    <t>1/2"-U12-PRO-FIT-120094B-TUB</t>
  </si>
  <si>
    <t>FIT-120095</t>
  </si>
  <si>
    <t>0012-0066-0065</t>
  </si>
  <si>
    <t>0012-0066-0065-001</t>
  </si>
  <si>
    <t>0006697</t>
  </si>
  <si>
    <t>Subsistema de Resíduo externo para Reprocessamento</t>
  </si>
  <si>
    <t>1/2"-U12-PRO-FIT-120095-TUB</t>
  </si>
  <si>
    <t>FIT-120096</t>
  </si>
  <si>
    <t>0012-0050-0068</t>
  </si>
  <si>
    <t>0012-0050-0068-001</t>
  </si>
  <si>
    <t>0005366</t>
  </si>
  <si>
    <t>Subsistema de GLP para Reprocessamento</t>
  </si>
  <si>
    <t>1/2"-U12-PRO-FIT-120096-TUB</t>
  </si>
  <si>
    <t>FIT-120410</t>
  </si>
  <si>
    <t>0012-0011-0004</t>
  </si>
  <si>
    <t>0012-0011-0004-001</t>
  </si>
  <si>
    <t>0005367</t>
  </si>
  <si>
    <t>Subsistema de Subsistema Operacional de Água de Resfriamento (Suprimento) - TIE-IN-0017</t>
  </si>
  <si>
    <t>1/2"-U12-PRO-FIT-120410-TUB</t>
  </si>
  <si>
    <t>FIT-120411</t>
  </si>
  <si>
    <t>0012-0052-0017</t>
  </si>
  <si>
    <t>0012-0052-0017-001</t>
  </si>
  <si>
    <t>0005368</t>
  </si>
  <si>
    <t>Subsistema de Gás Combustível</t>
  </si>
  <si>
    <t>1/2"-U12-PRO-FIT-120411-TUB</t>
  </si>
  <si>
    <t>FIT-120412</t>
  </si>
  <si>
    <t>0012-0022-0008</t>
  </si>
  <si>
    <t>0012-0022-0008-001</t>
  </si>
  <si>
    <t>0005369</t>
  </si>
  <si>
    <t>Subsistema Operacional de Ar de Instrumento -TIE-IN 0024</t>
  </si>
  <si>
    <t>1/2"-U12-PRO-FIT-120412-TUB</t>
  </si>
  <si>
    <t>FIT-120413</t>
  </si>
  <si>
    <t>0005370</t>
  </si>
  <si>
    <t>1/2"-U12-PRO-FIT-120413-TUB</t>
  </si>
  <si>
    <t>FIT-120414</t>
  </si>
  <si>
    <t>0012-0056-0018</t>
  </si>
  <si>
    <t>0012-0056-0018-001</t>
  </si>
  <si>
    <t>0005371</t>
  </si>
  <si>
    <t>Subsistema de Baixa Pressão TEI-IN-0028 - U12</t>
  </si>
  <si>
    <t>1/2"-U12-PRO-FIT-120414-TUB</t>
  </si>
  <si>
    <t>FIT-120417</t>
  </si>
  <si>
    <t>0012-0050-0051</t>
  </si>
  <si>
    <t>0012-0050-0051-001</t>
  </si>
  <si>
    <t>0005372</t>
  </si>
  <si>
    <t>Subsistema do Vaporizador de GLP até PV do topo do V-12051</t>
  </si>
  <si>
    <t>1/2"-U12-PRO-FIT-120417-TUB</t>
  </si>
  <si>
    <t>FIT-120422</t>
  </si>
  <si>
    <t>0012-0085-0028</t>
  </si>
  <si>
    <t>0012-0085-0028-001</t>
  </si>
  <si>
    <t>0005373</t>
  </si>
  <si>
    <t>Subsistema de Vapor Média Pressão TIE-IN-0021/0043</t>
  </si>
  <si>
    <t>1/2"-U12-PRO-FIT-120422-TUB</t>
  </si>
  <si>
    <t>FIT-120423</t>
  </si>
  <si>
    <t>0012-0081-0025</t>
  </si>
  <si>
    <t>0012-0081-0025-001</t>
  </si>
  <si>
    <t>0005374</t>
  </si>
  <si>
    <t>Subsistema de Condensado de Baixa Pressão  B-12101A - U12</t>
  </si>
  <si>
    <t>1/2"-U12-PRO-FIT-120423-TUB</t>
  </si>
  <si>
    <t>FIT-120600</t>
  </si>
  <si>
    <t>0001749</t>
  </si>
  <si>
    <t>1/2"-U12-PRO-FIT-120600-TUB</t>
  </si>
  <si>
    <t>FIT-120601</t>
  </si>
  <si>
    <t>0001750</t>
  </si>
  <si>
    <t>1/2"-U12-PRO-FIT-120601-TUB</t>
  </si>
  <si>
    <t>FIT-120604</t>
  </si>
  <si>
    <t>0001751</t>
  </si>
  <si>
    <t>1/2"-U12-PRO-FIT-120604-TUB</t>
  </si>
  <si>
    <t>FIT-120607</t>
  </si>
  <si>
    <t>0012-0023-0009</t>
  </si>
  <si>
    <t>0012-0023-0009-001</t>
  </si>
  <si>
    <t>0001752</t>
  </si>
  <si>
    <t>Subsistema Operacional de Ar de Serviço - TIE-IN-0025 header principal</t>
  </si>
  <si>
    <t>1/2"-U12-PRO-FIT-120607-TUB</t>
  </si>
  <si>
    <t>FIT-120608A</t>
  </si>
  <si>
    <t>0004672</t>
  </si>
  <si>
    <t>1/2"-U12-PRO-FIT-120608A-TUB</t>
  </si>
  <si>
    <t>FIT-120608B</t>
  </si>
  <si>
    <t>0004673</t>
  </si>
  <si>
    <t>1/2"-U12-PRO-FIT-120608B-TUB</t>
  </si>
  <si>
    <t>FIT-120608C</t>
  </si>
  <si>
    <t>0004674</t>
  </si>
  <si>
    <t>1/2"-U12-PRO-FIT-120608C-TUB</t>
  </si>
  <si>
    <t>FIT-120608D</t>
  </si>
  <si>
    <t>0004893</t>
  </si>
  <si>
    <t>1/2"-U12-PRO-FIT-120608D-TUB</t>
  </si>
  <si>
    <t>FIT-120700</t>
  </si>
  <si>
    <t>0001753</t>
  </si>
  <si>
    <t>1/2"-U12-PRO-FIT-120700-TUB</t>
  </si>
  <si>
    <t>FIT-120701</t>
  </si>
  <si>
    <t>0001754</t>
  </si>
  <si>
    <t>1/2"-U12-PRO-FIT-120701-TUB</t>
  </si>
  <si>
    <t>FIT-120704</t>
  </si>
  <si>
    <t>0001755</t>
  </si>
  <si>
    <t>1/2"-U12-PRO-FIT-120704-TUB</t>
  </si>
  <si>
    <t>FIT-120707</t>
  </si>
  <si>
    <t>0001756</t>
  </si>
  <si>
    <t>1/2"-U12-PRO-FIT-120707-TUB</t>
  </si>
  <si>
    <t>FIT-120708A</t>
  </si>
  <si>
    <t>0004894</t>
  </si>
  <si>
    <t>1/2"-U12-PRO-FIT-120708A-TUB</t>
  </si>
  <si>
    <t>FIT-120708B</t>
  </si>
  <si>
    <t>0004895</t>
  </si>
  <si>
    <t>1/2"-U12-PRO-FIT-120708B-TUB</t>
  </si>
  <si>
    <t>FIT-120708C</t>
  </si>
  <si>
    <t>0004896</t>
  </si>
  <si>
    <t>1/2"-U12-PRO-FIT-120708C-TUB</t>
  </si>
  <si>
    <t>FIT-120708D</t>
  </si>
  <si>
    <t>0004897</t>
  </si>
  <si>
    <t>1/2"-U12-PRO-FIT-120708D-TUB</t>
  </si>
  <si>
    <t>FV-120003</t>
  </si>
  <si>
    <t>PNEU</t>
  </si>
  <si>
    <t>0004899</t>
  </si>
  <si>
    <t>1/2"-U12-PNEU-FV-120003-TUB</t>
  </si>
  <si>
    <t>VÁLVULA PDA</t>
  </si>
  <si>
    <t>PDA-120004</t>
  </si>
  <si>
    <t>FV-120004</t>
  </si>
  <si>
    <t>0005407</t>
  </si>
  <si>
    <t>1/2"-U12-PNEU-FV-120004-TUB</t>
  </si>
  <si>
    <t>PDA-120002</t>
  </si>
  <si>
    <t>FV-120007A</t>
  </si>
  <si>
    <t>0012-0017-0006</t>
  </si>
  <si>
    <t>0012-0017-0006-001</t>
  </si>
  <si>
    <t>0005408</t>
  </si>
  <si>
    <t>Subsistema Operacional de Água de Serviço - TIE-IN-0019</t>
  </si>
  <si>
    <t>1/2"-U12-PNEU-FV-120007A-TUB</t>
  </si>
  <si>
    <t>PDA-120001</t>
  </si>
  <si>
    <t>FV-120007B</t>
  </si>
  <si>
    <t>0005409</t>
  </si>
  <si>
    <t>1/2"-U12-PNEU-FV-120007B-TUB</t>
  </si>
  <si>
    <t>FV-120008A</t>
  </si>
  <si>
    <t>0012-0033-0067</t>
  </si>
  <si>
    <t>0012-0033-0067-001</t>
  </si>
  <si>
    <t>0005410</t>
  </si>
  <si>
    <t>Subsistema de Água Ácida Retificada</t>
  </si>
  <si>
    <t>1/2"-U12-PNEU-FV-120008A-TUB</t>
  </si>
  <si>
    <t>FV-120008B</t>
  </si>
  <si>
    <t>0005411</t>
  </si>
  <si>
    <t>1/2"-U12-PNEU-FV-120008B-TUB</t>
  </si>
  <si>
    <t>PDA-120003</t>
  </si>
  <si>
    <t>FV-120009</t>
  </si>
  <si>
    <t>0005412</t>
  </si>
  <si>
    <t>1/2"-U12-PNEU-FV-120009-TUB</t>
  </si>
  <si>
    <t>FV-120010</t>
  </si>
  <si>
    <t>0005413</t>
  </si>
  <si>
    <t>1/2"-U12-PNEU-FV-120010-TUB</t>
  </si>
  <si>
    <t>FV-120011</t>
  </si>
  <si>
    <t>0005414</t>
  </si>
  <si>
    <t>1/2"-U12-PNEU-FV-120011-TUB</t>
  </si>
  <si>
    <t>PDA-120015</t>
  </si>
  <si>
    <t>FV-120012</t>
  </si>
  <si>
    <t>0005415</t>
  </si>
  <si>
    <t>1/2"-U12-PNEU-FV-120012-TUB</t>
  </si>
  <si>
    <t>PDA-120016</t>
  </si>
  <si>
    <t>FV-120013</t>
  </si>
  <si>
    <t>0005416</t>
  </si>
  <si>
    <t>1/2"-U12-PNEU-FV-120013-TUB</t>
  </si>
  <si>
    <t>PDA-120014</t>
  </si>
  <si>
    <t>FV-120014</t>
  </si>
  <si>
    <t>0005417</t>
  </si>
  <si>
    <t>1/2"-U12-PNEU-FV-120014-TUB</t>
  </si>
  <si>
    <t>FV-120015</t>
  </si>
  <si>
    <t>0005418</t>
  </si>
  <si>
    <t>1/2"-U12-PNEU-FV-120015-TUB</t>
  </si>
  <si>
    <t>FV-120016</t>
  </si>
  <si>
    <t>0005419</t>
  </si>
  <si>
    <t>1/2"-U12-PNEU-FV-120016-TUB</t>
  </si>
  <si>
    <t>FV-120017</t>
  </si>
  <si>
    <t>0005420</t>
  </si>
  <si>
    <t>1/2"-U12-PNEU-FV-120017-TUB</t>
  </si>
  <si>
    <t>FV-120020</t>
  </si>
  <si>
    <t>0005421</t>
  </si>
  <si>
    <t>1/2"-U12-PNEU-FV-120020-TUB</t>
  </si>
  <si>
    <t>PDA-120005</t>
  </si>
  <si>
    <t>FV-120021</t>
  </si>
  <si>
    <t>0005422</t>
  </si>
  <si>
    <t>1/2"-U12-PNEU-FV-120021-TUB</t>
  </si>
  <si>
    <t>FV-120022</t>
  </si>
  <si>
    <t>0005423</t>
  </si>
  <si>
    <t>1/2"-U12-PNEU-FV-120022-TUB</t>
  </si>
  <si>
    <t>FV-120023</t>
  </si>
  <si>
    <t>0005424</t>
  </si>
  <si>
    <t>1/2"-U12-PNEU-FV-120023-TUB</t>
  </si>
  <si>
    <t>PDA-120008</t>
  </si>
  <si>
    <t>FV-120024</t>
  </si>
  <si>
    <t>0005425</t>
  </si>
  <si>
    <t>1/2"-U12-PNEU-FV-120024-TUB</t>
  </si>
  <si>
    <t>FV-120025</t>
  </si>
  <si>
    <t>0005426</t>
  </si>
  <si>
    <t>1/2"-U12-PNEU-FV-120025-TUB</t>
  </si>
  <si>
    <t>FV-120026</t>
  </si>
  <si>
    <t>0005427</t>
  </si>
  <si>
    <t>1/2"-U12-PNEU-FV-120026-TUB</t>
  </si>
  <si>
    <t>FV-120027</t>
  </si>
  <si>
    <t>0005428</t>
  </si>
  <si>
    <t>1/2"-U12-PNEU-FV-120027-TUB</t>
  </si>
  <si>
    <t>FV-120028</t>
  </si>
  <si>
    <t>0005429</t>
  </si>
  <si>
    <t>1/2"-U12-PNEU-FV-120028-TUB</t>
  </si>
  <si>
    <t>PDA-120006</t>
  </si>
  <si>
    <t>FV-120029</t>
  </si>
  <si>
    <t>0005430</t>
  </si>
  <si>
    <t>1/2"-U12-PNEU-FV-120029-TUB</t>
  </si>
  <si>
    <t>FV-120030</t>
  </si>
  <si>
    <t>0005431</t>
  </si>
  <si>
    <t>1/2"-U12-PNEU-FV-120030-TUB</t>
  </si>
  <si>
    <t>PDA-120018</t>
  </si>
  <si>
    <t>FV-120031</t>
  </si>
  <si>
    <t>0005432</t>
  </si>
  <si>
    <t>1/2"-U12-PNEU-FV-120031-TUB</t>
  </si>
  <si>
    <t>PDA-120017</t>
  </si>
  <si>
    <t>FV-120032</t>
  </si>
  <si>
    <t>0005433</t>
  </si>
  <si>
    <t>1/2"-U12-PNEU-FV-120032-TUB</t>
  </si>
  <si>
    <t>PDA-120009</t>
  </si>
  <si>
    <t>FV-120033A</t>
  </si>
  <si>
    <t>0005434</t>
  </si>
  <si>
    <t>1/2"-U12-PNEU-FV-120033A-TUB</t>
  </si>
  <si>
    <t>FV-120033B</t>
  </si>
  <si>
    <t>0005435</t>
  </si>
  <si>
    <t>1/2"-U12-PNEU-FV-120033B-TUB</t>
  </si>
  <si>
    <t>FV-120035</t>
  </si>
  <si>
    <t>0005436</t>
  </si>
  <si>
    <t>1/2"-U12-PNEU-FV-120035-TUB</t>
  </si>
  <si>
    <t>PDA-120007</t>
  </si>
  <si>
    <t>FV-120039</t>
  </si>
  <si>
    <t>0005437</t>
  </si>
  <si>
    <t>1/2"-U12-PNEU-FV-120039-TUB</t>
  </si>
  <si>
    <t>FV-120040A</t>
  </si>
  <si>
    <t>0012-0050-0050</t>
  </si>
  <si>
    <t>0012-0050-0050-003</t>
  </si>
  <si>
    <t>0005438</t>
  </si>
  <si>
    <t>Subsistema B-12027 A
linha de GLP até L.B., linha de refluxo e linha de topo do vaso (controle de pressão)</t>
  </si>
  <si>
    <t>1/2"-U12-PNEU-FV-120040A-TUB</t>
  </si>
  <si>
    <t>PDA-120010</t>
  </si>
  <si>
    <t>FV-120040B</t>
  </si>
  <si>
    <t>0005439</t>
  </si>
  <si>
    <t>1/2"-U12-PNEU-FV-120040B-TUB</t>
  </si>
  <si>
    <t>FV-120041A</t>
  </si>
  <si>
    <t>0005440</t>
  </si>
  <si>
    <t>1/2"-U12-PNEU-FV-120041A-TUB</t>
  </si>
  <si>
    <t>FV-120041B</t>
  </si>
  <si>
    <t>0005441</t>
  </si>
  <si>
    <t>1/2"-U12-PNEU-FV-120041B-TUB</t>
  </si>
  <si>
    <t>FV-120042A</t>
  </si>
  <si>
    <t>0005442</t>
  </si>
  <si>
    <t>1/2"-U12-PNEU-FV-120042A-TUB</t>
  </si>
  <si>
    <t>FV-120042B</t>
  </si>
  <si>
    <t>0005443</t>
  </si>
  <si>
    <t>1/2"-U12-PNEU-FV-120042B-TUB</t>
  </si>
  <si>
    <t>FV-120055</t>
  </si>
  <si>
    <t>0005444</t>
  </si>
  <si>
    <t>1/2"-U12-PNEU-FV-120055-TUB</t>
  </si>
  <si>
    <t>PDA-120011</t>
  </si>
  <si>
    <t>FV-120058A</t>
  </si>
  <si>
    <t>0005445</t>
  </si>
  <si>
    <t>1/2"-U12-PNEU-FV-120058A-TUB</t>
  </si>
  <si>
    <t>FV-120067</t>
  </si>
  <si>
    <t>0005446</t>
  </si>
  <si>
    <t>1/2"-U12-PNEU-FV-120067-TUB</t>
  </si>
  <si>
    <t>FV-120095</t>
  </si>
  <si>
    <t>0005447</t>
  </si>
  <si>
    <t>1/2"-U12-PNEU-FV-120095-TUB</t>
  </si>
  <si>
    <t>FV-120096</t>
  </si>
  <si>
    <t>0005448</t>
  </si>
  <si>
    <t>1/2"-U12-PNEU-FV-120096-TUB</t>
  </si>
  <si>
    <t>FV-120251</t>
  </si>
  <si>
    <t>0012-0105-0036-003</t>
  </si>
  <si>
    <t>0006769</t>
  </si>
  <si>
    <t>Subsistema atmosférico - RAT - B-12016C - U-12</t>
  </si>
  <si>
    <t>1/2"-U12-PNEU-FV-120251-TUB</t>
  </si>
  <si>
    <t>FV-120600</t>
  </si>
  <si>
    <t>0003273</t>
  </si>
  <si>
    <t>1/2"-U12-PNEU-FV-120600-TUB</t>
  </si>
  <si>
    <t>VÁLVULA STAND PIPE</t>
  </si>
  <si>
    <t>STAND PIPE L</t>
  </si>
  <si>
    <t>Direita</t>
  </si>
  <si>
    <t>FV-120700</t>
  </si>
  <si>
    <t>0003274</t>
  </si>
  <si>
    <t>1/2"-U12-PNEU-FV-120700-TUB</t>
  </si>
  <si>
    <t>STAND PIPE N</t>
  </si>
  <si>
    <t>HV-120001</t>
  </si>
  <si>
    <t>0006649</t>
  </si>
  <si>
    <t>1/2"-U12-PNEU-HV-120001-TUB</t>
  </si>
  <si>
    <t>HV-120002</t>
  </si>
  <si>
    <t>0006650</t>
  </si>
  <si>
    <t>1/2"-U12-PNEU-HV-120002-TUB</t>
  </si>
  <si>
    <t>HV-120003</t>
  </si>
  <si>
    <t>0006651</t>
  </si>
  <si>
    <t>1/2"-U12-PNEU-HV-120003-TUB</t>
  </si>
  <si>
    <t>HV-120004</t>
  </si>
  <si>
    <t>0006652</t>
  </si>
  <si>
    <t>1/2"-U12-PNEU-HV-120004-TUB</t>
  </si>
  <si>
    <t>HV-120005</t>
  </si>
  <si>
    <t>0006653</t>
  </si>
  <si>
    <t>1/2"-U12-PNEU-HV-120005-TUB</t>
  </si>
  <si>
    <t>HV-120020</t>
  </si>
  <si>
    <t>0006654</t>
  </si>
  <si>
    <t>1/2"-U12-PNEU-HV-120020-TUB</t>
  </si>
  <si>
    <t>HV-120021</t>
  </si>
  <si>
    <t>0006655</t>
  </si>
  <si>
    <t>1/2"-U12-PNEU-HV-120021-TUB</t>
  </si>
  <si>
    <t>HV-120023</t>
  </si>
  <si>
    <t>0006656</t>
  </si>
  <si>
    <t>1/2"-U12-PNEU-HV-120023-TUB</t>
  </si>
  <si>
    <t>HV-120024</t>
  </si>
  <si>
    <t>0006657</t>
  </si>
  <si>
    <t>1/2"-U12-PNEU-HV-120024-TUB</t>
  </si>
  <si>
    <t>HV-120025</t>
  </si>
  <si>
    <t>0006658</t>
  </si>
  <si>
    <t>1/2"-U12-PNEU-HV-120025-TUB</t>
  </si>
  <si>
    <t>HV-120027</t>
  </si>
  <si>
    <t>0006659</t>
  </si>
  <si>
    <t>1/2"-U12-PNEU-HV-120027-TUB</t>
  </si>
  <si>
    <t>HV-120028</t>
  </si>
  <si>
    <t>0012-0104-0035</t>
  </si>
  <si>
    <t>0012-0104-0035-001</t>
  </si>
  <si>
    <t>0006660</t>
  </si>
  <si>
    <t>Subsistema da Torre atmosférica T-12001</t>
  </si>
  <si>
    <t>1/2"-U12-PNEU-HV-120028-TUB</t>
  </si>
  <si>
    <t>HV-120053</t>
  </si>
  <si>
    <t>0012-0050-0050-001</t>
  </si>
  <si>
    <t>0006661</t>
  </si>
  <si>
    <t>Subsistema P-12020,
linha de GLP até L.B., linha de refluxo e linha de topo do vaso (controle de pressão)</t>
  </si>
  <si>
    <t>1/2"-U12-PNEU-HV-120053-TUB</t>
  </si>
  <si>
    <t>HV-120054</t>
  </si>
  <si>
    <t>0006662</t>
  </si>
  <si>
    <t>1/2"-U12-PNEU-HV-120054-TUB</t>
  </si>
  <si>
    <t>HV-120055</t>
  </si>
  <si>
    <t>0006663</t>
  </si>
  <si>
    <t>1/2"-U12-PNEU-HV-120055-TUB</t>
  </si>
  <si>
    <t>HV-120600</t>
  </si>
  <si>
    <t>0003275</t>
  </si>
  <si>
    <t>1/4"-U12-PNEU-HV-120600-TUB</t>
  </si>
  <si>
    <t>1/4</t>
  </si>
  <si>
    <t>STAND PIPE A</t>
  </si>
  <si>
    <t>HV-120601</t>
  </si>
  <si>
    <t>0003276</t>
  </si>
  <si>
    <t>1/4"-U12-PNEU-HV-120601-TUB</t>
  </si>
  <si>
    <t>STAND PIPE H</t>
  </si>
  <si>
    <t>HV-120604</t>
  </si>
  <si>
    <t>0003277</t>
  </si>
  <si>
    <t>1/4"-U12-PNEU-HV-120604-TUB</t>
  </si>
  <si>
    <t>Esquerda</t>
  </si>
  <si>
    <t>HV-120605A</t>
  </si>
  <si>
    <t>0003278</t>
  </si>
  <si>
    <t>1/4"-U12-PNEU-HV-120605A-TUB</t>
  </si>
  <si>
    <t>HV-120605B</t>
  </si>
  <si>
    <t>0003279</t>
  </si>
  <si>
    <t>1/4"-U12-PNEU-HV-120605B-TUB</t>
  </si>
  <si>
    <t>HV-120605C</t>
  </si>
  <si>
    <t>0003280</t>
  </si>
  <si>
    <t>1/4"-U12-PNEU-HV-120605C-TUB</t>
  </si>
  <si>
    <t>HV-120605D</t>
  </si>
  <si>
    <t>0003281</t>
  </si>
  <si>
    <t>1/4"-U12-PNEU-HV-120605D-TUB</t>
  </si>
  <si>
    <t>HV-120618</t>
  </si>
  <si>
    <t>0012-0060-0019</t>
  </si>
  <si>
    <t>0012-0060-0019-001</t>
  </si>
  <si>
    <t>0003282</t>
  </si>
  <si>
    <t>Subsistema de Óleo Combustível (Suprimento)</t>
  </si>
  <si>
    <t>1/4"-U12-PNEU-HV-120618-TUB</t>
  </si>
  <si>
    <t>VÁLVULA SEM POTE</t>
  </si>
  <si>
    <t>HV-120700</t>
  </si>
  <si>
    <t>0003283</t>
  </si>
  <si>
    <t>1/4"-U12-PNEU-HV-120700-TUB</t>
  </si>
  <si>
    <t>HV-120701</t>
  </si>
  <si>
    <t>0003284</t>
  </si>
  <si>
    <t>1/4"-U12-PNEU-HV-120701-TUB</t>
  </si>
  <si>
    <t>HV-120704</t>
  </si>
  <si>
    <t>0003285</t>
  </si>
  <si>
    <t>1/4"-U12-PNEU-HV-120704-TUB</t>
  </si>
  <si>
    <t>STAND PIPE O</t>
  </si>
  <si>
    <t>HV-120705A</t>
  </si>
  <si>
    <t>0003286</t>
  </si>
  <si>
    <t>1/4"-U12-PNEU-HV-120705A-TUB</t>
  </si>
  <si>
    <t>HV-120705B</t>
  </si>
  <si>
    <t>0003287</t>
  </si>
  <si>
    <t>1/4"-U12-PNEU-HV-120705B-TUB</t>
  </si>
  <si>
    <t>HV-120705C</t>
  </si>
  <si>
    <t>0003288</t>
  </si>
  <si>
    <t>1/4"-U12-PNEU-HV-120705C-TUB</t>
  </si>
  <si>
    <t>HV-120705D</t>
  </si>
  <si>
    <t>0003289</t>
  </si>
  <si>
    <t>1/4"-U12-PNEU-HV-120705D-TUB</t>
  </si>
  <si>
    <t>HV-120718</t>
  </si>
  <si>
    <t>0003290</t>
  </si>
  <si>
    <t>1/4"-U12-PNEU-HV-120718-TUB</t>
  </si>
  <si>
    <t>LIT-120010</t>
  </si>
  <si>
    <t>0012-0111-0042-002</t>
  </si>
  <si>
    <t>0005375</t>
  </si>
  <si>
    <t>Subsistema Querosene BOMBA DE QUEROSENE BOMBA B</t>
  </si>
  <si>
    <t>1/2"-U12-PRO-LIT-120010-TUB</t>
  </si>
  <si>
    <t>LIT-120011</t>
  </si>
  <si>
    <t>0005376</t>
  </si>
  <si>
    <t>1/2"-U12-PRO-LIT-120011-TUB</t>
  </si>
  <si>
    <t>LIT-120012</t>
  </si>
  <si>
    <t>0012-0052-0047</t>
  </si>
  <si>
    <t>0012-0052-0047-001</t>
  </si>
  <si>
    <t>0005126</t>
  </si>
  <si>
    <t>Subsistema V-12003, Sistema de topo do vaso, linha de saída até  o V-12005.</t>
  </si>
  <si>
    <t>1/2"-U12-PRO-LIT-120012-TUB</t>
  </si>
  <si>
    <t>LIT-120013</t>
  </si>
  <si>
    <t>0005127</t>
  </si>
  <si>
    <t>1/2"-U12-PRO-LIT-120013-TUB</t>
  </si>
  <si>
    <t>LIT-120014</t>
  </si>
  <si>
    <t>0005128</t>
  </si>
  <si>
    <t>1/2"-U12-PRO-LIT-120014-TUB</t>
  </si>
  <si>
    <t>LIT-120015</t>
  </si>
  <si>
    <t>0005129</t>
  </si>
  <si>
    <t>1/2"-U12-PRO-LIT-120015-TUB</t>
  </si>
  <si>
    <t>LIT-120016</t>
  </si>
  <si>
    <t>0005130</t>
  </si>
  <si>
    <t>1/2"-U12-PRO-LIT-120016-TUB</t>
  </si>
  <si>
    <t>LIT-120017</t>
  </si>
  <si>
    <t>0005131</t>
  </si>
  <si>
    <t>1/2"-U12-PRO-LIT-120017-TUB</t>
  </si>
  <si>
    <t>LIT-120018</t>
  </si>
  <si>
    <t>0005132</t>
  </si>
  <si>
    <t>1/2"-U12-PRO-LIT-120018-TUB</t>
  </si>
  <si>
    <t>LIT-120019A</t>
  </si>
  <si>
    <t>0005133</t>
  </si>
  <si>
    <t>1/2"-U12-PRO-LIT-120019A-TUB</t>
  </si>
  <si>
    <t>LIT-120019B</t>
  </si>
  <si>
    <t>0005134</t>
  </si>
  <si>
    <t>1/2"-U12-PRO-LIT-120019B-TUB</t>
  </si>
  <si>
    <t>LIT-120020</t>
  </si>
  <si>
    <t>0005135</t>
  </si>
  <si>
    <t>1/2"-U12-PRO-LIT-120020-TUB</t>
  </si>
  <si>
    <t>LIT-120021</t>
  </si>
  <si>
    <t>0012-0050-0048-001</t>
  </si>
  <si>
    <t>0005136</t>
  </si>
  <si>
    <t>Subsistema V-12005 + C-12001 A/B até o L.B.</t>
  </si>
  <si>
    <t>1/2"-U12-PRO-LIT-120021-TUB</t>
  </si>
  <si>
    <t>LIT-120022</t>
  </si>
  <si>
    <t>0005137</t>
  </si>
  <si>
    <t>1/2"-U12-PRO-LIT-120022-TUB</t>
  </si>
  <si>
    <t>LIT-120023</t>
  </si>
  <si>
    <t>0012-0050-0050-002</t>
  </si>
  <si>
    <t>0005138</t>
  </si>
  <si>
    <t>Subsistema V-12004 linha de GLP até L.B., linha de refluxo e linha de topo do vaso (controle de pressão)</t>
  </si>
  <si>
    <t>1/2"-U12-PRO-LIT-120023-TUB</t>
  </si>
  <si>
    <t>LIT-120024</t>
  </si>
  <si>
    <t>0005139</t>
  </si>
  <si>
    <t>1/2"-U12-PRO-LIT-120024-TUB</t>
  </si>
  <si>
    <t>LIT-120025</t>
  </si>
  <si>
    <t>0005379</t>
  </si>
  <si>
    <t>1/2"-U12-PRO-LIT-120025-TUB</t>
  </si>
  <si>
    <t>LIT-120027</t>
  </si>
  <si>
    <t>0012-0124-0055</t>
  </si>
  <si>
    <t>0012-0124-0055-001</t>
  </si>
  <si>
    <t>0005167</t>
  </si>
  <si>
    <t>Subsistema de água temperada - B-12029A</t>
  </si>
  <si>
    <t>1/2"-U12-PRO-LIT-120027-TUB</t>
  </si>
  <si>
    <t>LIT-120030</t>
  </si>
  <si>
    <t>0005140</t>
  </si>
  <si>
    <t>1/2"-U12-PRO-LIT-120030-TUB</t>
  </si>
  <si>
    <t>LIT-120032</t>
  </si>
  <si>
    <t>0005141</t>
  </si>
  <si>
    <t>1/2"-U12-PRO-LIT-120032-TUB</t>
  </si>
  <si>
    <t>LIT-120100</t>
  </si>
  <si>
    <t>0005142</t>
  </si>
  <si>
    <t>1/2"-U12-PRO-LIT-120100-TUB</t>
  </si>
  <si>
    <t>LIT-120101</t>
  </si>
  <si>
    <t>0005143</t>
  </si>
  <si>
    <t>1/2"-U12-PRO-LIT-120101-TUB</t>
  </si>
  <si>
    <t>LIT-120102</t>
  </si>
  <si>
    <t>0012-0129-0062</t>
  </si>
  <si>
    <t>0012-0129-0062-001</t>
  </si>
  <si>
    <t>0005144</t>
  </si>
  <si>
    <t>Subsistema de Recuperação de Condensado V-12101</t>
  </si>
  <si>
    <t>1/2"-U12-PRO-LIT-120102-TUB</t>
  </si>
  <si>
    <t>LIT-120103</t>
  </si>
  <si>
    <t>0005145</t>
  </si>
  <si>
    <t>1/2"-U12-PRO-LIT-120103-TUB</t>
  </si>
  <si>
    <t>LIT-120602A</t>
  </si>
  <si>
    <t>0001757</t>
  </si>
  <si>
    <t>1/2"-U12-PRO-LIT-120602A-TUB</t>
  </si>
  <si>
    <t>LIT-120602B</t>
  </si>
  <si>
    <t>0001758</t>
  </si>
  <si>
    <t>1/2"-U12-PRO-LIT-120602B-TUB</t>
  </si>
  <si>
    <t>LIT-120615</t>
  </si>
  <si>
    <t>0001759</t>
  </si>
  <si>
    <t>1/2"-U12-PRO-LIT-120615-TUB</t>
  </si>
  <si>
    <t>LIT-120616</t>
  </si>
  <si>
    <t>0001760</t>
  </si>
  <si>
    <t>1/2"-U12-PRO-LIT-120616-TUB</t>
  </si>
  <si>
    <t>LIT-120617A</t>
  </si>
  <si>
    <t>0001761</t>
  </si>
  <si>
    <t>1/2"-U12-PRO-LIT-120617A-TUB</t>
  </si>
  <si>
    <t>LIT-120617B</t>
  </si>
  <si>
    <t>0001762</t>
  </si>
  <si>
    <t>1/2"-U12-PRO-LIT-120617B-TUB</t>
  </si>
  <si>
    <t>LIT-121308</t>
  </si>
  <si>
    <t>0012-0050-0048-002</t>
  </si>
  <si>
    <t>0006722</t>
  </si>
  <si>
    <t>Subsistema de C-12001 A até o L.B.</t>
  </si>
  <si>
    <t>1/2"-U12-PRO-LIT-121308-TUB</t>
  </si>
  <si>
    <t>LIT-121310</t>
  </si>
  <si>
    <t>0006723</t>
  </si>
  <si>
    <t>1/2"-U12-PRO-LIT-121310-TUB</t>
  </si>
  <si>
    <t>LIT-121311</t>
  </si>
  <si>
    <t>0006724</t>
  </si>
  <si>
    <t>1/2"-U12-PRO-LIT-121311-TUB</t>
  </si>
  <si>
    <t>LIT-121408</t>
  </si>
  <si>
    <t>0006725</t>
  </si>
  <si>
    <t>1/2"-U12-PRO-LIT-121408-TUB</t>
  </si>
  <si>
    <t>LIT-121410</t>
  </si>
  <si>
    <t>0006726</t>
  </si>
  <si>
    <t>1/2"-U12-PRO-LIT-121410-TUB</t>
  </si>
  <si>
    <t>LIT-121411</t>
  </si>
  <si>
    <t>0006727</t>
  </si>
  <si>
    <t>1/2"-U12-PRO-LIT-121411-TUB</t>
  </si>
  <si>
    <t>LV-120001</t>
  </si>
  <si>
    <t>0005449</t>
  </si>
  <si>
    <t>1/2"-U12-PNEU-LV-120001-TUB</t>
  </si>
  <si>
    <t>LV-120002</t>
  </si>
  <si>
    <t>0012-0101-0032-002</t>
  </si>
  <si>
    <t>0005450</t>
  </si>
  <si>
    <t>Subsistema da Dessalgadoras - DL-12001B</t>
  </si>
  <si>
    <t>1/2"-U12-PNEU-LV-120002-TUB</t>
  </si>
  <si>
    <t>LV-120003</t>
  </si>
  <si>
    <t>0005451</t>
  </si>
  <si>
    <t>1/2"-U12-PNEU-LV-120003-TUB</t>
  </si>
  <si>
    <t>LV-120004</t>
  </si>
  <si>
    <t>0005452</t>
  </si>
  <si>
    <t>1/2"-U12-PNEU-LV-120004-TUB</t>
  </si>
  <si>
    <t>LV-120013</t>
  </si>
  <si>
    <t>0005453</t>
  </si>
  <si>
    <t>1/2"-U12-PNEU-LV-120013-TUB</t>
  </si>
  <si>
    <t>LV-120020</t>
  </si>
  <si>
    <t>0005454</t>
  </si>
  <si>
    <t>1/2"-U12-PNEU-LV-120020-TUB</t>
  </si>
  <si>
    <t>LV-120025</t>
  </si>
  <si>
    <t>0005455</t>
  </si>
  <si>
    <t>1/2"-U12-PNEU-LV-120025-TUB</t>
  </si>
  <si>
    <t>LV-120027</t>
  </si>
  <si>
    <t>0010117</t>
  </si>
  <si>
    <t>1/2"-U12-PNEU-LV-120027-TUB</t>
  </si>
  <si>
    <t>0006664</t>
  </si>
  <si>
    <t>1/2"-U12-PNEU-LV-1200901-TUB</t>
  </si>
  <si>
    <t>SOP, SUBSOP, prioritário e sistema estavam com erro de busca (N/A) na planilha original</t>
  </si>
  <si>
    <t>LV-120100</t>
  </si>
  <si>
    <t>0012-0050-0016</t>
  </si>
  <si>
    <t>0012-0050-0016-001</t>
  </si>
  <si>
    <t>0005456</t>
  </si>
  <si>
    <t>Subsistema de GLP para o Vaporizador</t>
  </si>
  <si>
    <t>1/2"-U12-PNEU-LV-120100-TUB</t>
  </si>
  <si>
    <t>PDA-120013</t>
  </si>
  <si>
    <t>LV-120101</t>
  </si>
  <si>
    <t>0005457</t>
  </si>
  <si>
    <t>1/2"-U12-PNEU-LV-120101-TUB</t>
  </si>
  <si>
    <t>LV-120615</t>
  </si>
  <si>
    <t>0003291</t>
  </si>
  <si>
    <t>1/4"-U12-PNEU-LV-120615-TUB</t>
  </si>
  <si>
    <t>LV-120616</t>
  </si>
  <si>
    <t>0003292</t>
  </si>
  <si>
    <t>1/4"-U12-PNEU-LV-120616-TUB</t>
  </si>
  <si>
    <t>LV-120617A</t>
  </si>
  <si>
    <t>0003293</t>
  </si>
  <si>
    <t>1/4"-U12-PNEU-LV-120617A-TUB</t>
  </si>
  <si>
    <t>PCV-120901</t>
  </si>
  <si>
    <t>0012-0067-0023-001</t>
  </si>
  <si>
    <t>0006665</t>
  </si>
  <si>
    <t>Subsistema de Óleo de Selagem (Suprimento) - Diesel Hidrotratado do LB até o reservatório/suprimento do sistema</t>
  </si>
  <si>
    <t>1/2"-U12-PNEU-PCV-120901-TUB</t>
  </si>
  <si>
    <t>PCV-120902</t>
  </si>
  <si>
    <t>0006666</t>
  </si>
  <si>
    <t>1/2"-U12-PNEU-PCV-120902-TUB</t>
  </si>
  <si>
    <t>PCV-120903</t>
  </si>
  <si>
    <t>0006667</t>
  </si>
  <si>
    <t>1/2"-U12-PNEU-PCV-120903-TUB</t>
  </si>
  <si>
    <t>PDI-120901</t>
  </si>
  <si>
    <t>0006672</t>
  </si>
  <si>
    <t>1/2"-U12-PRO-PDI-120901-TUB</t>
  </si>
  <si>
    <t>PDI-121311</t>
  </si>
  <si>
    <t>0006728</t>
  </si>
  <si>
    <t>1/2"-U12-PRO-PDI-121311-TUB</t>
  </si>
  <si>
    <t>PDI-121312</t>
  </si>
  <si>
    <t>0006729</t>
  </si>
  <si>
    <t>1/2"-U12-PRO-PDI-121312-TUB</t>
  </si>
  <si>
    <t>PDI-121411</t>
  </si>
  <si>
    <t>0006730</t>
  </si>
  <si>
    <t>1/2"-U12-PRO-PDI-121411-TUB</t>
  </si>
  <si>
    <t>PDI-121412</t>
  </si>
  <si>
    <t>0006731</t>
  </si>
  <si>
    <t>1/2"-U12-PRO-PDI-121412-TUB</t>
  </si>
  <si>
    <t>PDIT-120001</t>
  </si>
  <si>
    <t>0012-0114-0045</t>
  </si>
  <si>
    <t>0012-0114-0045-001</t>
  </si>
  <si>
    <t>0005146</t>
  </si>
  <si>
    <t>Subsistema do Topo da Torre atmosférica até V-12002 CONDENSADOR DE TOPO DA TORRE ATMOSFÉRICA (1º ESTÁGIO) P-12016-01</t>
  </si>
  <si>
    <t>1/2"-U12-PRO-PDIT-120001-TUB</t>
  </si>
  <si>
    <t>PDIT-120002</t>
  </si>
  <si>
    <t>0012-0045-0031-004</t>
  </si>
  <si>
    <t>0005147</t>
  </si>
  <si>
    <t>Subsistema Cru – 1ª Bateria de Pré-Aquecimento - Filtros</t>
  </si>
  <si>
    <t>1/2"-U12-PRO-PDIT-120002-TUB</t>
  </si>
  <si>
    <t>PDIT-120003</t>
  </si>
  <si>
    <t>0010118</t>
  </si>
  <si>
    <t>1/2"-U12-PRO-PDIT-120003-TUB</t>
  </si>
  <si>
    <t>PDIT-120004</t>
  </si>
  <si>
    <t>0010119</t>
  </si>
  <si>
    <t>1/2"-U12-PRO-PDIT-120004-TUB</t>
  </si>
  <si>
    <t>PDIT-120005</t>
  </si>
  <si>
    <t>0010120</t>
  </si>
  <si>
    <t>1/2"-U12-PRO-PDIT-120005-TUB</t>
  </si>
  <si>
    <t>PDIT-120006</t>
  </si>
  <si>
    <t>0010121</t>
  </si>
  <si>
    <t>1/2"-U12-PRO-PDIT-120006-TUB</t>
  </si>
  <si>
    <t>PDIT-120007</t>
  </si>
  <si>
    <t>0005148</t>
  </si>
  <si>
    <t>1/2"-U12-PRO-PDIT-120007-TUB</t>
  </si>
  <si>
    <t>PDIT-120008</t>
  </si>
  <si>
    <t>0005149</t>
  </si>
  <si>
    <t>1/2"-U12-PRO-PDIT-120008-TUB</t>
  </si>
  <si>
    <t>PDIT-120009</t>
  </si>
  <si>
    <t>0005150</t>
  </si>
  <si>
    <t>1/2"-U12-PRO-PDIT-120009-TUB</t>
  </si>
  <si>
    <t>PDIT-120010</t>
  </si>
  <si>
    <t>0005151</t>
  </si>
  <si>
    <t>1/2"-U12-PRO-PDIT-120010-TUB</t>
  </si>
  <si>
    <t>PDIT-120011</t>
  </si>
  <si>
    <t>0005152</t>
  </si>
  <si>
    <t>1/2"-U12-PRO-PDIT-120011-TUB</t>
  </si>
  <si>
    <t>PDIT-120012</t>
  </si>
  <si>
    <t>0005153</t>
  </si>
  <si>
    <t>1/2"-U12-PRO-PDIT-120012-TUB</t>
  </si>
  <si>
    <t>PDIT-120013</t>
  </si>
  <si>
    <t>0005154</t>
  </si>
  <si>
    <t>1/2"-U12-PRO-PDIT-120013-TUB</t>
  </si>
  <si>
    <t>PDIT-120014</t>
  </si>
  <si>
    <t>0005155</t>
  </si>
  <si>
    <t>1/2"-U12-PRO-PDIT-120014-TUB</t>
  </si>
  <si>
    <t>PDIT-120015</t>
  </si>
  <si>
    <t>0005156</t>
  </si>
  <si>
    <t>1/2"-U12-PRO-PDIT-120015-TUB</t>
  </si>
  <si>
    <t>PDIT-120016</t>
  </si>
  <si>
    <t>0005157</t>
  </si>
  <si>
    <t>1/2"-U12-PRO-PDIT-120016-TUB</t>
  </si>
  <si>
    <t>PDIT-120017</t>
  </si>
  <si>
    <t>0005158</t>
  </si>
  <si>
    <t>1/2"-U12-PRO-PDIT-120017-TUB</t>
  </si>
  <si>
    <t>PDIT-120018</t>
  </si>
  <si>
    <t>0005159</t>
  </si>
  <si>
    <t>1/2"-U12-PRO-PDIT-120018-TUB</t>
  </si>
  <si>
    <t>PDIT-120019</t>
  </si>
  <si>
    <t>0005160</t>
  </si>
  <si>
    <t>1/2"-U12-PRO-PDIT-120019-TUB</t>
  </si>
  <si>
    <t>PDIT-120020</t>
  </si>
  <si>
    <t>0005161</t>
  </si>
  <si>
    <t>1/2"-U12-PRO-PDIT-120020-TUB</t>
  </si>
  <si>
    <t>PDIT-120021</t>
  </si>
  <si>
    <t>0005162</t>
  </si>
  <si>
    <t>1/2"-U12-PRO-PDIT-120021-TUB</t>
  </si>
  <si>
    <t>PDIT-120022</t>
  </si>
  <si>
    <t>0005163</t>
  </si>
  <si>
    <t>1/2"-U12-PRO-PDIT-120022-TUB</t>
  </si>
  <si>
    <t>PDIT-120023</t>
  </si>
  <si>
    <t>0005164</t>
  </si>
  <si>
    <t>1/2"-U12-PRO-PDIT-120023-TUB</t>
  </si>
  <si>
    <t>PDIT-120024</t>
  </si>
  <si>
    <t>0005165</t>
  </si>
  <si>
    <t>1/2"-U12-PRO-PDIT-120024-TUB</t>
  </si>
  <si>
    <t>PDIT-120025</t>
  </si>
  <si>
    <t>0005166</t>
  </si>
  <si>
    <t>1/2"-U12-PRO-PDIT-120025-TUB</t>
  </si>
  <si>
    <t>PDIT-120602</t>
  </si>
  <si>
    <t>0001763</t>
  </si>
  <si>
    <t>1/2"-U12-PRO-PDIT-120602-TUB</t>
  </si>
  <si>
    <t>PDIT-120605</t>
  </si>
  <si>
    <t>0001764</t>
  </si>
  <si>
    <t>1/2"-U12-PRO-PDIT-120605-TUB</t>
  </si>
  <si>
    <t>PDIT-120625</t>
  </si>
  <si>
    <t>0001765</t>
  </si>
  <si>
    <t>1/2"-U12-PRO-PDIT-120625-TUB</t>
  </si>
  <si>
    <t>PDIT-120627</t>
  </si>
  <si>
    <t>0001766</t>
  </si>
  <si>
    <t>1/2"-U12-PRO-PDIT-120627-TUB</t>
  </si>
  <si>
    <t>PDIT-120633</t>
  </si>
  <si>
    <t>0001767</t>
  </si>
  <si>
    <t>1/2"-U12-PRO-PDIT-120633-TUB</t>
  </si>
  <si>
    <t>PDIT-120637</t>
  </si>
  <si>
    <t>0001768</t>
  </si>
  <si>
    <t>1/2"-U12-PRO-PDIT-120637-TUB</t>
  </si>
  <si>
    <t>PDIT-120650</t>
  </si>
  <si>
    <t>0001769</t>
  </si>
  <si>
    <t>1/2"-U12-PRO-PDIT-120650-TUB</t>
  </si>
  <si>
    <t>PDIT-120651</t>
  </si>
  <si>
    <t>0001770</t>
  </si>
  <si>
    <t>1/2"-U12-PRO-PDIT-120651-TUB</t>
  </si>
  <si>
    <t>PDIT-120750</t>
  </si>
  <si>
    <t>0001771</t>
  </si>
  <si>
    <t>1/2"-U12-PRO-PDIT-120750-TUB</t>
  </si>
  <si>
    <t>PDIT-120751</t>
  </si>
  <si>
    <t>0001772</t>
  </si>
  <si>
    <t>1/2"-U12-PRO-PDIT-120751-TUB</t>
  </si>
  <si>
    <t>PDIT-120800</t>
  </si>
  <si>
    <t>0006675</t>
  </si>
  <si>
    <t>1/2"-U12-PRO-PDIT-120800-TUB</t>
  </si>
  <si>
    <t>PDIT-120801</t>
  </si>
  <si>
    <t>0006676</t>
  </si>
  <si>
    <t>1/2"-U12-PRO-PDIT-120801-TUB</t>
  </si>
  <si>
    <t>PDIT-120901</t>
  </si>
  <si>
    <t>0006673</t>
  </si>
  <si>
    <t>1/2"-U12-PRO-PDIT-120901-TUB</t>
  </si>
  <si>
    <t>PDIT-120902</t>
  </si>
  <si>
    <t>0006674</t>
  </si>
  <si>
    <t>1/2"-U12-PRO-PDIT-120902-TUB</t>
  </si>
  <si>
    <t>PDIT-121324</t>
  </si>
  <si>
    <t>0006732</t>
  </si>
  <si>
    <t>1/2"-U12-PRO-PDIT-121324-TUB</t>
  </si>
  <si>
    <t>PDIT-121424</t>
  </si>
  <si>
    <t>0010122</t>
  </si>
  <si>
    <t>1/2"-U12-PRO-PDIT-121424-TUB</t>
  </si>
  <si>
    <t>PDIT-122005</t>
  </si>
  <si>
    <t>0012-0045-0031-003</t>
  </si>
  <si>
    <t>0007439</t>
  </si>
  <si>
    <t>Subsistema Cru – 1ª Bateria de Pré-Aquecimento - Bombas B</t>
  </si>
  <si>
    <t>1/2"-U12-PRO-PDIT-122005-TUB</t>
  </si>
  <si>
    <t>PDV-120003</t>
  </si>
  <si>
    <t>0006668</t>
  </si>
  <si>
    <t>1/2"-U12-PNEU-PDV-120003-TUB</t>
  </si>
  <si>
    <t>PDV-120004</t>
  </si>
  <si>
    <t>0006669</t>
  </si>
  <si>
    <t>1/2"-U12-PNEU-PDV-120004-TUB</t>
  </si>
  <si>
    <t>PDV-120005</t>
  </si>
  <si>
    <t>0006670</t>
  </si>
  <si>
    <t>1/2"-U12-PNEU-PDV-120005-TUB</t>
  </si>
  <si>
    <t>PDV-120006</t>
  </si>
  <si>
    <t>0006671</t>
  </si>
  <si>
    <t>1/2"-U12-PNEU-PDV-120006-TUB</t>
  </si>
  <si>
    <t>PDV-120650</t>
  </si>
  <si>
    <t>0003294</t>
  </si>
  <si>
    <t>1/4"-U12-PNEU-PDV-120650-TUB</t>
  </si>
  <si>
    <t>PDV-120750</t>
  </si>
  <si>
    <t>0003295</t>
  </si>
  <si>
    <t>1/4"-U12-PNEU-PDV-120750-TUB</t>
  </si>
  <si>
    <t>PIT-120001</t>
  </si>
  <si>
    <t>0004898</t>
  </si>
  <si>
    <t>1/2"-U12-PRO-PIT-120001-TUB</t>
  </si>
  <si>
    <t>PIT-120004</t>
  </si>
  <si>
    <t>0005168</t>
  </si>
  <si>
    <t>1/2"-U12-PRO-PIT-120004-TUB</t>
  </si>
  <si>
    <t>PIT-120005</t>
  </si>
  <si>
    <t>0005169</t>
  </si>
  <si>
    <t>1/2"-U12-PRO-PIT-120005-TUB</t>
  </si>
  <si>
    <t>PIT-120006</t>
  </si>
  <si>
    <t>0005170</t>
  </si>
  <si>
    <t>1/2"-U12-PRO-PIT-120006-TUB</t>
  </si>
  <si>
    <t>PIT-120007</t>
  </si>
  <si>
    <t>0005171</t>
  </si>
  <si>
    <t>1/2"-U12-PRO-PIT-120007-TUB</t>
  </si>
  <si>
    <t>PIT-120008</t>
  </si>
  <si>
    <t>0005172</t>
  </si>
  <si>
    <t>1/2"-U12-PRO-PIT-120008-TUB</t>
  </si>
  <si>
    <t>PIT-120009</t>
  </si>
  <si>
    <t>0005173</t>
  </si>
  <si>
    <t>1/2"-U12-PRO-PIT-120009-TUB</t>
  </si>
  <si>
    <t>PIT-120010</t>
  </si>
  <si>
    <t>0005174</t>
  </si>
  <si>
    <t>1/2"-U12-PRO-PIT-120010-TUB</t>
  </si>
  <si>
    <t>PIT-120011</t>
  </si>
  <si>
    <t>0005175</t>
  </si>
  <si>
    <t>1/2"-U12-PRO-PIT-120011-TUB</t>
  </si>
  <si>
    <t>PIT-120012</t>
  </si>
  <si>
    <t>0005176</t>
  </si>
  <si>
    <t>1/2"-U12-PRO-PIT-120012-TUB</t>
  </si>
  <si>
    <t>PIT-120013</t>
  </si>
  <si>
    <t>0005177</t>
  </si>
  <si>
    <t>1/2"-U12-PRO-PIT-120013-TUB</t>
  </si>
  <si>
    <t>PIT-120014</t>
  </si>
  <si>
    <t>0005178</t>
  </si>
  <si>
    <t>1/2"-U12-PRO-PIT-120014-TUB</t>
  </si>
  <si>
    <t>PIT-120015</t>
  </si>
  <si>
    <t>0005179</t>
  </si>
  <si>
    <t>1/2"-U12-PRO-PIT-120015-TUB</t>
  </si>
  <si>
    <t>PIT-120016</t>
  </si>
  <si>
    <t>0005180</t>
  </si>
  <si>
    <t>1/2"-U12-PRO-PIT-120016-TUB</t>
  </si>
  <si>
    <t>PIT-120017</t>
  </si>
  <si>
    <t>0005181</t>
  </si>
  <si>
    <t>1/2"-U12-PRO-PIT-120017-TUB</t>
  </si>
  <si>
    <t>PIT-120018</t>
  </si>
  <si>
    <t>0005182</t>
  </si>
  <si>
    <t>1/2"-U12-PRO-PIT-120018-TUB</t>
  </si>
  <si>
    <t>PIT-120019</t>
  </si>
  <si>
    <t>0005183</t>
  </si>
  <si>
    <t>1/2"-U12-PRO-PIT-120019-TUB</t>
  </si>
  <si>
    <t>PIT-120020</t>
  </si>
  <si>
    <t>0005184</t>
  </si>
  <si>
    <t>1/2"-U12-PRO-PIT-120020-TUB</t>
  </si>
  <si>
    <t>PIT-120021</t>
  </si>
  <si>
    <t>0005185</t>
  </si>
  <si>
    <t>1/2"-U12-PRO-PIT-120021-TUB</t>
  </si>
  <si>
    <t>PIT-120022</t>
  </si>
  <si>
    <t>0005186</t>
  </si>
  <si>
    <t>1/2"-U12-PRO-PIT-120022-TUB</t>
  </si>
  <si>
    <t>PIT-120023</t>
  </si>
  <si>
    <t>0005187</t>
  </si>
  <si>
    <t>1/2"-U12-PRO-PIT-120023-TUB</t>
  </si>
  <si>
    <t>PIT-120024</t>
  </si>
  <si>
    <t>0005188</t>
  </si>
  <si>
    <t>1/2"-U12-PRO-PIT-120024-TUB</t>
  </si>
  <si>
    <t>PIT-120025</t>
  </si>
  <si>
    <t>0005189</t>
  </si>
  <si>
    <t>1/2"-U12-PRO-PIT-120025-TUB</t>
  </si>
  <si>
    <t>PIT-120026</t>
  </si>
  <si>
    <t>0005190</t>
  </si>
  <si>
    <t>1/2"-U12-PRO-PIT-120026-TUB</t>
  </si>
  <si>
    <t>PIT-120027</t>
  </si>
  <si>
    <t>0005191</t>
  </si>
  <si>
    <t>1/2"-U12-PRO-PIT-120027-TUB</t>
  </si>
  <si>
    <t>PIT-120028</t>
  </si>
  <si>
    <t>0005192</t>
  </si>
  <si>
    <t>1/2"-U12-PRO-PIT-120028-TUB</t>
  </si>
  <si>
    <t>PIT-120029</t>
  </si>
  <si>
    <t>0005193</t>
  </si>
  <si>
    <t>1/2"-U12-PRO-PIT-120029-TUB</t>
  </si>
  <si>
    <t>PIT-120031</t>
  </si>
  <si>
    <t>0005194</t>
  </si>
  <si>
    <t>1/2"-U12-PRO-PIT-120031-TUB</t>
  </si>
  <si>
    <t>PIT-120032</t>
  </si>
  <si>
    <t>0005195</t>
  </si>
  <si>
    <t>1/2"-U12-PRO-PIT-120032-TUB</t>
  </si>
  <si>
    <t>PIT-120033</t>
  </si>
  <si>
    <t>0005196</t>
  </si>
  <si>
    <t>1/2"-U12-PRO-PIT-120033-TUB</t>
  </si>
  <si>
    <t>PIT-120034</t>
  </si>
  <si>
    <t>0005197</t>
  </si>
  <si>
    <t>1/2"-U12-PRO-PIT-120034-TUB</t>
  </si>
  <si>
    <t>PIT-120035</t>
  </si>
  <si>
    <t>0005198</t>
  </si>
  <si>
    <t>1/2"-U12-PRO-PIT-120035-TUB</t>
  </si>
  <si>
    <t>PIT-120036</t>
  </si>
  <si>
    <t>0005199</t>
  </si>
  <si>
    <t>1/2"-U12-PRO-PIT-120036-TUB</t>
  </si>
  <si>
    <t>PIT-120037</t>
  </si>
  <si>
    <t>0005200</t>
  </si>
  <si>
    <t>1/2"-U12-PRO-PIT-120037-TUB</t>
  </si>
  <si>
    <t>PIT-120040</t>
  </si>
  <si>
    <t>0005201</t>
  </si>
  <si>
    <t>1/2"-U12-PRO-PIT-120040-TUB</t>
  </si>
  <si>
    <t>PIT-120041</t>
  </si>
  <si>
    <t>0005202</t>
  </si>
  <si>
    <t>1/2"-U12-PRO-PIT-120041-TUB</t>
  </si>
  <si>
    <t>PIT-120042</t>
  </si>
  <si>
    <t>0005203</t>
  </si>
  <si>
    <t>1/2"-U12-PRO-PIT-120042-TUB</t>
  </si>
  <si>
    <t>PIT-120043</t>
  </si>
  <si>
    <t>0005204</t>
  </si>
  <si>
    <t>1/2"-U12-PRO-PIT-120043-TUB</t>
  </si>
  <si>
    <t>PIT-120044</t>
  </si>
  <si>
    <t>0005205</t>
  </si>
  <si>
    <t>1/2"-U12-PRO-PIT-120044-TUB</t>
  </si>
  <si>
    <t>PIT-120045</t>
  </si>
  <si>
    <t>0012-0101-0032-001</t>
  </si>
  <si>
    <t>0006765</t>
  </si>
  <si>
    <t>Subsistema da Dessalgadoras - DL-12001A</t>
  </si>
  <si>
    <t>1/2"-U12-PRO-PIT-120045-TUB</t>
  </si>
  <si>
    <t>PIT-120046</t>
  </si>
  <si>
    <t>0006766</t>
  </si>
  <si>
    <t>1/2"-U12-PRO-PIT-120046-TUB</t>
  </si>
  <si>
    <t>PIT-120047</t>
  </si>
  <si>
    <t>0006767</t>
  </si>
  <si>
    <t>1/2"-U12-PRO-PIT-120047-TUB</t>
  </si>
  <si>
    <t>PIT-120048</t>
  </si>
  <si>
    <t>0006768</t>
  </si>
  <si>
    <t>1/2"-U12-PRO-PIT-120048-TUB</t>
  </si>
  <si>
    <t>PIT-120049</t>
  </si>
  <si>
    <t>0005206</t>
  </si>
  <si>
    <t>1/2"-U12-PRO-PIT-120049-TUB</t>
  </si>
  <si>
    <t>PIT-120050</t>
  </si>
  <si>
    <t>0005207</t>
  </si>
  <si>
    <t>1/2"-U12-PRO-PIT-120050-TUB</t>
  </si>
  <si>
    <t>PIT-120051</t>
  </si>
  <si>
    <t>0005208</t>
  </si>
  <si>
    <t>1/2"-U12-PRO-PIT-120051-TUB</t>
  </si>
  <si>
    <t>PIT-120052</t>
  </si>
  <si>
    <t>0005209</t>
  </si>
  <si>
    <t>1/2"-U12-PRO-PIT-120052-TUB</t>
  </si>
  <si>
    <t>PIT-120053</t>
  </si>
  <si>
    <t>0005210</t>
  </si>
  <si>
    <t>1/2"-U12-PRO-PIT-120053-TUB</t>
  </si>
  <si>
    <t>PIT-120054</t>
  </si>
  <si>
    <t>0005211</t>
  </si>
  <si>
    <t>1/2"-U12-PRO-PIT-120054-TUB</t>
  </si>
  <si>
    <t>PIT-120056</t>
  </si>
  <si>
    <t>0005212</t>
  </si>
  <si>
    <t>1/2"-U12-PRO-PIT-120056-TUB</t>
  </si>
  <si>
    <t>PIT-120057</t>
  </si>
  <si>
    <t>0005213</t>
  </si>
  <si>
    <t>1/2"-U12-PRO-PIT-120057-TUB</t>
  </si>
  <si>
    <t>PIT-120058</t>
  </si>
  <si>
    <t>0012-0131-0064-004</t>
  </si>
  <si>
    <t>0005214</t>
  </si>
  <si>
    <t>BOMBA DE MUDWASH DO 1º ESTAGIO - B-12004B</t>
  </si>
  <si>
    <t>1/2"-U12-PRO-PIT-120058-TUB</t>
  </si>
  <si>
    <t>PIT-120059</t>
  </si>
  <si>
    <t>0005215</t>
  </si>
  <si>
    <t>1/2"-U12-PRO-PIT-120059-TUB</t>
  </si>
  <si>
    <t>PIT-120060</t>
  </si>
  <si>
    <t>0005216</t>
  </si>
  <si>
    <t>1/2"-U12-PRO-PIT-120060-TUB</t>
  </si>
  <si>
    <t>PIT-120061</t>
  </si>
  <si>
    <t>0005217</t>
  </si>
  <si>
    <t>1/2"-U12-PRO-PIT-120061-TUB</t>
  </si>
  <si>
    <t>PIT-120063</t>
  </si>
  <si>
    <t>0008492</t>
  </si>
  <si>
    <t>1/2"-U12-PRO-PIT-120063-TUB</t>
  </si>
  <si>
    <t>PIT-120064</t>
  </si>
  <si>
    <t>0005218</t>
  </si>
  <si>
    <t>1/2"-U12-PRO-PIT-120064-TUB</t>
  </si>
  <si>
    <t>PIT-120065</t>
  </si>
  <si>
    <t>0005219</t>
  </si>
  <si>
    <t>1/2"-U12-PRO-PIT-120065-TUB</t>
  </si>
  <si>
    <t>PIT-120066</t>
  </si>
  <si>
    <t>0005220</t>
  </si>
  <si>
    <t>1/2"-U12-PRO-PIT-120066-TUB</t>
  </si>
  <si>
    <t>PIT-120067</t>
  </si>
  <si>
    <t>0005221</t>
  </si>
  <si>
    <t>1/2"-U12-PRO-PIT-120067-TUB</t>
  </si>
  <si>
    <t>PIT-120068</t>
  </si>
  <si>
    <t>0005222</t>
  </si>
  <si>
    <t>1/2"-U12-PRO-PIT-120068-TUB</t>
  </si>
  <si>
    <t>PIT-120069</t>
  </si>
  <si>
    <t>0005223</t>
  </si>
  <si>
    <t>1/2"-U12-PRO-PIT-120069-TUB</t>
  </si>
  <si>
    <t>PIT-120070</t>
  </si>
  <si>
    <t>0005224</t>
  </si>
  <si>
    <t>1/2"-U12-PRO-PIT-120070-TUB</t>
  </si>
  <si>
    <t>PIT-120071</t>
  </si>
  <si>
    <t>0005225</t>
  </si>
  <si>
    <t>1/2"-U12-PRO-PIT-120071-TUB</t>
  </si>
  <si>
    <t>PIT-120072</t>
  </si>
  <si>
    <t>0008493</t>
  </si>
  <si>
    <t>1/2"-U12-PRO-PIT-120072-TUB</t>
  </si>
  <si>
    <t>PIT-120073</t>
  </si>
  <si>
    <t>0005226</t>
  </si>
  <si>
    <t>1/2"-U12-PRO-PIT-120073-TUB</t>
  </si>
  <si>
    <t>PIT-120074</t>
  </si>
  <si>
    <t>0005227</t>
  </si>
  <si>
    <t>1/2"-U12-PRO-PIT-120074-TUB</t>
  </si>
  <si>
    <t>PIT-120075</t>
  </si>
  <si>
    <t>0005228</t>
  </si>
  <si>
    <t>1/2"-U12-PRO-PIT-120075-TUB</t>
  </si>
  <si>
    <t>PIT-120076</t>
  </si>
  <si>
    <t>0005229</t>
  </si>
  <si>
    <t>1/2"-U12-PRO-PIT-120076-TUB</t>
  </si>
  <si>
    <t>PIT-120077</t>
  </si>
  <si>
    <t>0005230</t>
  </si>
  <si>
    <t>1/2"-U12-PRO-PIT-120077-TUB</t>
  </si>
  <si>
    <t>PIT-120078</t>
  </si>
  <si>
    <t>0005231</t>
  </si>
  <si>
    <t>1/2"-U12-PRO-PIT-120078-TUB</t>
  </si>
  <si>
    <t>PIT-120079</t>
  </si>
  <si>
    <t>0005232</t>
  </si>
  <si>
    <t>1/2"-U12-PRO-PIT-120079-TUB</t>
  </si>
  <si>
    <t>PIT-120080</t>
  </si>
  <si>
    <t>0005233</t>
  </si>
  <si>
    <t>1/2"-U12-PRO-PIT-120080-TUB</t>
  </si>
  <si>
    <t>PIT-120081</t>
  </si>
  <si>
    <t>0005234</t>
  </si>
  <si>
    <t>1/2"-U12-PRO-PIT-120081-TUB</t>
  </si>
  <si>
    <t>PIT-120082</t>
  </si>
  <si>
    <t>0005235</t>
  </si>
  <si>
    <t>1/2"-U12-PRO-PIT-120082-TUB</t>
  </si>
  <si>
    <t>PIT-120083</t>
  </si>
  <si>
    <t>0005236</t>
  </si>
  <si>
    <t>1/2"-U12-PRO-PIT-120083-TUB</t>
  </si>
  <si>
    <t>PIT-120084</t>
  </si>
  <si>
    <t>0005237</t>
  </si>
  <si>
    <t>1/2"-U12-PRO-PIT-120084-TUB</t>
  </si>
  <si>
    <t>PIT-120085</t>
  </si>
  <si>
    <t>0008494</t>
  </si>
  <si>
    <t>1/2"-U12-PRO-PIT-120085-TUB</t>
  </si>
  <si>
    <t>PIT-120086</t>
  </si>
  <si>
    <t>0008495</t>
  </si>
  <si>
    <t>1/2"-U12-PRO-PIT-120086-TUB</t>
  </si>
  <si>
    <t>PIT-120087</t>
  </si>
  <si>
    <t>0008496</t>
  </si>
  <si>
    <t>1/2"-U12-PRO-PIT-120087-TUB</t>
  </si>
  <si>
    <t>PIT-120088</t>
  </si>
  <si>
    <t>0008497</t>
  </si>
  <si>
    <t>1/2"-U12-PRO-PIT-120088-TUB</t>
  </si>
  <si>
    <t>PIT-120090</t>
  </si>
  <si>
    <t>0005238</t>
  </si>
  <si>
    <t>1/2"-U12-PRO-PIT-120090-TUB</t>
  </si>
  <si>
    <t>PIT-120091</t>
  </si>
  <si>
    <t>0005239</t>
  </si>
  <si>
    <t>1/2"-U12-PRO-PIT-120091-TUB</t>
  </si>
  <si>
    <t>PIT-120092</t>
  </si>
  <si>
    <t>0012-0115-0046</t>
  </si>
  <si>
    <t>0012-0115-0046-004</t>
  </si>
  <si>
    <t>0005240</t>
  </si>
  <si>
    <t>Subsistema do Vaso V-12002 - Vasos</t>
  </si>
  <si>
    <t>1/2"-U12-PRO-PIT-120092-TUB</t>
  </si>
  <si>
    <t>PIT-120093</t>
  </si>
  <si>
    <t>0005241</t>
  </si>
  <si>
    <t>1/2"-U12-PRO-PIT-120093-TUB</t>
  </si>
  <si>
    <t>PIT-120094</t>
  </si>
  <si>
    <t>0005242</t>
  </si>
  <si>
    <t>1/2"-U12-PRO-PIT-120094-TUB</t>
  </si>
  <si>
    <t>PIT-120097</t>
  </si>
  <si>
    <t>0005243</t>
  </si>
  <si>
    <t>1/2"-U12-PRO-PIT-120097-TUB</t>
  </si>
  <si>
    <t>PIT-120098</t>
  </si>
  <si>
    <t>0005244</t>
  </si>
  <si>
    <t>1/2"-U12-PRO-PIT-120098-TUB</t>
  </si>
  <si>
    <t>PIT-120099</t>
  </si>
  <si>
    <t>0005245</t>
  </si>
  <si>
    <t>1/2"-U12-PRO-PIT-120099-TUB</t>
  </si>
  <si>
    <t>PIT-120100</t>
  </si>
  <si>
    <t>0005246</t>
  </si>
  <si>
    <t>1/2"-U12-PRO-PIT-120100-TUB</t>
  </si>
  <si>
    <t>PIT-120101</t>
  </si>
  <si>
    <t>0005247</t>
  </si>
  <si>
    <t>1/2"-U12-PRO-PIT-120101-TUB</t>
  </si>
  <si>
    <t>PIT-120102</t>
  </si>
  <si>
    <t>0005248</t>
  </si>
  <si>
    <t>1/2"-U12-PRO-PIT-120102-TUB</t>
  </si>
  <si>
    <t>PIT-120105</t>
  </si>
  <si>
    <t>0005249</t>
  </si>
  <si>
    <t>1/2"-U12-PRO-PIT-120105-TUB</t>
  </si>
  <si>
    <t>PIT-120108</t>
  </si>
  <si>
    <t>0005250</t>
  </si>
  <si>
    <t>1/2"-U12-PRO-PIT-120108-TUB</t>
  </si>
  <si>
    <t>PIT-120109</t>
  </si>
  <si>
    <t>0005251</t>
  </si>
  <si>
    <t>1/2"-U12-PRO-PIT-120109-TUB</t>
  </si>
  <si>
    <t>PIT-120112</t>
  </si>
  <si>
    <t>0005252</t>
  </si>
  <si>
    <t>1/2"-U12-PRO-PIT-120112-TUB</t>
  </si>
  <si>
    <t>PIT-120115</t>
  </si>
  <si>
    <t>0005253</t>
  </si>
  <si>
    <t>1/2"-U12-PRO-PIT-120115-TUB</t>
  </si>
  <si>
    <t>PIT-120118</t>
  </si>
  <si>
    <t>0005254</t>
  </si>
  <si>
    <t>1/2"-U12-PRO-PIT-120118-TUB</t>
  </si>
  <si>
    <t>PIT-120119</t>
  </si>
  <si>
    <t>0005255</t>
  </si>
  <si>
    <t>1/2"-U12-PRO-PIT-120119-TUB</t>
  </si>
  <si>
    <t>PIT-120122</t>
  </si>
  <si>
    <t>0005256</t>
  </si>
  <si>
    <t>1/2"-U12-PRO-PIT-120122-TUB</t>
  </si>
  <si>
    <t>PIT-120123</t>
  </si>
  <si>
    <t>0005257</t>
  </si>
  <si>
    <t>1/2"-U12-PRO-PIT-120123-TUB</t>
  </si>
  <si>
    <t>PIT-120126</t>
  </si>
  <si>
    <t>0006698</t>
  </si>
  <si>
    <t>1/2"-U12-PRO-PIT-120126-TUB</t>
  </si>
  <si>
    <t>PIT-120129</t>
  </si>
  <si>
    <t>0006699</t>
  </si>
  <si>
    <t>1/2"-U12-PRO-PIT-120129-TUB</t>
  </si>
  <si>
    <t>PIT-120130</t>
  </si>
  <si>
    <t>0006700</t>
  </si>
  <si>
    <t>1/2"-U12-PRO-PIT-120130-TUB</t>
  </si>
  <si>
    <t>PIT-120131</t>
  </si>
  <si>
    <t>0012-0105-0036-002</t>
  </si>
  <si>
    <t>0006701</t>
  </si>
  <si>
    <t>Subsistema atmosférico - RAT - B-12016B - U-12</t>
  </si>
  <si>
    <t>1/2"-U12-PRO-PIT-120131-TUB</t>
  </si>
  <si>
    <t>PIT-120132</t>
  </si>
  <si>
    <t>0006702</t>
  </si>
  <si>
    <t>1/2"-U12-PRO-PIT-120132-TUB</t>
  </si>
  <si>
    <t>PIT-120133</t>
  </si>
  <si>
    <t>0006703</t>
  </si>
  <si>
    <t>1/2"-U12-PRO-PIT-120133-TUB</t>
  </si>
  <si>
    <t>PIT-120134</t>
  </si>
  <si>
    <t>0006704</t>
  </si>
  <si>
    <t>1/2"-U12-PRO-PIT-120134-TUB</t>
  </si>
  <si>
    <t>PIT-120135</t>
  </si>
  <si>
    <t>0006705</t>
  </si>
  <si>
    <t>1/2"-U12-PRO-PIT-120135-TUB</t>
  </si>
  <si>
    <t>PIT-120136</t>
  </si>
  <si>
    <t>0006706</t>
  </si>
  <si>
    <t>1/2"-U12-PRO-PIT-120136-TUB</t>
  </si>
  <si>
    <t>PIT-120137</t>
  </si>
  <si>
    <t>0006707</t>
  </si>
  <si>
    <t>1/2"-U12-PRO-PIT-120137-TUB</t>
  </si>
  <si>
    <t>PIT-120138</t>
  </si>
  <si>
    <t>0005258</t>
  </si>
  <si>
    <t>1/2"-U12-PRO-PIT-120138-TUB</t>
  </si>
  <si>
    <t>PIT-120139</t>
  </si>
  <si>
    <t>0005259</t>
  </si>
  <si>
    <t>1/2"-U12-PRO-PIT-120139-TUB</t>
  </si>
  <si>
    <t>PIT-120140</t>
  </si>
  <si>
    <t>0005260</t>
  </si>
  <si>
    <t>1/2"-U12-PRO-PIT-120140-TUB</t>
  </si>
  <si>
    <t>PIT-120141</t>
  </si>
  <si>
    <t>0010123</t>
  </si>
  <si>
    <t>1/2"-U12-PRO-PIT-120141-TUB</t>
  </si>
  <si>
    <t>PIT-120142</t>
  </si>
  <si>
    <t>0010124</t>
  </si>
  <si>
    <t>1/2"-U12-PRO-PIT-120142-TUB</t>
  </si>
  <si>
    <t>PIT-120143</t>
  </si>
  <si>
    <t>0010125</t>
  </si>
  <si>
    <t>1/2"-U12-PRO-PIT-120143-TUB</t>
  </si>
  <si>
    <t>PIT-120144</t>
  </si>
  <si>
    <t>0010126</t>
  </si>
  <si>
    <t>1/2"-U12-PRO-PIT-120144-TUB</t>
  </si>
  <si>
    <t>PIT-120145</t>
  </si>
  <si>
    <t>0005261</t>
  </si>
  <si>
    <t>1/2"-U12-PRO-PIT-120145-TUB</t>
  </si>
  <si>
    <t>PIT-120146</t>
  </si>
  <si>
    <t>0008498</t>
  </si>
  <si>
    <t>1/2"-U12-PRO-PIT-120146-TUB</t>
  </si>
  <si>
    <t>PIT-120149</t>
  </si>
  <si>
    <t>0005262</t>
  </si>
  <si>
    <t>1/2"-U12-PRO-PIT-120149-TUB</t>
  </si>
  <si>
    <t>PIT-120150</t>
  </si>
  <si>
    <t>0005263</t>
  </si>
  <si>
    <t>1/2"-U12-PRO-PIT-120150-TUB</t>
  </si>
  <si>
    <t>PIT-120151</t>
  </si>
  <si>
    <t>0005264</t>
  </si>
  <si>
    <t>1/2"-U12-PRO-PIT-120151-TUB</t>
  </si>
  <si>
    <t>PIT-120154</t>
  </si>
  <si>
    <t>0005265</t>
  </si>
  <si>
    <t>1/2"-U12-PRO-PIT-120154-TUB</t>
  </si>
  <si>
    <t>PIT-120156</t>
  </si>
  <si>
    <t>0008499</t>
  </si>
  <si>
    <t>1/2"-U12-PRO-PIT-120156-TUB</t>
  </si>
  <si>
    <t>PIT-120157</t>
  </si>
  <si>
    <t>0005266</t>
  </si>
  <si>
    <t>1/2"-U12-PRO-PIT-120157-TUB</t>
  </si>
  <si>
    <t>PIT-120160</t>
  </si>
  <si>
    <t>0005267</t>
  </si>
  <si>
    <t>1/2"-U12-PRO-PIT-120160-TUB</t>
  </si>
  <si>
    <t>PIT-120163</t>
  </si>
  <si>
    <t>0012-0112-0043-002</t>
  </si>
  <si>
    <t>0005268</t>
  </si>
  <si>
    <t>Subsistema circulante de topo Bomba de Refluxo Circulante de topo B</t>
  </si>
  <si>
    <t>1/2"-U12-PRO-PIT-120163-TUB</t>
  </si>
  <si>
    <t>PIT-120164</t>
  </si>
  <si>
    <t>0005269</t>
  </si>
  <si>
    <t>1/2"-U12-PRO-PIT-120164-TUB</t>
  </si>
  <si>
    <t>PIT-120165</t>
  </si>
  <si>
    <t>0005270</t>
  </si>
  <si>
    <t>1/2"-U12-PRO-PIT-120165-TUB</t>
  </si>
  <si>
    <t>PIT-120166</t>
  </si>
  <si>
    <t>0005271</t>
  </si>
  <si>
    <t>1/2"-U12-PRO-PIT-120166-TUB</t>
  </si>
  <si>
    <t>PIT-120167</t>
  </si>
  <si>
    <t>0005272</t>
  </si>
  <si>
    <t>1/2"-U12-PRO-PIT-120167-TUB</t>
  </si>
  <si>
    <t>PIT-120168</t>
  </si>
  <si>
    <t>0005273</t>
  </si>
  <si>
    <t>1/2"-U12-PRO-PIT-120168-TUB</t>
  </si>
  <si>
    <t>PIT-120169</t>
  </si>
  <si>
    <t>0008500</t>
  </si>
  <si>
    <t>1/2"-U12-PRO-PIT-120169-TUB</t>
  </si>
  <si>
    <t>PIT-120172</t>
  </si>
  <si>
    <t>0005274</t>
  </si>
  <si>
    <t>1/2"-U12-PRO-PIT-120172-TUB</t>
  </si>
  <si>
    <t>PIT-120174</t>
  </si>
  <si>
    <t>0005275</t>
  </si>
  <si>
    <t>1/2"-U12-PRO-PIT-120174-TUB</t>
  </si>
  <si>
    <t>PIT-120178</t>
  </si>
  <si>
    <t>0012-0039-0012</t>
  </si>
  <si>
    <t>0012-0039-0012-001</t>
  </si>
  <si>
    <t>0005276</t>
  </si>
  <si>
    <t>Subsistema Operacional de esgotamento U-12</t>
  </si>
  <si>
    <t>1/2"-U12-PRO-PIT-120178-TUB</t>
  </si>
  <si>
    <t>PIT-120189</t>
  </si>
  <si>
    <t>0005277</t>
  </si>
  <si>
    <t>1/2"-U12-PRO-PIT-120189-TUB</t>
  </si>
  <si>
    <t>PIT-120192</t>
  </si>
  <si>
    <t>0005278</t>
  </si>
  <si>
    <t>1/2"-U12-PRO-PIT-120192-TUB</t>
  </si>
  <si>
    <t>PIT-120193</t>
  </si>
  <si>
    <t>0005279</t>
  </si>
  <si>
    <t>1/2"-U12-PRO-PIT-120193-TUB</t>
  </si>
  <si>
    <t>PIT-120194</t>
  </si>
  <si>
    <t>0008501</t>
  </si>
  <si>
    <t>1/2"-U12-PRO-PIT-120194-TUB</t>
  </si>
  <si>
    <t>PIT-120195</t>
  </si>
  <si>
    <t>0005280</t>
  </si>
  <si>
    <t>1/2"-U12-PRO-PIT-120195-TUB</t>
  </si>
  <si>
    <t>PIT-120196</t>
  </si>
  <si>
    <t>0005281</t>
  </si>
  <si>
    <t>1/2"-U12-PRO-PIT-120196-TUB</t>
  </si>
  <si>
    <t>PIT-120197</t>
  </si>
  <si>
    <t>0005282</t>
  </si>
  <si>
    <t>1/2"-U12-PRO-PIT-120197-TUB</t>
  </si>
  <si>
    <t>PIT-120198</t>
  </si>
  <si>
    <t>0005283</t>
  </si>
  <si>
    <t>1/2"-U12-PRO-PIT-120198-TUB</t>
  </si>
  <si>
    <t>PIT-120199</t>
  </si>
  <si>
    <t>0005284</t>
  </si>
  <si>
    <t>1/2"-U12-PRO-PIT-120199-TUB</t>
  </si>
  <si>
    <t>PIT-120200</t>
  </si>
  <si>
    <t>0005285</t>
  </si>
  <si>
    <t>1/2"-U12-PRO-PIT-120200-TUB</t>
  </si>
  <si>
    <t>PIT-120201</t>
  </si>
  <si>
    <t>0005286</t>
  </si>
  <si>
    <t>1/2"-U12-PRO-PIT-120201-TUB</t>
  </si>
  <si>
    <t>PIT-120202</t>
  </si>
  <si>
    <t>0005287</t>
  </si>
  <si>
    <t>1/2"-U12-PRO-PIT-120202-TUB</t>
  </si>
  <si>
    <t>PIT-120205</t>
  </si>
  <si>
    <t>0005288</t>
  </si>
  <si>
    <t>1/2"-U12-PRO-PIT-120205-TUB</t>
  </si>
  <si>
    <t>PIT-120206</t>
  </si>
  <si>
    <t>0005289</t>
  </si>
  <si>
    <t>1/2"-U12-PRO-PIT-120206-TUB</t>
  </si>
  <si>
    <t>PIT-120207</t>
  </si>
  <si>
    <t>0005290</t>
  </si>
  <si>
    <t>1/2"-U12-PRO-PIT-120207-TUB</t>
  </si>
  <si>
    <t>PIT-120208</t>
  </si>
  <si>
    <t>0005291</t>
  </si>
  <si>
    <t>1/2"-U12-PRO-PIT-120208-TUB</t>
  </si>
  <si>
    <t>PIT-120209</t>
  </si>
  <si>
    <t>0005292</t>
  </si>
  <si>
    <t>1/2"-U12-PRO-PIT-120209-TUB</t>
  </si>
  <si>
    <t>PIT-120210</t>
  </si>
  <si>
    <t>0005293</t>
  </si>
  <si>
    <t>1/2"-U12-PRO-PIT-120210-TUB</t>
  </si>
  <si>
    <t>PIT-120211</t>
  </si>
  <si>
    <t>0008502</t>
  </si>
  <si>
    <t>1/2"-U12-PRO-PIT-120211-TUB</t>
  </si>
  <si>
    <t>PIT-120212</t>
  </si>
  <si>
    <t>0008503</t>
  </si>
  <si>
    <t>1/2"-U12-PRO-PIT-120212-TUB</t>
  </si>
  <si>
    <t>PIT-120213</t>
  </si>
  <si>
    <t>0008504</t>
  </si>
  <si>
    <t>1/2"-U12-PRO-PIT-120213-TUB</t>
  </si>
  <si>
    <t>PIT-120214</t>
  </si>
  <si>
    <t>0008505</t>
  </si>
  <si>
    <t>1/2"-U12-PRO-PIT-120214-TUB</t>
  </si>
  <si>
    <t>PIT-120215</t>
  </si>
  <si>
    <t>0005294</t>
  </si>
  <si>
    <t>1/2"-U12-PRO-PIT-120215-TUB</t>
  </si>
  <si>
    <t>PIT-120217</t>
  </si>
  <si>
    <t>0005295</t>
  </si>
  <si>
    <t>1/2"-U12-PRO-PIT-120217-TUB</t>
  </si>
  <si>
    <t>PIT-120218</t>
  </si>
  <si>
    <t>0012-0383-0056</t>
  </si>
  <si>
    <t>0012-0383-0056-001</t>
  </si>
  <si>
    <t>0005296</t>
  </si>
  <si>
    <t>Subsistema Dissulfeto - TIE-0041 até Coletor do filtro cru</t>
  </si>
  <si>
    <t>1/2"-U12-PRO-PIT-120218-TUB</t>
  </si>
  <si>
    <t>PIT-120219</t>
  </si>
  <si>
    <t>0005297</t>
  </si>
  <si>
    <t>1/2"-U12-PRO-PIT-120219-TUB</t>
  </si>
  <si>
    <t>PIT-120220</t>
  </si>
  <si>
    <t>0005298</t>
  </si>
  <si>
    <t>1/2"-U12-PRO-PIT-120220-TUB</t>
  </si>
  <si>
    <t>PIT-120221</t>
  </si>
  <si>
    <t>0005299</t>
  </si>
  <si>
    <t>1/2"-U12-PRO-PIT-120221-TUB</t>
  </si>
  <si>
    <t>PIT-120222</t>
  </si>
  <si>
    <t>0005300</t>
  </si>
  <si>
    <t>1/2"-U12-PRO-PIT-120222-TUB</t>
  </si>
  <si>
    <t>PIT-120223</t>
  </si>
  <si>
    <t>0008506</t>
  </si>
  <si>
    <t>1/2"-U12-PRO-PIT-120223-TUB</t>
  </si>
  <si>
    <t>PIT-120400</t>
  </si>
  <si>
    <t>0012-0052-0058</t>
  </si>
  <si>
    <t>0012-0052-0058-001</t>
  </si>
  <si>
    <t>0005301</t>
  </si>
  <si>
    <t>Subsistema de Linha de GLP vaporizado da PV do topo do V-12051 até o L.B.</t>
  </si>
  <si>
    <t>1/2"-U12-PRO-PIT-120400-TUB</t>
  </si>
  <si>
    <t>PIT-120401</t>
  </si>
  <si>
    <t>0005302</t>
  </si>
  <si>
    <t>1/2"-U12-PRO-PIT-120401-TUB</t>
  </si>
  <si>
    <t>PIT-120402</t>
  </si>
  <si>
    <t>0005303</t>
  </si>
  <si>
    <t>1/2"-U12-PRO-PIT-120402-TUB</t>
  </si>
  <si>
    <t>PIT-120403</t>
  </si>
  <si>
    <t>0012-0008-0003</t>
  </si>
  <si>
    <t>0012-0008-0003-001</t>
  </si>
  <si>
    <t>0005304</t>
  </si>
  <si>
    <t>Subsistema de Chuveiro Lava olhos U-12</t>
  </si>
  <si>
    <t>1/2"-U12-PRO-PIT-120403-TUB</t>
  </si>
  <si>
    <t>PIT-120404</t>
  </si>
  <si>
    <t>0012-0063-0021</t>
  </si>
  <si>
    <t>0012-0063-0021-001</t>
  </si>
  <si>
    <t>0005305</t>
  </si>
  <si>
    <t>Subsistema de Óleo de Lavagem TIE-IN-030 - U12</t>
  </si>
  <si>
    <t>1/2"-U12-PRO-PIT-120404-TUB</t>
  </si>
  <si>
    <t>PIT-120405</t>
  </si>
  <si>
    <t>0005306</t>
  </si>
  <si>
    <t>1/2"-U12-PRO-PIT-120405-TUB</t>
  </si>
  <si>
    <t>PIT-120406</t>
  </si>
  <si>
    <t>0012-0061-0020</t>
  </si>
  <si>
    <t>0012-0061-0020-001</t>
  </si>
  <si>
    <t>0005307</t>
  </si>
  <si>
    <t>Subsistema de Óleo Combustível (Retorno)</t>
  </si>
  <si>
    <t>1/2"-U12-PRO-PIT-120406-TUB</t>
  </si>
  <si>
    <t>PIT-120408</t>
  </si>
  <si>
    <t>0005308</t>
  </si>
  <si>
    <t>1/2"-U12-PRO-PIT-120408-TUB</t>
  </si>
  <si>
    <t>PIT-120409</t>
  </si>
  <si>
    <t>0005309</t>
  </si>
  <si>
    <t>1/2"-U12-PRO-PIT-120409-TUB</t>
  </si>
  <si>
    <t>PIT-120410</t>
  </si>
  <si>
    <t>0005310</t>
  </si>
  <si>
    <t>1/2"-U12-PRO-PIT-120410-TUB</t>
  </si>
  <si>
    <t>PIT-120411</t>
  </si>
  <si>
    <t>0012-0012-0005</t>
  </si>
  <si>
    <t>0012-0012-0005-001</t>
  </si>
  <si>
    <t>0005311</t>
  </si>
  <si>
    <t>Subsistema Operacional de Água de Resfriamento (Retorno) - TIE-IN-0018</t>
  </si>
  <si>
    <t>1/2"-U12-PRO-PIT-120411-TUB</t>
  </si>
  <si>
    <t>PIT-120412</t>
  </si>
  <si>
    <t>0005312</t>
  </si>
  <si>
    <t>1/2"-U12-PRO-PIT-120412-TUB</t>
  </si>
  <si>
    <t>PIT-120413</t>
  </si>
  <si>
    <t>0005313</t>
  </si>
  <si>
    <t>1/2"-U12-PRO-PIT-120413-TUB</t>
  </si>
  <si>
    <t>PIT-120414</t>
  </si>
  <si>
    <t>0005314</t>
  </si>
  <si>
    <t>1/2"-U12-PRO-PIT-120414-TUB</t>
  </si>
  <si>
    <t>PIT-120415</t>
  </si>
  <si>
    <t>0005315</t>
  </si>
  <si>
    <t>1/2"-U12-PRO-PIT-120415-TUB</t>
  </si>
  <si>
    <t>PIT-120416</t>
  </si>
  <si>
    <t>0005316</t>
  </si>
  <si>
    <t>1/2"-U12-PRO-PIT-120416-TUB</t>
  </si>
  <si>
    <t>PIT-120417</t>
  </si>
  <si>
    <t>0005317</t>
  </si>
  <si>
    <t>1/2"-U12-PRO-PIT-120417-TUB</t>
  </si>
  <si>
    <t>PIT-120437</t>
  </si>
  <si>
    <t>0005318</t>
  </si>
  <si>
    <t>1/2"-U12-PRO-PIT-120437-TUB</t>
  </si>
  <si>
    <t>PIT-120438</t>
  </si>
  <si>
    <t>0005319</t>
  </si>
  <si>
    <t>1/2"-U12-PRO-PIT-120438-TUB</t>
  </si>
  <si>
    <t>PIT-120440</t>
  </si>
  <si>
    <t>0005320</t>
  </si>
  <si>
    <t>1/2"-U12-PRO-PIT-120440-TUB</t>
  </si>
  <si>
    <t>PIT-120443</t>
  </si>
  <si>
    <t>0012-0082-0026</t>
  </si>
  <si>
    <t>0012-0082-0026-001</t>
  </si>
  <si>
    <t>0005321</t>
  </si>
  <si>
    <t>Subsistema Condensado de Média Pressão - U12</t>
  </si>
  <si>
    <t>1/2"-U12-PRO-PIT-120443-TUB</t>
  </si>
  <si>
    <t>PIT-120493</t>
  </si>
  <si>
    <t>0012-0096-0030</t>
  </si>
  <si>
    <t>0012-0096-0030-001</t>
  </si>
  <si>
    <t>0005322</t>
  </si>
  <si>
    <t>Subsistema de Tocha PARA: TIE-0026</t>
  </si>
  <si>
    <t>1/2"-U12-PRO-PIT-120493-TUB</t>
  </si>
  <si>
    <t>PIT-120500</t>
  </si>
  <si>
    <t>0012-0028-0001</t>
  </si>
  <si>
    <t>0012-0028-0001-010</t>
  </si>
  <si>
    <t>0008440</t>
  </si>
  <si>
    <t>Subsistema Sistema De Dilúvio</t>
  </si>
  <si>
    <t>1/2"-U12-PRO-PIT-120500-TUB</t>
  </si>
  <si>
    <t>PIT-120501</t>
  </si>
  <si>
    <t>0008441</t>
  </si>
  <si>
    <t>1/2"-U12-PRO-PIT-120501-TUB</t>
  </si>
  <si>
    <t>PIT-120502</t>
  </si>
  <si>
    <t>0008442</t>
  </si>
  <si>
    <t>1/2"-U12-PRO-PIT-120502-TUB</t>
  </si>
  <si>
    <t>PIT-120503</t>
  </si>
  <si>
    <t>0008443</t>
  </si>
  <si>
    <t>1/2"-U12-PRO-PIT-120503-TUB</t>
  </si>
  <si>
    <t>PIT-120504</t>
  </si>
  <si>
    <t>0008444</t>
  </si>
  <si>
    <t>1/2"-U12-PRO-PIT-120504-TUB</t>
  </si>
  <si>
    <t>PIT-120601</t>
  </si>
  <si>
    <t>0001773</t>
  </si>
  <si>
    <t>1/2"-U12-PRO-PIT-120601-TUB</t>
  </si>
  <si>
    <t>PIT-120607</t>
  </si>
  <si>
    <t>0001774</t>
  </si>
  <si>
    <t>1/2"-U12-PRO-PIT-120607-TUB</t>
  </si>
  <si>
    <t>PIT-120615A</t>
  </si>
  <si>
    <t>0001775</t>
  </si>
  <si>
    <t>1/2"-U12-PRO-PIT-120615A-TUB</t>
  </si>
  <si>
    <t>PIT-120615B</t>
  </si>
  <si>
    <t>0001776</t>
  </si>
  <si>
    <t>1/2"-U12-PRO-PIT-120615B-TUB</t>
  </si>
  <si>
    <t>PIT-120616</t>
  </si>
  <si>
    <t>0001777</t>
  </si>
  <si>
    <t>1/2"-U12-PRO-PIT-120616-TUB</t>
  </si>
  <si>
    <t>PIT-120617</t>
  </si>
  <si>
    <t>0001778</t>
  </si>
  <si>
    <t>1/2"-U12-PRO-PIT-120617-TUB</t>
  </si>
  <si>
    <t>PIT-120618</t>
  </si>
  <si>
    <t>0001779</t>
  </si>
  <si>
    <t>1/2"-U12-PRO-PIT-120618-TUB</t>
  </si>
  <si>
    <t>PIT-120619</t>
  </si>
  <si>
    <t>0001780</t>
  </si>
  <si>
    <t>1/2"-U12-PRO-PIT-120619-TUB</t>
  </si>
  <si>
    <t>PIT-120620</t>
  </si>
  <si>
    <t>0001781</t>
  </si>
  <si>
    <t>1/2"-U12-PRO-PIT-120620-TUB</t>
  </si>
  <si>
    <t>PIT-120621</t>
  </si>
  <si>
    <t>0008445</t>
  </si>
  <si>
    <t>1/2"-U12-PRO-PIT-120621-TUB</t>
  </si>
  <si>
    <t>PIT-120623</t>
  </si>
  <si>
    <t>0008446</t>
  </si>
  <si>
    <t>1/2"-U12-PRO-PIT-120623-TUB</t>
  </si>
  <si>
    <t>PIT-120626</t>
  </si>
  <si>
    <t>0001782</t>
  </si>
  <si>
    <t>1/2"-U12-PRO-PIT-120626-TUB</t>
  </si>
  <si>
    <t>PIT-120628</t>
  </si>
  <si>
    <t>0001783</t>
  </si>
  <si>
    <t>1/2"-U12-PRO-PIT-120628-TUB</t>
  </si>
  <si>
    <t>PIT-120629</t>
  </si>
  <si>
    <t>0001784</t>
  </si>
  <si>
    <t>1/2"-U12-PRO-PIT-120629-TUB</t>
  </si>
  <si>
    <t>PIT-120630</t>
  </si>
  <si>
    <t>0001785</t>
  </si>
  <si>
    <t>1/2"-U12-PRO-PIT-120630-TUB</t>
  </si>
  <si>
    <t>PIT-120631</t>
  </si>
  <si>
    <t>0001786</t>
  </si>
  <si>
    <t>1/2"-U12-PRO-PIT-120631-TUB</t>
  </si>
  <si>
    <t>PIT-120632</t>
  </si>
  <si>
    <t>0001787</t>
  </si>
  <si>
    <t>1/2"-U12-PRO-PIT-120632-TUB</t>
  </si>
  <si>
    <t>PIT-120638</t>
  </si>
  <si>
    <t>0001788</t>
  </si>
  <si>
    <t>1/2"-U12-PRO-PIT-120638-TUB</t>
  </si>
  <si>
    <t>PIT-120640</t>
  </si>
  <si>
    <t>0001789</t>
  </si>
  <si>
    <t>1/2"-U12-PRO-PIT-120640-TUB</t>
  </si>
  <si>
    <t>PIT-120641</t>
  </si>
  <si>
    <t>0001790</t>
  </si>
  <si>
    <t>1/2"-U12-PRO-PIT-120641-TUB</t>
  </si>
  <si>
    <t>PIT-120642</t>
  </si>
  <si>
    <t>0001791</t>
  </si>
  <si>
    <t>1/2"-U12-PRO-PIT-120642-TUB</t>
  </si>
  <si>
    <t>PIT-120644</t>
  </si>
  <si>
    <t>0001792</t>
  </si>
  <si>
    <t>1/2"-U12-PRO-PIT-120644-TUB</t>
  </si>
  <si>
    <t>PIT-120645</t>
  </si>
  <si>
    <t>0001793</t>
  </si>
  <si>
    <t>1/2"-U12-PRO-PIT-120645-TUB</t>
  </si>
  <si>
    <t>PIT-120646</t>
  </si>
  <si>
    <t>0001794</t>
  </si>
  <si>
    <t>1/2"-U12-PRO-PIT-120646-TUB</t>
  </si>
  <si>
    <t>PIT-120647</t>
  </si>
  <si>
    <t>0001795</t>
  </si>
  <si>
    <t>1/2"-U12-PRO-PIT-120647-TUB</t>
  </si>
  <si>
    <t>PIT-120648</t>
  </si>
  <si>
    <t>0001796</t>
  </si>
  <si>
    <t>1/2"-U12-PRO-PIT-120648-TUB</t>
  </si>
  <si>
    <t>PIT-120649</t>
  </si>
  <si>
    <t>0001797</t>
  </si>
  <si>
    <t>1/2"-U12-PRO-PIT-120649-TUB</t>
  </si>
  <si>
    <t>PIT-120655</t>
  </si>
  <si>
    <t>0001798</t>
  </si>
  <si>
    <t>1/2"-U12-PRO-PIT-120655-TUB</t>
  </si>
  <si>
    <t>PIT-120660</t>
  </si>
  <si>
    <t>0001799</t>
  </si>
  <si>
    <t>1/2"-U12-PRO-PIT-120660-TUB</t>
  </si>
  <si>
    <t>PIT-120663</t>
  </si>
  <si>
    <t>0001800</t>
  </si>
  <si>
    <t>1/2"-U12-PRO-PIT-120663-TUB</t>
  </si>
  <si>
    <t>PIT-120707</t>
  </si>
  <si>
    <t>0001801</t>
  </si>
  <si>
    <t>1/2"-U12-PRO-PIT-120707-TUB</t>
  </si>
  <si>
    <t>PIT-120715A</t>
  </si>
  <si>
    <t>0001802</t>
  </si>
  <si>
    <t>1/2"-U12-PRO-PIT-120715A-TUB</t>
  </si>
  <si>
    <t>PIT-120715B</t>
  </si>
  <si>
    <t>0001803</t>
  </si>
  <si>
    <t>1/2"-U12-PRO-PIT-120715B-TUB</t>
  </si>
  <si>
    <t>PIT-120716</t>
  </si>
  <si>
    <t>0001804</t>
  </si>
  <si>
    <t>1/2"-U12-PRO-PIT-120716-TUB</t>
  </si>
  <si>
    <t>PIT-120717</t>
  </si>
  <si>
    <t>0001805</t>
  </si>
  <si>
    <t>1/2"-U12-PRO-PIT-120717-TUB</t>
  </si>
  <si>
    <t>PIT-120718</t>
  </si>
  <si>
    <t>0001806</t>
  </si>
  <si>
    <t>1/2"-U12-PRO-PIT-120718-TUB</t>
  </si>
  <si>
    <t>PIT-120719</t>
  </si>
  <si>
    <t>0001807</t>
  </si>
  <si>
    <t>1/2"-U12-PRO-PIT-120719-TUB</t>
  </si>
  <si>
    <t>PIT-120720</t>
  </si>
  <si>
    <t>0001808</t>
  </si>
  <si>
    <t>1/2"-U12-PRO-PIT-120720-TUB</t>
  </si>
  <si>
    <t>PIT-120721</t>
  </si>
  <si>
    <t>0008447</t>
  </si>
  <si>
    <t>1/2"-U12-PRO-PIT-120721-TUB</t>
  </si>
  <si>
    <t>PIT-120723</t>
  </si>
  <si>
    <t>0008448</t>
  </si>
  <si>
    <t>1/2"-U12-PRO-PIT-120723-TUB</t>
  </si>
  <si>
    <t>PIT-120730</t>
  </si>
  <si>
    <t>0001809</t>
  </si>
  <si>
    <t>1/2"-U12-PRO-PIT-120730-TUB</t>
  </si>
  <si>
    <t>PIT-120738</t>
  </si>
  <si>
    <t>0001810</t>
  </si>
  <si>
    <t>1/2"-U12-PRO-PIT-120738-TUB</t>
  </si>
  <si>
    <t>PIT-120740</t>
  </si>
  <si>
    <t>0001811</t>
  </si>
  <si>
    <t>1/2"-U12-PRO-PIT-120740-TUB</t>
  </si>
  <si>
    <t>PIT-120741</t>
  </si>
  <si>
    <t>0001812</t>
  </si>
  <si>
    <t>1/2"-U12-PRO-PIT-120741-TUB</t>
  </si>
  <si>
    <t>PIT-120742</t>
  </si>
  <si>
    <t>0001813</t>
  </si>
  <si>
    <t>1/2"-U12-PRO-PIT-120742-TUB</t>
  </si>
  <si>
    <t>PIT-120744</t>
  </si>
  <si>
    <t>0001814</t>
  </si>
  <si>
    <t>1/2"-U12-PRO-PIT-120744-TUB</t>
  </si>
  <si>
    <t>PIT-120745</t>
  </si>
  <si>
    <t>0001815</t>
  </si>
  <si>
    <t>1/2"-U12-PRO-PIT-120745-TUB</t>
  </si>
  <si>
    <t>PIT-120747</t>
  </si>
  <si>
    <t>0001816</t>
  </si>
  <si>
    <t>1/2"-U12-PRO-PIT-120747-TUB</t>
  </si>
  <si>
    <t>PIT-120748</t>
  </si>
  <si>
    <t>0001817</t>
  </si>
  <si>
    <t>1/2"-U12-PRO-PIT-120748-TUB</t>
  </si>
  <si>
    <t>PIT-120749</t>
  </si>
  <si>
    <t>0001818</t>
  </si>
  <si>
    <t>1/2"-U12-PRO-PIT-120749-TUB</t>
  </si>
  <si>
    <t>PIT-120763</t>
  </si>
  <si>
    <t>0001819</t>
  </si>
  <si>
    <t>1/2"-U12-PRO-PIT-120763-TUB</t>
  </si>
  <si>
    <t>PIT-120800</t>
  </si>
  <si>
    <t>0008449</t>
  </si>
  <si>
    <t>1/2"-U12-PRO-PIT-120800-TUB</t>
  </si>
  <si>
    <t>PIT-120801</t>
  </si>
  <si>
    <t>0008450</t>
  </si>
  <si>
    <t>1/2"-U12-PRO-PIT-120801-TUB</t>
  </si>
  <si>
    <t>PIT-120802</t>
  </si>
  <si>
    <t>0008451</t>
  </si>
  <si>
    <t>1/2"-U12-PRO-PIT-120802-TUB</t>
  </si>
  <si>
    <t>PIT-120803</t>
  </si>
  <si>
    <t>0008452</t>
  </si>
  <si>
    <t>1/2"-U12-PRO-PIT-120803-TUB</t>
  </si>
  <si>
    <t>PIT-120804</t>
  </si>
  <si>
    <t>0008453</t>
  </si>
  <si>
    <t>1/2"-U12-PRO-PIT-120804-TUB</t>
  </si>
  <si>
    <t>PIT-120805</t>
  </si>
  <si>
    <t>0008454</t>
  </si>
  <si>
    <t>1/2"-U12-PRO-PIT-120805-TUB</t>
  </si>
  <si>
    <t>PIT-120806</t>
  </si>
  <si>
    <t>0008455</t>
  </si>
  <si>
    <t>1/2"-U12-PRO-PIT-120806-TUB</t>
  </si>
  <si>
    <t>PIT-120807</t>
  </si>
  <si>
    <t>0008456</t>
  </si>
  <si>
    <t>1/2"-U12-PRO-PIT-120807-TUB</t>
  </si>
  <si>
    <t>PIT-120808</t>
  </si>
  <si>
    <t>0008457</t>
  </si>
  <si>
    <t>1/2"-U12-PRO-PIT-120808-TUB</t>
  </si>
  <si>
    <t>PIT-120809</t>
  </si>
  <si>
    <t>0008458</t>
  </si>
  <si>
    <t>1/2"-U12-PRO-PIT-120809-TUB</t>
  </si>
  <si>
    <t>PIT-120810</t>
  </si>
  <si>
    <t>0008459</t>
  </si>
  <si>
    <t>1/2"-U12-PRO-PIT-120810-TUB</t>
  </si>
  <si>
    <t>PIT-120811</t>
  </si>
  <si>
    <t>0008460</t>
  </si>
  <si>
    <t>1/2"-U12-PRO-PIT-120811-TUB</t>
  </si>
  <si>
    <t>PIT-120812</t>
  </si>
  <si>
    <t>0008461</t>
  </si>
  <si>
    <t>1/2"-U12-PRO-PIT-120812-TUB</t>
  </si>
  <si>
    <t>PIT-120813</t>
  </si>
  <si>
    <t>0012-0131-0064-009</t>
  </si>
  <si>
    <t>0008462</t>
  </si>
  <si>
    <t>BOMBA DE MUDWASH DO 2º ESTAGIO - B-12032B</t>
  </si>
  <si>
    <t>1/2"-U12-PRO-PIT-120813-TUB</t>
  </si>
  <si>
    <t>PIT-120814</t>
  </si>
  <si>
    <t>0008463</t>
  </si>
  <si>
    <t>1/2"-U12-PRO-PIT-120814-TUB</t>
  </si>
  <si>
    <t>PIT-120901</t>
  </si>
  <si>
    <t>0008464</t>
  </si>
  <si>
    <t>1/2"-U12-PRO-PIT-120901-TUB</t>
  </si>
  <si>
    <t>PIT-120902</t>
  </si>
  <si>
    <t>0008465</t>
  </si>
  <si>
    <t>1/2"-U12-PRO-PIT-120902-TUB</t>
  </si>
  <si>
    <t>PIT-120955</t>
  </si>
  <si>
    <t>0008466</t>
  </si>
  <si>
    <t>1/2"-U12-PRO-PIT-120955-TUB</t>
  </si>
  <si>
    <t>PIT-120957</t>
  </si>
  <si>
    <t>0012-0118-0049-002</t>
  </si>
  <si>
    <t>0008467</t>
  </si>
  <si>
    <t>Subsistema T-12003, Sistema de Topo até entrada do P-12020 - T-12003, Sistema de Topo até entrada do P-12020 - B-12008B</t>
  </si>
  <si>
    <t>1/2"-U12-PRO-PIT-120957-TUB</t>
  </si>
  <si>
    <t>PIT-120960</t>
  </si>
  <si>
    <t>0008525</t>
  </si>
  <si>
    <t>1/2"-U12-PRO-PIT-120960-TUB</t>
  </si>
  <si>
    <t>PIT-120961</t>
  </si>
  <si>
    <t>0008526</t>
  </si>
  <si>
    <t>1/2"-U12-PRO-PIT-120961-TUB</t>
  </si>
  <si>
    <t>PIT-120964</t>
  </si>
  <si>
    <t>0008527</t>
  </si>
  <si>
    <t>1/2"-U12-PRO-PIT-120964-TUB</t>
  </si>
  <si>
    <t>PIT-120965</t>
  </si>
  <si>
    <t>0008528</t>
  </si>
  <si>
    <t>1/2"-U12-PRO-PIT-120965-TUB</t>
  </si>
  <si>
    <t>PIT-120967</t>
  </si>
  <si>
    <t>0012-0113-0044</t>
  </si>
  <si>
    <t>0012-0113-0044-001</t>
  </si>
  <si>
    <t>0008529</t>
  </si>
  <si>
    <t>Subsistema Refluxo de topo da torre atmosférica bomba A</t>
  </si>
  <si>
    <t>1/2"-U12-PRO-PIT-120967-TUB</t>
  </si>
  <si>
    <t>PIT-120968</t>
  </si>
  <si>
    <t>0012-0113-0044-002</t>
  </si>
  <si>
    <t>0008530</t>
  </si>
  <si>
    <t>Subsistema Refluxo de topo da torre atmosférica bomba B</t>
  </si>
  <si>
    <t>1/2"-U12-PRO-PIT-120968-TUB</t>
  </si>
  <si>
    <t>PIT-120977</t>
  </si>
  <si>
    <t>0012-0115-0046-002</t>
  </si>
  <si>
    <t>0008531</t>
  </si>
  <si>
    <t>Subsistema do Vaso V-12002 - Bombas</t>
  </si>
  <si>
    <t>1/2"-U12-PRO-PIT-120977-TUB</t>
  </si>
  <si>
    <t>PIT-120979</t>
  </si>
  <si>
    <t>0008532</t>
  </si>
  <si>
    <t>1/2"-U12-PRO-PIT-120979-TUB</t>
  </si>
  <si>
    <t>PIT-120981</t>
  </si>
  <si>
    <t>0008533</t>
  </si>
  <si>
    <t>1/2"-U12-PRO-PIT-120981-TUB</t>
  </si>
  <si>
    <t>PIT-120983</t>
  </si>
  <si>
    <t>0012-0001-0069-002</t>
  </si>
  <si>
    <t>0008534</t>
  </si>
  <si>
    <t>Subsistema de água ácida - B-12007B</t>
  </si>
  <si>
    <t>1/2"-U12-PRO-PIT-120983-TUB</t>
  </si>
  <si>
    <t>PIT-120985</t>
  </si>
  <si>
    <t>0012-0050-0050-005</t>
  </si>
  <si>
    <t>0008535</t>
  </si>
  <si>
    <t>Subsistema B-12026,
linha de GLP até L.B., linha de refluxo e linha de topo do vaso (controle de pressão)</t>
  </si>
  <si>
    <t>1/2"-U12-PRO-PIT-120985-TUB</t>
  </si>
  <si>
    <t>PIT-120989</t>
  </si>
  <si>
    <t>0008536</t>
  </si>
  <si>
    <t>1/2"-U12-PRO-PIT-120989-TUB</t>
  </si>
  <si>
    <t>PIT-120991</t>
  </si>
  <si>
    <t>0012-0050-0050-004</t>
  </si>
  <si>
    <t>0008537</t>
  </si>
  <si>
    <t>Subsistema B-12027B
linha de GLP até L.B., linha de refluxo e linha de topo do vaso (controle de pressão)</t>
  </si>
  <si>
    <t>1/2"-U12-PRO-PIT-120991-TUB</t>
  </si>
  <si>
    <t>PIT-121175</t>
  </si>
  <si>
    <t>0012-0123-0054</t>
  </si>
  <si>
    <t>0012-0123-0054-001</t>
  </si>
  <si>
    <t>0008538</t>
  </si>
  <si>
    <t>Subsistema de injeção de inibidor de corrosão para topo da torre T-12001</t>
  </si>
  <si>
    <t>1/2"-U12-PRO-PIT-121175-TUB</t>
  </si>
  <si>
    <t>PIT-121176</t>
  </si>
  <si>
    <t>0008539</t>
  </si>
  <si>
    <t>1/2"-U12-PRO-PIT-121176-TUB</t>
  </si>
  <si>
    <t>PIT-121177</t>
  </si>
  <si>
    <t>0008540</t>
  </si>
  <si>
    <t>1/2"-U12-PRO-PIT-121177-TUB</t>
  </si>
  <si>
    <t>PIT-121179</t>
  </si>
  <si>
    <t>0012-0122-0053</t>
  </si>
  <si>
    <t>0012-0122-0053-001</t>
  </si>
  <si>
    <t>0008541</t>
  </si>
  <si>
    <t>Subsistema de injeção de desemulsificante para B-12001A</t>
  </si>
  <si>
    <t>1/2"-U12-PRO-PIT-121179-TUB</t>
  </si>
  <si>
    <t>PIT-121180</t>
  </si>
  <si>
    <t>0008542</t>
  </si>
  <si>
    <t>1/2"-U12-PRO-PIT-121180-TUB</t>
  </si>
  <si>
    <t>PIT-121182</t>
  </si>
  <si>
    <t>0012-0121-0052</t>
  </si>
  <si>
    <t>0012-0121-0052-001</t>
  </si>
  <si>
    <t>0008543</t>
  </si>
  <si>
    <t>Subsistema  de injeção de amina até pacote de injeção de amina para P-12017</t>
  </si>
  <si>
    <t>1/2"-U12-PRO-PIT-121182-TUB</t>
  </si>
  <si>
    <t>PIT-121183</t>
  </si>
  <si>
    <t>0008544</t>
  </si>
  <si>
    <t>1/2"-U12-PRO-PIT-121183-TUB</t>
  </si>
  <si>
    <t>PIT-121185</t>
  </si>
  <si>
    <t>0008545</t>
  </si>
  <si>
    <t>1/2"-U12-PRO-PIT-121185-TUB</t>
  </si>
  <si>
    <t>PIT-121315A</t>
  </si>
  <si>
    <t>0008468</t>
  </si>
  <si>
    <t>1/2"-U12-PRO-PIT-121315A-TUB</t>
  </si>
  <si>
    <t>PIT-121315B</t>
  </si>
  <si>
    <t>0008469</t>
  </si>
  <si>
    <t>1/2"-U12-PRO-PIT-121315B-TUB</t>
  </si>
  <si>
    <t>PIT-121316A</t>
  </si>
  <si>
    <t>0008470</t>
  </si>
  <si>
    <t>1/2"-U12-PRO-PIT-121316A-TUB</t>
  </si>
  <si>
    <t>PIT-121316B</t>
  </si>
  <si>
    <t>0008471</t>
  </si>
  <si>
    <t>1/2"-U12-PRO-PIT-121316B-TUB</t>
  </si>
  <si>
    <t>PIT-121317</t>
  </si>
  <si>
    <t>0006708</t>
  </si>
  <si>
    <t>1/2"-U12-PRO-PIT-121317-TUB</t>
  </si>
  <si>
    <t>PIT-121318</t>
  </si>
  <si>
    <t>0006709</t>
  </si>
  <si>
    <t>1/2"-U12-PRO-PIT-121318-TUB</t>
  </si>
  <si>
    <t>PIT-121319</t>
  </si>
  <si>
    <t>0006710</t>
  </si>
  <si>
    <t>1/2"-U12-PRO-PIT-121319-TUB</t>
  </si>
  <si>
    <t>PIT-121320</t>
  </si>
  <si>
    <t>0006711</t>
  </si>
  <si>
    <t>1/2"-U12-PRO-PIT-121320-TUB</t>
  </si>
  <si>
    <t>PIT-121321</t>
  </si>
  <si>
    <t>0006733</t>
  </si>
  <si>
    <t>1/2"-U12-PRO-PIT-121321-TUB</t>
  </si>
  <si>
    <t>PIT-121321A</t>
  </si>
  <si>
    <t>0006712</t>
  </si>
  <si>
    <t>1/2"-U12-PRO-PIT-121321A-TUB</t>
  </si>
  <si>
    <t>PIT-121321B</t>
  </si>
  <si>
    <t>0006713</t>
  </si>
  <si>
    <t>1/2"-U12-PRO-PIT-121321B-TUB</t>
  </si>
  <si>
    <t>PIT-121322</t>
  </si>
  <si>
    <t>0006714</t>
  </si>
  <si>
    <t>1/2"-U12-PRO-PIT-121322-TUB</t>
  </si>
  <si>
    <t>PIT-121323</t>
  </si>
  <si>
    <t>0008472</t>
  </si>
  <si>
    <t>1/2"-U12-PRO-PIT-121323-TUB</t>
  </si>
  <si>
    <t>PIT-121415A</t>
  </si>
  <si>
    <t>0008473</t>
  </si>
  <si>
    <t>1/2"-U12-PRO-PIT-121415A-TUB</t>
  </si>
  <si>
    <t>PIT-121415B</t>
  </si>
  <si>
    <t>0008474</t>
  </si>
  <si>
    <t>1/2"-U12-PRO-PIT-121415B-TUB</t>
  </si>
  <si>
    <t>PIT-121416A</t>
  </si>
  <si>
    <t>0008475</t>
  </si>
  <si>
    <t>1/2"-U12-PRO-PIT-121416A-TUB</t>
  </si>
  <si>
    <t>PIT-121416B</t>
  </si>
  <si>
    <t>0008476</t>
  </si>
  <si>
    <t>1/2"-U12-PRO-PIT-121416B-TUB</t>
  </si>
  <si>
    <t>PIT-121417</t>
  </si>
  <si>
    <t>0006715</t>
  </si>
  <si>
    <t>1/2"-U12-PRO-PIT-121417-TUB</t>
  </si>
  <si>
    <t>PIT-121418</t>
  </si>
  <si>
    <t>0006716</t>
  </si>
  <si>
    <t>1/2"-U12-PRO-PIT-121418-TUB</t>
  </si>
  <si>
    <t>PIT-121419</t>
  </si>
  <si>
    <t>0006717</t>
  </si>
  <si>
    <t>1/2"-U12-PRO-PIT-121419-TUB</t>
  </si>
  <si>
    <t>PIT-121420</t>
  </si>
  <si>
    <t>0006718</t>
  </si>
  <si>
    <t>1/2"-U12-PRO-PIT-121420-TUB</t>
  </si>
  <si>
    <t>PIT-121421A</t>
  </si>
  <si>
    <t>0006719</t>
  </si>
  <si>
    <t>1/2"-U12-PRO-PIT-121421A-TUB</t>
  </si>
  <si>
    <t>PIT-121421B</t>
  </si>
  <si>
    <t>0006720</t>
  </si>
  <si>
    <t>1/2"-U12-PRO-PIT-121421B-TUB</t>
  </si>
  <si>
    <t>PIT-121422</t>
  </si>
  <si>
    <t>0006721</t>
  </si>
  <si>
    <t>1/2"-U12-PRO-PIT-121422-TUB</t>
  </si>
  <si>
    <t>PIT-121423</t>
  </si>
  <si>
    <t>0008477</t>
  </si>
  <si>
    <t>1/2"-U12-PRO-PIT-121423-TUB</t>
  </si>
  <si>
    <t>PIT-122001</t>
  </si>
  <si>
    <t>0008478</t>
  </si>
  <si>
    <t>1/2"-U12-PRO-PIT-122001-TUB</t>
  </si>
  <si>
    <t>PIT-122004</t>
  </si>
  <si>
    <t>0008479</t>
  </si>
  <si>
    <t>1/2"-U12-PRO-PIT-122004-TUB</t>
  </si>
  <si>
    <t>PIT-122006</t>
  </si>
  <si>
    <t>0008480</t>
  </si>
  <si>
    <t>1/2"-U12-PRO-PIT-122006-TUB</t>
  </si>
  <si>
    <t>PIT-122014</t>
  </si>
  <si>
    <t>0008481</t>
  </si>
  <si>
    <t>1/2"-U12-PRO-PIT-122014-TUB</t>
  </si>
  <si>
    <t>PV-120018</t>
  </si>
  <si>
    <t>0007730</t>
  </si>
  <si>
    <t>1/2"-U12-PNEU-PV-120018-TUB</t>
  </si>
  <si>
    <t>PV-120019</t>
  </si>
  <si>
    <t>0007731</t>
  </si>
  <si>
    <t>1/2"-U12-PNEU-PV-120019-TUB</t>
  </si>
  <si>
    <t>PV-120037</t>
  </si>
  <si>
    <t>0007732</t>
  </si>
  <si>
    <t>1/2"-U12-PNEU-PV-120037-TUB</t>
  </si>
  <si>
    <t>PV-120044</t>
  </si>
  <si>
    <t>0007733</t>
  </si>
  <si>
    <t>1/2"-U12-PNEU-PV-120044-TUB</t>
  </si>
  <si>
    <t>PV-120093B</t>
  </si>
  <si>
    <t>0007734</t>
  </si>
  <si>
    <t>1/2"-U12-PNEU-PV-120093B-TUB</t>
  </si>
  <si>
    <t>PV-120093C</t>
  </si>
  <si>
    <t>0007736</t>
  </si>
  <si>
    <t>1/2"-U12-PNEU-PV-120093C-TUB</t>
  </si>
  <si>
    <t>PV-120150A</t>
  </si>
  <si>
    <t>0007737</t>
  </si>
  <si>
    <t>1/2"-U12-PNEU-PV-120150A-TUB</t>
  </si>
  <si>
    <t>PV-120150B</t>
  </si>
  <si>
    <t>0007739</t>
  </si>
  <si>
    <t>1/2"-U12-PNEU-PV-120150B-TUB</t>
  </si>
  <si>
    <t>PV-120150C</t>
  </si>
  <si>
    <t>0007740</t>
  </si>
  <si>
    <t>1/2"-U12-PNEU-PV-120150C-TUB</t>
  </si>
  <si>
    <t>PV-120174</t>
  </si>
  <si>
    <t>0007741</t>
  </si>
  <si>
    <t>1/2"-U12-PNEU-PV-120174-TUB</t>
  </si>
  <si>
    <t>PDA-120012</t>
  </si>
  <si>
    <t>PV-120404</t>
  </si>
  <si>
    <t>0007742</t>
  </si>
  <si>
    <t>1/2"-U12-PNEU-PV-120404-TUB</t>
  </si>
  <si>
    <t>PV-120437</t>
  </si>
  <si>
    <t>0007743</t>
  </si>
  <si>
    <t>1/2"-U12-PNEU-PV-120437-TUB</t>
  </si>
  <si>
    <t>PV-120438A</t>
  </si>
  <si>
    <t>0007744</t>
  </si>
  <si>
    <t>1/2"-U12-PNEU-PV-120438A-TUB</t>
  </si>
  <si>
    <t>PV-120438B</t>
  </si>
  <si>
    <t>0007745</t>
  </si>
  <si>
    <t>1/2"-U12-PNEU-PV-120438B-TUB</t>
  </si>
  <si>
    <t>PV-120440</t>
  </si>
  <si>
    <t>0007746</t>
  </si>
  <si>
    <t>1/2"-U12-PNEU-PV-120440-TUB</t>
  </si>
  <si>
    <t>PV-120616</t>
  </si>
  <si>
    <t>0003296</t>
  </si>
  <si>
    <t>1/2"-U12-PNEU-PV-120616-TUB</t>
  </si>
  <si>
    <t>PV-120631</t>
  </si>
  <si>
    <t>0003297</t>
  </si>
  <si>
    <t>1/4"-U12-PNEU-PV-120631-TUB</t>
  </si>
  <si>
    <t>STAND PIPE B</t>
  </si>
  <si>
    <t>PV-120638</t>
  </si>
  <si>
    <t>0003298</t>
  </si>
  <si>
    <t>1/4"-U12-PNEU-PV-120638-TUB</t>
  </si>
  <si>
    <t>PV-120642A</t>
  </si>
  <si>
    <t>0003299</t>
  </si>
  <si>
    <t>1/4"-U12-PNEU-PV-120642A-TUB</t>
  </si>
  <si>
    <t>Possível vínculo com STAND PIPE B (tag PV-120642 no desenho)</t>
  </si>
  <si>
    <t>PV-120642B</t>
  </si>
  <si>
    <t>0003300</t>
  </si>
  <si>
    <t>1/4"-U12-PNEU-PV-120642B-TUB</t>
  </si>
  <si>
    <t>PV-120646</t>
  </si>
  <si>
    <t>0003301</t>
  </si>
  <si>
    <t>1/4"-U12-PNEU-PV-120646-TUB</t>
  </si>
  <si>
    <t>PV-120647</t>
  </si>
  <si>
    <t>0003302</t>
  </si>
  <si>
    <t>1/4"-U12-PNEU-PV-120647-TUB</t>
  </si>
  <si>
    <t>PV-120716</t>
  </si>
  <si>
    <t>0003303</t>
  </si>
  <si>
    <t>1/2"-U12-PNEU-PV-120716-TUB</t>
  </si>
  <si>
    <t>PV-120738</t>
  </si>
  <si>
    <t>0003304</t>
  </si>
  <si>
    <t>1/2"-U12-PNEU-PV-120738-TUB</t>
  </si>
  <si>
    <t>PV-120742A</t>
  </si>
  <si>
    <t>0003305</t>
  </si>
  <si>
    <t>1/4"-U12-PNEU-PV-120742A-TUB</t>
  </si>
  <si>
    <t>Possível vínculo com STAND PIPE M (tag PV-120742 no desenho)</t>
  </si>
  <si>
    <t>PV-120742B</t>
  </si>
  <si>
    <t>0003306</t>
  </si>
  <si>
    <t>1/4"-U12-PNEU-PV-120742B-TUB</t>
  </si>
  <si>
    <t>PV-120747</t>
  </si>
  <si>
    <t>0003307</t>
  </si>
  <si>
    <t>1/4"-U12-PNEU-PV-120747-TUB</t>
  </si>
  <si>
    <t>TV-120016A</t>
  </si>
  <si>
    <t>0007747</t>
  </si>
  <si>
    <t>1/2"-U12-PNEU-TV-120016A-TUB</t>
  </si>
  <si>
    <t>TV-120016B</t>
  </si>
  <si>
    <t>0007748</t>
  </si>
  <si>
    <t>1/2"-U12-PNEU-TV-120016B-TUB</t>
  </si>
  <si>
    <t>TV-120016C</t>
  </si>
  <si>
    <t>0007749</t>
  </si>
  <si>
    <t>1/2"-U12-PNEU-TV-120016C-TUB</t>
  </si>
  <si>
    <t>TV-120033A</t>
  </si>
  <si>
    <t>0007750</t>
  </si>
  <si>
    <t>1/2"-U12-PNEU-TV-120033A-TUB</t>
  </si>
  <si>
    <t>TV-120033B</t>
  </si>
  <si>
    <t>0007751</t>
  </si>
  <si>
    <t>1/2"-U12-PNEU-TV-120033B-TUB</t>
  </si>
  <si>
    <t>0008507</t>
  </si>
  <si>
    <t>1/2"-U12-PNEU-TV-12003B-TUB</t>
  </si>
  <si>
    <t>TV-120115A1</t>
  </si>
  <si>
    <t>0008508</t>
  </si>
  <si>
    <t>1/2"-U12-PNEU-TV-120115A1-TUB</t>
  </si>
  <si>
    <t>TV-120115A2</t>
  </si>
  <si>
    <t>0008509</t>
  </si>
  <si>
    <t>1/2"-U12-PNEU-TV-120115A2-TUB</t>
  </si>
  <si>
    <t>TV-120115B</t>
  </si>
  <si>
    <t>0008510</t>
  </si>
  <si>
    <t>1/2"-U12-PNEU-TV-120115B-TUB</t>
  </si>
  <si>
    <t>TV-120639</t>
  </si>
  <si>
    <t>0003308</t>
  </si>
  <si>
    <t>1/4"-U12-PNEU-TV-120639-TUB</t>
  </si>
  <si>
    <t>TV-120641</t>
  </si>
  <si>
    <t>0003309</t>
  </si>
  <si>
    <t>1/4"-U12-PNEU-TV-120641-TUB</t>
  </si>
  <si>
    <t>TV-121002</t>
  </si>
  <si>
    <t>1200-5550-0016</t>
  </si>
  <si>
    <t>1200-5550-0016-007</t>
  </si>
  <si>
    <t>0008482</t>
  </si>
  <si>
    <t>Subsistema de climatização - AC-12004B - AC-12004B - AC-12004C</t>
  </si>
  <si>
    <t>1/2"-U12-PNEU-TV-121002-TUB</t>
  </si>
  <si>
    <t>TV-121005</t>
  </si>
  <si>
    <t>0008483</t>
  </si>
  <si>
    <t>1/2"-U12-PNEU-TV-121005-TUB</t>
  </si>
  <si>
    <t>TV-121006</t>
  </si>
  <si>
    <t>0008484</t>
  </si>
  <si>
    <t>1/2"-U12-PNEU-TV-121006-TUB</t>
  </si>
  <si>
    <t>TV-121012</t>
  </si>
  <si>
    <t>1200-5550-0016-008</t>
  </si>
  <si>
    <t>0008485</t>
  </si>
  <si>
    <t>Subsistema de climatização - AC-12006A - AC-12006B</t>
  </si>
  <si>
    <t>1/2"-U12-PNEU-TV-121012-TUB</t>
  </si>
  <si>
    <t>TV-121013</t>
  </si>
  <si>
    <t>0008486</t>
  </si>
  <si>
    <t>1/2"-U12-PNEU-TV-121013-TUB</t>
  </si>
  <si>
    <t>TV-121017</t>
  </si>
  <si>
    <t>1200-5550-0016-006</t>
  </si>
  <si>
    <t>0008487</t>
  </si>
  <si>
    <t>Subsistema de climatização - AC-12003A - AC-12003B</t>
  </si>
  <si>
    <t>1/2"-U12-PNEU-TV-121017-TUB</t>
  </si>
  <si>
    <t>TV-121019</t>
  </si>
  <si>
    <t>0008488</t>
  </si>
  <si>
    <t>1/2"-U12-PNEU-TV-121019-TUB</t>
  </si>
  <si>
    <t>TV-121022</t>
  </si>
  <si>
    <t>1200-5550-0016-005</t>
  </si>
  <si>
    <t>0008489</t>
  </si>
  <si>
    <t>Subsistema de climatização - AC-12002B - AC-12002B</t>
  </si>
  <si>
    <t>1/2"-U12-PNEU-TV-121022-TUB</t>
  </si>
  <si>
    <t>TV-121024</t>
  </si>
  <si>
    <t>0008490</t>
  </si>
  <si>
    <t>1/2"-U12-PNEU-TV-121024-TUB</t>
  </si>
  <si>
    <t>TV-121030</t>
  </si>
  <si>
    <t>1200-5550-0016-004</t>
  </si>
  <si>
    <t>0008491</t>
  </si>
  <si>
    <t>Subsistema de climatização - AC-12001A - AC-12001B</t>
  </si>
  <si>
    <t>1/2"-U12-PNEU-TV-121030-TUB</t>
  </si>
  <si>
    <t>TV-121031</t>
  </si>
  <si>
    <t>0008511</t>
  </si>
  <si>
    <t>1/2"-U12-PNEU-TV-121031-TUB</t>
  </si>
  <si>
    <t>XV-120001</t>
  </si>
  <si>
    <t>0008512</t>
  </si>
  <si>
    <t>1/2"-U12-PNEU-XV-120001-TUB</t>
  </si>
  <si>
    <t>XV-120001 / XY-120001</t>
  </si>
  <si>
    <t>XV-120002</t>
  </si>
  <si>
    <t>0008513</t>
  </si>
  <si>
    <t>1/2"-U12-PNEU-XV-120002-TUB</t>
  </si>
  <si>
    <t>XV-120002 / XY-120002</t>
  </si>
  <si>
    <t>XV-120112</t>
  </si>
  <si>
    <t>0008514</t>
  </si>
  <si>
    <t>1/2"-U12-PNEU-XV-120112-TUB</t>
  </si>
  <si>
    <t>XV-120112 / XY-120112</t>
  </si>
  <si>
    <t>XV-120113</t>
  </si>
  <si>
    <t>0008515</t>
  </si>
  <si>
    <t>1/2"-U12-PNEU-XV-120113-TUB</t>
  </si>
  <si>
    <t>XV-120113 / XY-120113</t>
  </si>
  <si>
    <t>XV-120114</t>
  </si>
  <si>
    <t>0008516</t>
  </si>
  <si>
    <t>1/2"-U12-PNEU-XV-120114-TUB</t>
  </si>
  <si>
    <t>XV-120114 / XY-120114</t>
  </si>
  <si>
    <t>XV-120115</t>
  </si>
  <si>
    <t>0008517</t>
  </si>
  <si>
    <t>1/2"-U12-PNEU-XV-120115-TUB</t>
  </si>
  <si>
    <t>XV-120116</t>
  </si>
  <si>
    <t>0008518</t>
  </si>
  <si>
    <t>1/2"-U12-PNEU-XV-120116-TUB</t>
  </si>
  <si>
    <t>XV-120117</t>
  </si>
  <si>
    <t>0010127</t>
  </si>
  <si>
    <t>1/2"-U12-PNEU-XV-120117-TUB</t>
  </si>
  <si>
    <t>XV-120117 / XY-120117</t>
  </si>
  <si>
    <t>XV-120437</t>
  </si>
  <si>
    <t>0008519</t>
  </si>
  <si>
    <t>1/2"-U12-PNEU-XV-120437-TUB</t>
  </si>
  <si>
    <t>XV-120437 / XY-120437</t>
  </si>
  <si>
    <t>XV-120438</t>
  </si>
  <si>
    <t>0008256</t>
  </si>
  <si>
    <t>1/2"-U12-PNEU-XV-120438-TUB</t>
  </si>
  <si>
    <t>XV-120438 / XY-120438</t>
  </si>
  <si>
    <t>XV-120500</t>
  </si>
  <si>
    <t>0012-0028-0001-001</t>
  </si>
  <si>
    <t>0008520</t>
  </si>
  <si>
    <t>Subsistema de Canhão Monitor</t>
  </si>
  <si>
    <t>1/2"-U12-PNEU-XV-120500-TUB</t>
  </si>
  <si>
    <t>XV-120501</t>
  </si>
  <si>
    <t>0008521</t>
  </si>
  <si>
    <t>1/2"-U12-PNEU-XV-120501-TUB</t>
  </si>
  <si>
    <t>XV-120502</t>
  </si>
  <si>
    <t>0008522</t>
  </si>
  <si>
    <t>1/2"-U12-PNEU-XV-120502-TUB</t>
  </si>
  <si>
    <t>XV-120503</t>
  </si>
  <si>
    <t>0008523</t>
  </si>
  <si>
    <t>1/2"-U12-PNEU-XV-120503-TUB</t>
  </si>
  <si>
    <t>XV-120601A</t>
  </si>
  <si>
    <t>0001671</t>
  </si>
  <si>
    <t>1/2"-U12-PNEU-XV-120601A-TUB</t>
  </si>
  <si>
    <t>XV-120601B</t>
  </si>
  <si>
    <t>0001913</t>
  </si>
  <si>
    <t>1/2"-U12-PNEU-XV-120601B-TUB</t>
  </si>
  <si>
    <t>XV-120601C</t>
  </si>
  <si>
    <t>0001914</t>
  </si>
  <si>
    <t>1/2"-U12-PNEU-XV-120601C-TUB</t>
  </si>
  <si>
    <t>XV-120601D</t>
  </si>
  <si>
    <t>0001915</t>
  </si>
  <si>
    <t>1/4"-U12-PNEU-XV-120601D-TUB</t>
  </si>
  <si>
    <t>XV-120601E</t>
  </si>
  <si>
    <t>0001916</t>
  </si>
  <si>
    <t>1/2"-U12-PNEU-XV-120601E-TUB</t>
  </si>
  <si>
    <t>XV-120601F</t>
  </si>
  <si>
    <t>0001917</t>
  </si>
  <si>
    <t>1/2"-U12-PNEU-XV-120601F-TUB</t>
  </si>
  <si>
    <t>XV-120602</t>
  </si>
  <si>
    <t>0003310</t>
  </si>
  <si>
    <t>1/4"-U12-PNEU-XV-120602-TUB</t>
  </si>
  <si>
    <t>XV-120603</t>
  </si>
  <si>
    <t>0003311</t>
  </si>
  <si>
    <t>1/4"-U12-PNEU-XV-120603-TUB</t>
  </si>
  <si>
    <t>STAND PIPE C</t>
  </si>
  <si>
    <t>XV-120604</t>
  </si>
  <si>
    <t>0003312</t>
  </si>
  <si>
    <t>1/2"-U12-PNEU-XV-120604-TUB</t>
  </si>
  <si>
    <t>XV-120605</t>
  </si>
  <si>
    <t>0003313</t>
  </si>
  <si>
    <t>1/4"-U12-PNEU-XV-120605-TUB</t>
  </si>
  <si>
    <t>XV-120606A</t>
  </si>
  <si>
    <t>0001275</t>
  </si>
  <si>
    <t>1/4"-U12-PNEU-XV-120606A-TUB</t>
  </si>
  <si>
    <t>STAND PIPE D</t>
  </si>
  <si>
    <t>XV-120606B</t>
  </si>
  <si>
    <t>0001279</t>
  </si>
  <si>
    <t>1/4"-U12-PNEU-XV-120606B-TUB</t>
  </si>
  <si>
    <t>XV-120606C</t>
  </si>
  <si>
    <t>0001280</t>
  </si>
  <si>
    <t>1/4"-U12-PNEU-XV-120606C-TUB</t>
  </si>
  <si>
    <t>STAND PIPE E</t>
  </si>
  <si>
    <t>XV-120606D</t>
  </si>
  <si>
    <t>0001281</t>
  </si>
  <si>
    <t>1/4"-U12-PNEU-XV-120606D-TUB</t>
  </si>
  <si>
    <t>XV-120606E</t>
  </si>
  <si>
    <t>0001282</t>
  </si>
  <si>
    <t>1/4"-U12-PNEU-XV-120606E-TUB</t>
  </si>
  <si>
    <t>STAND PIPE F</t>
  </si>
  <si>
    <t>XV-120606F</t>
  </si>
  <si>
    <t>0001283</t>
  </si>
  <si>
    <t>1/4"-U12-PNEU-XV-120606F-TUB</t>
  </si>
  <si>
    <t>XV-120606G</t>
  </si>
  <si>
    <t>0001284</t>
  </si>
  <si>
    <t>1/4"-U12-PNEU-XV-120606G-TUB</t>
  </si>
  <si>
    <t>STAND PIPE G</t>
  </si>
  <si>
    <t>XV-120606H</t>
  </si>
  <si>
    <t>0001285</t>
  </si>
  <si>
    <t>1/4"-U12-PNEU-XV-120606H-TUB</t>
  </si>
  <si>
    <t>XV-120606J</t>
  </si>
  <si>
    <t>0001286</t>
  </si>
  <si>
    <t>1/4"-U12-PNEU-XV-120606J-TUB</t>
  </si>
  <si>
    <t>STAND PIPE K</t>
  </si>
  <si>
    <t>XV-120606K</t>
  </si>
  <si>
    <t>0001287</t>
  </si>
  <si>
    <t>1/4"-U12-PNEU-XV-120606K-TUB</t>
  </si>
  <si>
    <t>XV-120606L</t>
  </si>
  <si>
    <t>0001288</t>
  </si>
  <si>
    <t>1/4"-U12-PNEU-XV-120606L-TUB</t>
  </si>
  <si>
    <t>STAND PIPE J</t>
  </si>
  <si>
    <t>XV-120606M</t>
  </si>
  <si>
    <t>0001289</t>
  </si>
  <si>
    <t>1/4"-U12-PNEU-XV-120606M-TUB</t>
  </si>
  <si>
    <t>XV-120606N</t>
  </si>
  <si>
    <t>0001290</t>
  </si>
  <si>
    <t>1/4"-U12-PNEU-XV-120606N-TUB</t>
  </si>
  <si>
    <t>STAND PIPE I</t>
  </si>
  <si>
    <t>XV-120606P</t>
  </si>
  <si>
    <t>0001291</t>
  </si>
  <si>
    <t>1/4"-U12-PNEU-XV-120606P-TUB</t>
  </si>
  <si>
    <t>XV-120606Q</t>
  </si>
  <si>
    <t>0001292</t>
  </si>
  <si>
    <t>1/4"-U12-PNEU-XV-120606Q-TUB</t>
  </si>
  <si>
    <t>XV-120607</t>
  </si>
  <si>
    <t>0003314</t>
  </si>
  <si>
    <t>1/4"-U12-PNEU-XV-120607-TUB</t>
  </si>
  <si>
    <t>XV-120608</t>
  </si>
  <si>
    <t>0003315</t>
  </si>
  <si>
    <t>1/4"-U12-PNEU-XV-120608-TUB</t>
  </si>
  <si>
    <t>XV-120609</t>
  </si>
  <si>
    <t>0003316</t>
  </si>
  <si>
    <t>1/4"-U12-PNEU-XV-120609-TUB</t>
  </si>
  <si>
    <t>XV-120610A</t>
  </si>
  <si>
    <t>0001293</t>
  </si>
  <si>
    <t>1/2"-U12-PNEU-XV-120610A-TUB</t>
  </si>
  <si>
    <t>XV-120610B</t>
  </si>
  <si>
    <t>0001294</t>
  </si>
  <si>
    <t>1/2"-U12-PNEU-XV-120610B-TUB</t>
  </si>
  <si>
    <t>XV-120610C</t>
  </si>
  <si>
    <t>0001295</t>
  </si>
  <si>
    <t>1/4"-U12-PNEU-XV-120610C-TUB</t>
  </si>
  <si>
    <t>XV-120610D</t>
  </si>
  <si>
    <t>0001296</t>
  </si>
  <si>
    <t>1/4"-U12-PNEU-XV-120610D-TUB</t>
  </si>
  <si>
    <t>XV-120610E</t>
  </si>
  <si>
    <t>0001297</t>
  </si>
  <si>
    <t>1/4"-U12-PNEU-XV-120610E-TUB</t>
  </si>
  <si>
    <t>XV-120610F</t>
  </si>
  <si>
    <t>0001298</t>
  </si>
  <si>
    <t>1/4"-U12-PNEU-XV-120610F-TUB</t>
  </si>
  <si>
    <t>XV-120610G</t>
  </si>
  <si>
    <t>0001299</t>
  </si>
  <si>
    <t>1/4"-U12-PNEU-XV-120610G-TUB</t>
  </si>
  <si>
    <t>XV-120610H</t>
  </si>
  <si>
    <t>0001300</t>
  </si>
  <si>
    <t>1/4"-U12-PNEU-XV-120610H-TUB</t>
  </si>
  <si>
    <t>XV-120610J</t>
  </si>
  <si>
    <t>0001301</t>
  </si>
  <si>
    <t>1/4"-U12-PNEU-XV-120610J-TUB</t>
  </si>
  <si>
    <t>XV-120610K</t>
  </si>
  <si>
    <t>0001302</t>
  </si>
  <si>
    <t>1/4"-U12-PNEU-XV-120610K-TUB</t>
  </si>
  <si>
    <t>XV-120610L</t>
  </si>
  <si>
    <t>0001303</t>
  </si>
  <si>
    <t>1/4"-U12-PNEU-XV-120610L-TUB</t>
  </si>
  <si>
    <t>XV-120610M</t>
  </si>
  <si>
    <t>0001304</t>
  </si>
  <si>
    <t>1/4"-U12-PNEU-XV-120610M-TUB</t>
  </si>
  <si>
    <t>XV-120610N</t>
  </si>
  <si>
    <t>0001305</t>
  </si>
  <si>
    <t>1/4"-U12-PNEU-XV-120610N-TUB</t>
  </si>
  <si>
    <t>XV-120610P</t>
  </si>
  <si>
    <t>0001306</t>
  </si>
  <si>
    <t>1/4"-U12-PNEU-XV-120610P-TUB</t>
  </si>
  <si>
    <t>XV-120610Q</t>
  </si>
  <si>
    <t>0001307</t>
  </si>
  <si>
    <t>1/4"-U12-PNEU-XV-120610Q-TUB</t>
  </si>
  <si>
    <t>XV-120611</t>
  </si>
  <si>
    <t>0003317</t>
  </si>
  <si>
    <t>1/4"-U12-PNEU-XV-120611-TUB</t>
  </si>
  <si>
    <t>XV-120612A</t>
  </si>
  <si>
    <t>0001308</t>
  </si>
  <si>
    <t>1/2"-U12-PNEU-XV-120612A-TUB</t>
  </si>
  <si>
    <t>XV-120612B</t>
  </si>
  <si>
    <t>0001309</t>
  </si>
  <si>
    <t>1/2"-U12-PNEU-XV-120612B-TUB</t>
  </si>
  <si>
    <t>XV-120612C</t>
  </si>
  <si>
    <t>0001310</t>
  </si>
  <si>
    <t>1/4"-U12-PNEU-XV-120612C-TUB</t>
  </si>
  <si>
    <t>XV-120612D</t>
  </si>
  <si>
    <t>0001311</t>
  </si>
  <si>
    <t>1/4"-U12-PNEU-XV-120612D-TUB</t>
  </si>
  <si>
    <t>XV-120612E</t>
  </si>
  <si>
    <t>0001312</t>
  </si>
  <si>
    <t>1/4"-U12-PNEU-XV-120612E-TUB</t>
  </si>
  <si>
    <t>XV-120612F</t>
  </si>
  <si>
    <t>0001313</t>
  </si>
  <si>
    <t>1/4"-U12-PNEU-XV-120612F-TUB</t>
  </si>
  <si>
    <t>XV-120612G</t>
  </si>
  <si>
    <t>0001314</t>
  </si>
  <si>
    <t>1/4"-U12-PNEU-XV-120612G-TUB</t>
  </si>
  <si>
    <t>XV-120612H</t>
  </si>
  <si>
    <t>0001315</t>
  </si>
  <si>
    <t>1/4"-U12-PNEU-XV-120612H-TUB</t>
  </si>
  <si>
    <t>XV-120612J</t>
  </si>
  <si>
    <t>0001316</t>
  </si>
  <si>
    <t>1/4"-U12-PNEU-XV-120612J-TUB</t>
  </si>
  <si>
    <t>XV-120612K</t>
  </si>
  <si>
    <t>0001317</t>
  </si>
  <si>
    <t>1/4"-U12-PNEU-XV-120612K-TUB</t>
  </si>
  <si>
    <t>XV-120612L</t>
  </si>
  <si>
    <t>0001318</t>
  </si>
  <si>
    <t>1/4"-U12-PNEU-XV-120612L-TUB</t>
  </si>
  <si>
    <t>XV-120612M</t>
  </si>
  <si>
    <t>0001319</t>
  </si>
  <si>
    <t>1/4"-U12-PNEU-XV-120612M-TUB</t>
  </si>
  <si>
    <t>XV-120612N</t>
  </si>
  <si>
    <t>0001320</t>
  </si>
  <si>
    <t>1/4"-U12-PNEU-XV-120612N-TUB</t>
  </si>
  <si>
    <t>XV-120612P</t>
  </si>
  <si>
    <t>0001321</t>
  </si>
  <si>
    <t>1/4"-U12-PNEU-XV-120612P-TUB</t>
  </si>
  <si>
    <t>XV-120612Q</t>
  </si>
  <si>
    <t>0001322</t>
  </si>
  <si>
    <t>1/4"-U12-PNEU-XV-120612Q-TUB</t>
  </si>
  <si>
    <t>XV-120613A</t>
  </si>
  <si>
    <t>0001323</t>
  </si>
  <si>
    <t>1/4"-U12-PNEU-XV-120613A-TUB</t>
  </si>
  <si>
    <t>XV-120613B</t>
  </si>
  <si>
    <t>0001324</t>
  </si>
  <si>
    <t>1/4"-U12-PNEU-XV-120613B-TUB</t>
  </si>
  <si>
    <t>XV-120613C</t>
  </si>
  <si>
    <t>0001325</t>
  </si>
  <si>
    <t>1/4"-U12-PNEU-XV-120613C-TUB</t>
  </si>
  <si>
    <t>XV-120613D</t>
  </si>
  <si>
    <t>0001326</t>
  </si>
  <si>
    <t>1/4"-U12-PNEU-XV-120613D-TUB</t>
  </si>
  <si>
    <t>XV-120613E</t>
  </si>
  <si>
    <t>0001327</t>
  </si>
  <si>
    <t>1/4"-U12-PNEU-XV-120613E-TUB</t>
  </si>
  <si>
    <t>XV-120613F</t>
  </si>
  <si>
    <t>0001328</t>
  </si>
  <si>
    <t>1/4"-U12-PNEU-XV-120613F-TUB</t>
  </si>
  <si>
    <t>XV-120613G</t>
  </si>
  <si>
    <t>0001329</t>
  </si>
  <si>
    <t>1/4"-U12-PNEU-XV-120613G-TUB</t>
  </si>
  <si>
    <t>XV-120613H</t>
  </si>
  <si>
    <t>0001330</t>
  </si>
  <si>
    <t>1/4"-U12-PNEU-XV-120613H-TUB</t>
  </si>
  <si>
    <t>XV-120613J</t>
  </si>
  <si>
    <t>0001331</t>
  </si>
  <si>
    <t>1/4"-U12-PNEU-XV-120613J-TUB</t>
  </si>
  <si>
    <t>XV-120613K</t>
  </si>
  <si>
    <t>0001332</t>
  </si>
  <si>
    <t>1/4"-U12-PNEU-XV-120613K-TUB</t>
  </si>
  <si>
    <t>XV-120613L</t>
  </si>
  <si>
    <t>0001333</t>
  </si>
  <si>
    <t>1/4"-U12-PNEU-XV-120613L-TUB</t>
  </si>
  <si>
    <t>XV-120613M</t>
  </si>
  <si>
    <t>0001334</t>
  </si>
  <si>
    <t>1/4"-U12-PNEU-XV-120613M-TUB</t>
  </si>
  <si>
    <t>XV-120613N</t>
  </si>
  <si>
    <t>0001335</t>
  </si>
  <si>
    <t>1/2"-U12-PNEU-XV-120613N-TUB</t>
  </si>
  <si>
    <t>XV-120613P</t>
  </si>
  <si>
    <t>0001336</t>
  </si>
  <si>
    <t>1/4"-U12-PNEU-XV-120613P-TUB</t>
  </si>
  <si>
    <t>XV-120613Q</t>
  </si>
  <si>
    <t>0001337</t>
  </si>
  <si>
    <t>1/4"-U12-PNEU-XV-120613Q-TUB</t>
  </si>
  <si>
    <t>XV-120614</t>
  </si>
  <si>
    <t>0003318</t>
  </si>
  <si>
    <t>1/2"-U12-PNEU-XV-120614-TUB</t>
  </si>
  <si>
    <t>XV-120647</t>
  </si>
  <si>
    <t>0012-0007-0002</t>
  </si>
  <si>
    <t>0012-0007-0002-001</t>
  </si>
  <si>
    <t>0003319</t>
  </si>
  <si>
    <t>Subsistema de Água de Incêndio - UD-12</t>
  </si>
  <si>
    <t>1/2"-U12-PNEU-XV-120647-TUB</t>
  </si>
  <si>
    <t>XV-120649</t>
  </si>
  <si>
    <t>0003320</t>
  </si>
  <si>
    <t>1/2"-U12-PNEU-XV-120649-TUB</t>
  </si>
  <si>
    <t>XV-120701A</t>
  </si>
  <si>
    <t>0001918</t>
  </si>
  <si>
    <t>1/2"-U12-PNEU-XV-120701A-TUB</t>
  </si>
  <si>
    <t>XV-120701B</t>
  </si>
  <si>
    <t>0001919</t>
  </si>
  <si>
    <t>1/2"-U12-PNEU-XV-120701B-TUB</t>
  </si>
  <si>
    <t>XV-120701C</t>
  </si>
  <si>
    <t>0001920</t>
  </si>
  <si>
    <t>1/2"-U12-PNEU-XV-120701C-TUB</t>
  </si>
  <si>
    <t>XV-120701D</t>
  </si>
  <si>
    <t>0001921</t>
  </si>
  <si>
    <t>1/2"-U12-PNEU-XV-120701D-TUB</t>
  </si>
  <si>
    <t>STAND PIPE M</t>
  </si>
  <si>
    <t>XV-120701E</t>
  </si>
  <si>
    <t>0001922</t>
  </si>
  <si>
    <t>1/2"-U12-PNEU-XV-120701E-TUB</t>
  </si>
  <si>
    <t>XV-120701F</t>
  </si>
  <si>
    <t>0001923</t>
  </si>
  <si>
    <t>1/2"-U12-PNEU-XV-120701F-TUB</t>
  </si>
  <si>
    <t>STAND PIPE Q</t>
  </si>
  <si>
    <t>XV-120702</t>
  </si>
  <si>
    <t>0003321</t>
  </si>
  <si>
    <t>1/2"-U12-PNEU-XV-120702-TUB</t>
  </si>
  <si>
    <t>XV-120703</t>
  </si>
  <si>
    <t>0003322</t>
  </si>
  <si>
    <t>1/4"-U12-PNEU-XV-120703-TUB</t>
  </si>
  <si>
    <t>XV-120704</t>
  </si>
  <si>
    <t>0003323</t>
  </si>
  <si>
    <t>1/4"-U12-PNEU-XV-120704-TUB</t>
  </si>
  <si>
    <t>XV-120705</t>
  </si>
  <si>
    <t>0003324</t>
  </si>
  <si>
    <t>1/4"-U12-PNEU-XV-120705-TUB</t>
  </si>
  <si>
    <t>XV-120706A</t>
  </si>
  <si>
    <t>0001338</t>
  </si>
  <si>
    <t>1/4"-U12-PNEU-XV-120706A-TUB</t>
  </si>
  <si>
    <t>XV-120706B</t>
  </si>
  <si>
    <t>0001339</t>
  </si>
  <si>
    <t>1/4"-U12-PNEU-XV-120706B-TUB</t>
  </si>
  <si>
    <t>XV-120706C</t>
  </si>
  <si>
    <t>0001340</t>
  </si>
  <si>
    <t>1/4"-U12-PNEU-XV-120706C-TUB</t>
  </si>
  <si>
    <t>STAND PIPE R</t>
  </si>
  <si>
    <t>XV-120706D</t>
  </si>
  <si>
    <t>0001341</t>
  </si>
  <si>
    <t>1/2"-U12-PNEU-XV-120706D-TUB</t>
  </si>
  <si>
    <t>XV-120706E</t>
  </si>
  <si>
    <t>0001342</t>
  </si>
  <si>
    <t>1/4"-U12-PNEU-XV-120706E-TUB</t>
  </si>
  <si>
    <t>STAND PIPE S</t>
  </si>
  <si>
    <t>XV-120706F</t>
  </si>
  <si>
    <t>0001343</t>
  </si>
  <si>
    <t>1/4"-U12-PNEU-XV-120706F-TUB</t>
  </si>
  <si>
    <t>XV-120706G</t>
  </si>
  <si>
    <t>0001344</t>
  </si>
  <si>
    <t>1/4"-U12-PNEU-XV-120706G-TUB</t>
  </si>
  <si>
    <t>STAND PIPE T</t>
  </si>
  <si>
    <t>XV-120706H</t>
  </si>
  <si>
    <t>0001345</t>
  </si>
  <si>
    <t>1/4"-U12-PNEU-XV-120706H-TUB</t>
  </si>
  <si>
    <t>XV-120706J</t>
  </si>
  <si>
    <t>0001346</t>
  </si>
  <si>
    <t>1/4"-U12-PNEU-XV-120706J-TUB</t>
  </si>
  <si>
    <t>STAND PIPE U</t>
  </si>
  <si>
    <t>XV-120706K</t>
  </si>
  <si>
    <t>0001347</t>
  </si>
  <si>
    <t>1/4"-U12-PNEU-XV-120706K-TUB</t>
  </si>
  <si>
    <t>XV-120706L</t>
  </si>
  <si>
    <t>0001348</t>
  </si>
  <si>
    <t>1/2"-U12-PNEU-XV-120706L-TUB</t>
  </si>
  <si>
    <t>STAND PIPE V</t>
  </si>
  <si>
    <t>XV-120706M</t>
  </si>
  <si>
    <t>0001349</t>
  </si>
  <si>
    <t>1/4"-U12-PNEU-XV-120706M-TUB</t>
  </si>
  <si>
    <t>XV-120706N</t>
  </si>
  <si>
    <t>0001350</t>
  </si>
  <si>
    <t>1/4"-U12-PNEU-XV-120706N-TUB</t>
  </si>
  <si>
    <t>STAND PIPE W</t>
  </si>
  <si>
    <t>XV-120706P</t>
  </si>
  <si>
    <t>0001351</t>
  </si>
  <si>
    <t>1/4"-U12-PNEU-XV-120706P-TUB</t>
  </si>
  <si>
    <t>XV-120706Q</t>
  </si>
  <si>
    <t>0001352</t>
  </si>
  <si>
    <t>1/4"-U12-PNEU-XV-120706Q-TUB</t>
  </si>
  <si>
    <t>STAND PIPE X</t>
  </si>
  <si>
    <t>XV-120707</t>
  </si>
  <si>
    <t>0003325</t>
  </si>
  <si>
    <t>1/4"-U12-PNEU-XV-120707-TUB</t>
  </si>
  <si>
    <t>XV-120708</t>
  </si>
  <si>
    <t>0003326</t>
  </si>
  <si>
    <t>1/4"-U12-PNEU-XV-120708-TUB</t>
  </si>
  <si>
    <t>XV-120709</t>
  </si>
  <si>
    <t>0003327</t>
  </si>
  <si>
    <t>1/4"-U12-PNEU-XV-120709-TUB</t>
  </si>
  <si>
    <t>XV-120710A</t>
  </si>
  <si>
    <t>0001353</t>
  </si>
  <si>
    <t>1/2"-U12-PNEU-XV-120710A-TUB</t>
  </si>
  <si>
    <t>XV-120710B</t>
  </si>
  <si>
    <t>0001354</t>
  </si>
  <si>
    <t>1/4"-U12-PNEU-XV-120710B-TUB</t>
  </si>
  <si>
    <t>XV-120710C</t>
  </si>
  <si>
    <t>0001355</t>
  </si>
  <si>
    <t>1/4"-U12-PNEU-XV-120710C-TUB</t>
  </si>
  <si>
    <t>XV-120710D</t>
  </si>
  <si>
    <t>0001356</t>
  </si>
  <si>
    <t>1/4"-U12-PNEU-XV-120710D-TUB</t>
  </si>
  <si>
    <t>XV-120710E</t>
  </si>
  <si>
    <t>0001357</t>
  </si>
  <si>
    <t>1/4"-U12-PNEU-XV-120710E-TUB</t>
  </si>
  <si>
    <t>XV-120710F</t>
  </si>
  <si>
    <t>0001358</t>
  </si>
  <si>
    <t>1/4"-U12-PNEU-XV-120710F-TUB</t>
  </si>
  <si>
    <t>XV-120710G</t>
  </si>
  <si>
    <t>0001359</t>
  </si>
  <si>
    <t>1/4"-U12-PNEU-XV-120710G-TUB</t>
  </si>
  <si>
    <t>XV-120710H</t>
  </si>
  <si>
    <t>0001360</t>
  </si>
  <si>
    <t>1/4"-U12-PNEU-XV-120710H-TUB</t>
  </si>
  <si>
    <t>XV-120710J</t>
  </si>
  <si>
    <t>0001361</t>
  </si>
  <si>
    <t>1/4"-U12-PNEU-XV-120710J-TUB</t>
  </si>
  <si>
    <t>XV-120710K</t>
  </si>
  <si>
    <t>0001362</t>
  </si>
  <si>
    <t>1/4"-U12-PNEU-XV-120710K-TUB</t>
  </si>
  <si>
    <t>XV-120710L</t>
  </si>
  <si>
    <t>0001363</t>
  </si>
  <si>
    <t>1/4"-U12-PNEU-XV-120710L-TUB</t>
  </si>
  <si>
    <t>XV-120710M</t>
  </si>
  <si>
    <t>0001364</t>
  </si>
  <si>
    <t>1/4"-U12-PNEU-XV-120710M-TUB</t>
  </si>
  <si>
    <t>XV-120710N</t>
  </si>
  <si>
    <t>0001365</t>
  </si>
  <si>
    <t>1/4"-U12-PNEU-XV-120710N-TUB</t>
  </si>
  <si>
    <t>XV-120710P</t>
  </si>
  <si>
    <t>0001366</t>
  </si>
  <si>
    <t>1/4"-U12-PNEU-XV-120710P-TUB</t>
  </si>
  <si>
    <t>XV-120710Q</t>
  </si>
  <si>
    <t>0001367</t>
  </si>
  <si>
    <t>1/4"-U12-PNEU-XV-120710Q-TUB</t>
  </si>
  <si>
    <t>XV-120711</t>
  </si>
  <si>
    <t>0003328</t>
  </si>
  <si>
    <t>1/4"-U12-PNEU-XV-120711-TUB</t>
  </si>
  <si>
    <t>XV-120712A</t>
  </si>
  <si>
    <t>0001368</t>
  </si>
  <si>
    <t>1/4"-U12-PNEU-XV-120712A-TUB</t>
  </si>
  <si>
    <t>XV-120712B</t>
  </si>
  <si>
    <t>0001369</t>
  </si>
  <si>
    <t>1/4"-U12-PNEU-XV-120712B-TUB</t>
  </si>
  <si>
    <t>XV-120712C</t>
  </si>
  <si>
    <t>0001370</t>
  </si>
  <si>
    <t>1/4"-U12-PNEU-XV-120712C-TUB</t>
  </si>
  <si>
    <t>XV-120712D</t>
  </si>
  <si>
    <t>0001371</t>
  </si>
  <si>
    <t>1/4"-U12-PNEU-XV-120712D-TUB</t>
  </si>
  <si>
    <t>XV-120712E</t>
  </si>
  <si>
    <t>0001372</t>
  </si>
  <si>
    <t>1/4"-U12-PNEU-XV-120712E-TUB</t>
  </si>
  <si>
    <t>XV-120712F</t>
  </si>
  <si>
    <t>0001373</t>
  </si>
  <si>
    <t>1/4"-U12-PNEU-XV-120712F-TUB</t>
  </si>
  <si>
    <t>XV-120712G</t>
  </si>
  <si>
    <t>0001374</t>
  </si>
  <si>
    <t>1/4"-U12-PNEU-XV-120712G-TUB</t>
  </si>
  <si>
    <t>XV-120712H</t>
  </si>
  <si>
    <t>0001375</t>
  </si>
  <si>
    <t>1/2"-U12-PNEU-XV-120712H-TUB</t>
  </si>
  <si>
    <t>XV-120712J</t>
  </si>
  <si>
    <t>0001376</t>
  </si>
  <si>
    <t>1/4"-U12-PNEU-XV-120712J-TUB</t>
  </si>
  <si>
    <t>XV-120712K</t>
  </si>
  <si>
    <t>0001377</t>
  </si>
  <si>
    <t>1/4"-U12-PNEU-XV-120712K-TUB</t>
  </si>
  <si>
    <t>XV-120712L</t>
  </si>
  <si>
    <t>0001378</t>
  </si>
  <si>
    <t>1/4"-U12-PNEU-XV-120712L-TUB</t>
  </si>
  <si>
    <t>XV-120712M</t>
  </si>
  <si>
    <t>0001379</t>
  </si>
  <si>
    <t>1/4"-U12-PNEU-XV-120712M-TUB</t>
  </si>
  <si>
    <t>XV-120712N</t>
  </si>
  <si>
    <t>0001380</t>
  </si>
  <si>
    <t>1/4"-U12-PNEU-XV-120712N-TUB</t>
  </si>
  <si>
    <t>XV-120712P</t>
  </si>
  <si>
    <t>0001381</t>
  </si>
  <si>
    <t>1/4"-U12-PNEU-XV-120712P-TUB</t>
  </si>
  <si>
    <t>XV-120712Q</t>
  </si>
  <si>
    <t>0001382</t>
  </si>
  <si>
    <t>1/4"-U12-PNEU-XV-120712Q-TUB</t>
  </si>
  <si>
    <t>XV-120713A</t>
  </si>
  <si>
    <t>0001383</t>
  </si>
  <si>
    <t>1/2"-U12-PNEU-XV-120713A-TUB</t>
  </si>
  <si>
    <t>XV-120713B</t>
  </si>
  <si>
    <t>0001384</t>
  </si>
  <si>
    <t>1/2"-U12-PNEU-XV-120713B-TUB</t>
  </si>
  <si>
    <t>XV-120713C</t>
  </si>
  <si>
    <t>0001385</t>
  </si>
  <si>
    <t>1/2"-U12-PNEU-XV-120713C-TUB</t>
  </si>
  <si>
    <t>XV-120713D</t>
  </si>
  <si>
    <t>0001386</t>
  </si>
  <si>
    <t>1/2"-U12-PNEU-XV-120713D-TUB</t>
  </si>
  <si>
    <t>XV-120713E</t>
  </si>
  <si>
    <t>0001387</t>
  </si>
  <si>
    <t>1/4"-U12-PNEU-XV-120713E-TUB</t>
  </si>
  <si>
    <t>XV-120713F</t>
  </si>
  <si>
    <t>0001388</t>
  </si>
  <si>
    <t>1/4"-U12-PNEU-XV-120713F-TUB</t>
  </si>
  <si>
    <t>XV-120713G</t>
  </si>
  <si>
    <t>0001389</t>
  </si>
  <si>
    <t>1/4"-U12-PNEU-XV-120713G-TUB</t>
  </si>
  <si>
    <t>XV-120713H</t>
  </si>
  <si>
    <t>0001390</t>
  </si>
  <si>
    <t>1/4"-U12-PNEU-XV-120713H-TUB</t>
  </si>
  <si>
    <t>XV-120713J</t>
  </si>
  <si>
    <t>0001391</t>
  </si>
  <si>
    <t>1/4"-U12-PNEU-XV-120713J-TUB</t>
  </si>
  <si>
    <t>XV-120713K</t>
  </si>
  <si>
    <t>0001392</t>
  </si>
  <si>
    <t>1/4"-U12-PNEU-XV-120713K-TUB</t>
  </si>
  <si>
    <t>XV-120713L</t>
  </si>
  <si>
    <t>0001393</t>
  </si>
  <si>
    <t>1/4"-U12-PNEU-XV-120713L-TUB</t>
  </si>
  <si>
    <t>XV-120713M</t>
  </si>
  <si>
    <t>0001394</t>
  </si>
  <si>
    <t>1/4"-U12-PNEU-XV-120713M-TUB</t>
  </si>
  <si>
    <t>XV-120713N</t>
  </si>
  <si>
    <t>0001395</t>
  </si>
  <si>
    <t>1/2"-U12-PNEU-XV-120713N-TUB</t>
  </si>
  <si>
    <t>XV-120713P</t>
  </si>
  <si>
    <t>0001396</t>
  </si>
  <si>
    <t>1/4"-U12-PNEU-XV-120713P-TUB</t>
  </si>
  <si>
    <t>XV-120713Q</t>
  </si>
  <si>
    <t>0001397</t>
  </si>
  <si>
    <t>1/4"-U12-PNEU-XV-120713Q-TUB</t>
  </si>
  <si>
    <t>XV-120901</t>
  </si>
  <si>
    <t>0008524</t>
  </si>
  <si>
    <t>1/2"-U12-PNEU-XV-120901-TUB</t>
  </si>
  <si>
    <t>PDA-120019</t>
  </si>
  <si>
    <t>1/2"-U12-PNEU-PDA-120001-TUB</t>
  </si>
  <si>
    <t>PDA</t>
  </si>
  <si>
    <t>Oeste</t>
  </si>
  <si>
    <t>1/2"-U12-PNEU-PDA-120002-TUB</t>
  </si>
  <si>
    <t>1/2"-U12-PNEU-PDA-120003-TUB</t>
  </si>
  <si>
    <t>Centro-oeste</t>
  </si>
  <si>
    <t>1/2"-U12-PNEU-PDA-120004-TUB</t>
  </si>
  <si>
    <t>1/2"-U12-PNEU-PDA-120005-TUB</t>
  </si>
  <si>
    <t>Centro</t>
  </si>
  <si>
    <t>1/2"-U12-PNEU-PDA-120006-TUB</t>
  </si>
  <si>
    <t>1/2"-U12-PNEU-PDA-120007-TUB</t>
  </si>
  <si>
    <t>1/2"-U12-PNEU-PDA-120008-TUB</t>
  </si>
  <si>
    <t>1/2"-U12-PNEU-PDA-120009-TUB</t>
  </si>
  <si>
    <t>1/2"-U12-PNEU-PDA-120010-TUB</t>
  </si>
  <si>
    <t>Centro-leste</t>
  </si>
  <si>
    <t>1/2"-U12-PNEU-PDA-120011-TUB</t>
  </si>
  <si>
    <t>1/2"-U12-PNEU-PDA-120012-TUB</t>
  </si>
  <si>
    <t>1/2"-U12-PNEU-PDA-120013-TUB</t>
  </si>
  <si>
    <t>1/2"-U12-PNEU-PDA-120014-TUB</t>
  </si>
  <si>
    <t>1/2"-U12-PNEU-PDA-120015-TUB</t>
  </si>
  <si>
    <t>1/2"-U12-PNEU-PDA-120016-TUB</t>
  </si>
  <si>
    <t>Leste</t>
  </si>
  <si>
    <t>1/2"-U12-PNEU-PDA-120017-TUB</t>
  </si>
  <si>
    <t>1/2"-U12-PNEU-PDA-120018-TUB</t>
  </si>
  <si>
    <t>1/2"-U12-PNEU-PDA-120019-TUB</t>
  </si>
  <si>
    <t>Estrutura I</t>
  </si>
  <si>
    <t>PDA-120020</t>
  </si>
  <si>
    <t>1/2"-U12-PNEU-PDA-120020-TUB</t>
  </si>
  <si>
    <t>Estrutura II</t>
  </si>
  <si>
    <t>STAND PIPE</t>
  </si>
  <si>
    <t>F-12001A</t>
  </si>
  <si>
    <t>SOP/SSOP/prioritário/sistema do stand pipe derivados das válvulas (valor mais frequente)</t>
  </si>
  <si>
    <t>F-12001B</t>
  </si>
  <si>
    <t>STAND PIPE P</t>
  </si>
  <si>
    <t>PV-120063</t>
  </si>
  <si>
    <t>Consta na lista CHZ-113, mas não tem spool de tubing na planilha original</t>
  </si>
  <si>
    <t>XY-122023</t>
  </si>
  <si>
    <t>SY-122040</t>
  </si>
  <si>
    <t>PV-120008</t>
  </si>
  <si>
    <t>FV-120005</t>
  </si>
  <si>
    <t>FV-120019</t>
  </si>
  <si>
    <t>FV-120952</t>
  </si>
  <si>
    <t>XY-120953</t>
  </si>
  <si>
    <t>AIT-120011</t>
  </si>
  <si>
    <t>PV-120067A</t>
  </si>
  <si>
    <t>PV-120067B</t>
  </si>
  <si>
    <t>AIT-120010</t>
  </si>
  <si>
    <t>FV-120450</t>
  </si>
  <si>
    <t>FV-120953</t>
  </si>
  <si>
    <t>XY-120955</t>
  </si>
  <si>
    <t>XY-120250</t>
  </si>
  <si>
    <t>FV-120951</t>
  </si>
  <si>
    <t>XY-120952</t>
  </si>
  <si>
    <t>FV-120034</t>
  </si>
  <si>
    <t>AIT-120009</t>
  </si>
  <si>
    <t>FV-120018</t>
  </si>
  <si>
    <t>FV-120058B</t>
  </si>
  <si>
    <t>SY-120901</t>
  </si>
  <si>
    <t>XY-120902</t>
  </si>
  <si>
    <t>FV-120451</t>
  </si>
  <si>
    <t>FV-120452</t>
  </si>
  <si>
    <t>FV-120453</t>
  </si>
  <si>
    <t>PV-120642</t>
  </si>
  <si>
    <t>Consta no desenho do stand pipe, mas não tem spool de tubing na planilha original</t>
  </si>
  <si>
    <t>PV-120742</t>
  </si>
  <si>
    <t>LV-120901</t>
  </si>
  <si>
    <t>TV-120003B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</si>
</sst>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1" x14ac:knownFonts="1">
    <font>
      <sz val="11"/>
      <color theme="1"/>
      <name val="Aptos Narrow"/>
      <family val="2"/>
      <charset val="1"/>
    </font>
    <font>
      <b/>
      <sz val="16"/>
      <color theme="0"/>
      <name val="Aptos Narrow"/>
      <family val="2"/>
      <charset val="1"/>
    </font>
    <font>
      <b/>
      <i/>
      <sz val="12"/>
      <color theme="0"/>
      <name val="Aptos Narrow"/>
      <family val="2"/>
      <charset val="1"/>
    </font>
    <font>
      <b/>
      <sz val="12"/>
      <color theme="0"/>
      <name val="Aptos Narrow"/>
      <family val="2"/>
      <charset val="1"/>
    </font>
    <font>
      <b/>
      <sz val="11"/>
      <name val="Arial"/>
      <family val="2"/>
    </font>
    <font>
      <b/>
      <sz val="11"/>
      <color rgb="FF1B5E20"/>
      <name val="Arial"/>
      <family val="2"/>
    </font>
    <font>
      <b/>
      <sz val="11"/>
      <color theme="0"/>
      <name val="Aptos Narrow"/>
      <family val="2"/>
      <charset val="1"/>
    </font>
    <font>
      <b/>
      <sz val="11"/>
      <color rgb="FFFFFF00"/>
      <name val="Aptos Narrow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rgb="FF002060"/>
        <bgColor rgb="FF1F2A44"/>
      </patternFill>
    </fill>
    <fill>
      <patternFill patternType="solid">
        <fgColor rgb="FF1F2A44"/>
        <bgColor rgb="FF002060"/>
      </patternFill>
    </fill>
    <fill>
      <patternFill patternType="solid">
        <fgColor rgb="FF1B5E20"/>
        <bgColor rgb="FF333300"/>
      </patternFill>
    </fill>
    <fill>
      <patternFill patternType="solid">
        <fgColor rgb="FFE3E3E3"/>
        <bgColor rgb="FFC6EFCE"/>
      </patternFill>
    </fill>
  </fills>
  <borders count="8">
    <border>
      <left/>
      <right/>
      <top/>
      <bottom/>
      <diagonal/>
    </border>
    <border>
      <left/>
      <right/>
      <top style="thick">
        <color theme="0"/>
      </top>
      <bottom style="thin">
        <color theme="0"/>
      </bottom>
      <diagonal/>
    </border>
    <border>
      <left/>
      <right/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thin">
        <color theme="0"/>
      </bottom>
      <diagonal/>
    </border>
    <border>
      <left/>
      <right style="thick">
        <color theme="0"/>
      </right>
      <top style="thick">
        <color theme="0"/>
      </top>
      <bottom style="thin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3" fontId="2" fillId="2" borderId="3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4" fontId="2" fillId="2" borderId="4" xfId="0" applyNumberFormat="1" applyFont="1" applyFill="1" applyBorder="1" applyAlignment="1">
      <alignment horizontal="center" vertical="center"/>
    </xf>
    <xf numFmtId="4" fontId="3" fillId="2" borderId="5" xfId="0" applyNumberFormat="1" applyFont="1" applyFill="1" applyBorder="1" applyAlignment="1">
      <alignment horizontal="center" vertical="center"/>
    </xf>
    <xf numFmtId="4" fontId="2" fillId="2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164" fontId="6" fillId="3" borderId="6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165" fontId="6" fillId="3" borderId="6" xfId="0" applyNumberFormat="1" applyFont="1" applyFill="1" applyBorder="1" applyAlignment="1">
      <alignment horizontal="center" vertical="center"/>
    </xf>
    <xf numFmtId="4" fontId="6" fillId="3" borderId="6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9" fillId="0" borderId="0" xfId="0" applyFont="1"/>
    <xf numFmtId="0" fontId="9" fillId="6" borderId="0" xfId="0" applyFont="1" applyFill="1"/>
    <xf numFmtId="0" fontId="0" fillId="0" borderId="7" xfId="0" applyBorder="1" applyAlignment="1">
      <alignment horizontal="center" wrapText="1"/>
    </xf>
    <xf numFmtId="49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0" xfId="0" applyFont="1"/>
    <xf numFmtId="9" fontId="9" fillId="0" borderId="0" xfId="0" applyNumberFormat="1" applyFont="1"/>
    <xf numFmtId="0" fontId="6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dradegutierrez365-my.sharepoint.com/personal/lourenco_bomfim_agnet_com_br/Documents/INFRAESTRUTURA/BASE%20TUBBING/base_geral_instrumentos%20e%20valvulas.xlsx" TargetMode="External"/><Relationship Id="rId1" Type="http://schemas.openxmlformats.org/officeDocument/2006/relationships/externalLinkPath" Target="base_geral_instrumentos%20e%20valvul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GS"/>
      <sheetName val="LEIA-ME"/>
    </sheetNames>
    <sheetDataSet>
      <sheetData sheetId="0">
        <row r="1">
          <cell r="A1" t="str">
            <v>tag</v>
          </cell>
          <cell r="BG1" t="str">
            <v>status_montagem</v>
          </cell>
        </row>
        <row r="2">
          <cell r="A2" t="str">
            <v>AE-127004</v>
          </cell>
          <cell r="BG2" t="str">
            <v>Não Montado</v>
          </cell>
        </row>
        <row r="3">
          <cell r="A3" t="str">
            <v>AE-127005</v>
          </cell>
          <cell r="BG3" t="str">
            <v>Não Montado</v>
          </cell>
        </row>
        <row r="4">
          <cell r="A4" t="str">
            <v>AIT-120001A</v>
          </cell>
          <cell r="BG4" t="str">
            <v>Não Montado</v>
          </cell>
        </row>
        <row r="5">
          <cell r="A5" t="str">
            <v>AIT-120001B</v>
          </cell>
          <cell r="BG5" t="str">
            <v>Não Montado</v>
          </cell>
        </row>
        <row r="6">
          <cell r="A6" t="str">
            <v>AIT-120002A</v>
          </cell>
          <cell r="BG6" t="str">
            <v>Não Montado</v>
          </cell>
        </row>
        <row r="7">
          <cell r="A7" t="str">
            <v>AIT-120002B</v>
          </cell>
          <cell r="BG7" t="str">
            <v>Não Montado</v>
          </cell>
        </row>
        <row r="8">
          <cell r="A8" t="str">
            <v>AIT-120003A</v>
          </cell>
          <cell r="BG8" t="str">
            <v>Não Montado</v>
          </cell>
        </row>
        <row r="9">
          <cell r="A9" t="str">
            <v>AIT-120003B</v>
          </cell>
          <cell r="BG9" t="str">
            <v>Não Montado</v>
          </cell>
        </row>
        <row r="10">
          <cell r="A10" t="str">
            <v>AIT-120004A</v>
          </cell>
          <cell r="BG10" t="str">
            <v>Não Montado</v>
          </cell>
        </row>
        <row r="11">
          <cell r="A11" t="str">
            <v>AIT-120004B</v>
          </cell>
          <cell r="BG11" t="str">
            <v>Não Montado</v>
          </cell>
        </row>
        <row r="12">
          <cell r="A12" t="str">
            <v>AIT-120005</v>
          </cell>
          <cell r="BG12" t="str">
            <v>Não Montado</v>
          </cell>
        </row>
        <row r="13">
          <cell r="A13" t="str">
            <v>AIT-120007A</v>
          </cell>
          <cell r="BG13" t="str">
            <v>Não Montado</v>
          </cell>
        </row>
        <row r="14">
          <cell r="A14" t="str">
            <v>AIT-120007B</v>
          </cell>
          <cell r="BG14" t="str">
            <v>Não Montado</v>
          </cell>
        </row>
        <row r="15">
          <cell r="A15" t="str">
            <v>AIT-120009</v>
          </cell>
          <cell r="BG15" t="str">
            <v>Não Montado</v>
          </cell>
        </row>
        <row r="16">
          <cell r="A16" t="str">
            <v>AIT-120010</v>
          </cell>
          <cell r="BG16" t="str">
            <v>Não Montado</v>
          </cell>
        </row>
        <row r="17">
          <cell r="A17" t="str">
            <v>AIT-120011</v>
          </cell>
          <cell r="BG17" t="str">
            <v>Não Montado</v>
          </cell>
        </row>
        <row r="18">
          <cell r="A18" t="str">
            <v>AIT-120411</v>
          </cell>
          <cell r="BG18" t="str">
            <v>Não Montado</v>
          </cell>
        </row>
        <row r="19">
          <cell r="A19" t="str">
            <v>AIT-120418</v>
          </cell>
          <cell r="BG19" t="str">
            <v>Programar</v>
          </cell>
        </row>
        <row r="20">
          <cell r="A20" t="str">
            <v>AIT-120600</v>
          </cell>
          <cell r="BG20" t="str">
            <v>Programar</v>
          </cell>
        </row>
        <row r="21">
          <cell r="A21" t="str">
            <v>AIT-120601</v>
          </cell>
          <cell r="BG21" t="str">
            <v>Programar</v>
          </cell>
        </row>
        <row r="22">
          <cell r="A22" t="str">
            <v>AIT-120602</v>
          </cell>
          <cell r="BG22" t="str">
            <v>Não Montado</v>
          </cell>
        </row>
        <row r="23">
          <cell r="A23" t="str">
            <v>AIT-120700</v>
          </cell>
          <cell r="BG23" t="str">
            <v>Programar</v>
          </cell>
        </row>
        <row r="24">
          <cell r="A24" t="str">
            <v>AIT-120701</v>
          </cell>
          <cell r="BG24" t="str">
            <v>Programar</v>
          </cell>
        </row>
        <row r="25">
          <cell r="A25" t="str">
            <v>AIT-121001</v>
          </cell>
          <cell r="BG25" t="str">
            <v>Não Montado</v>
          </cell>
        </row>
        <row r="26">
          <cell r="A26" t="str">
            <v>AIT-121002</v>
          </cell>
          <cell r="BG26" t="str">
            <v>Não Montado</v>
          </cell>
        </row>
        <row r="27">
          <cell r="A27" t="str">
            <v>AIT-121003</v>
          </cell>
          <cell r="BG27" t="str">
            <v>Não Montado</v>
          </cell>
        </row>
        <row r="28">
          <cell r="A28" t="str">
            <v>AIT-121004</v>
          </cell>
          <cell r="BG28" t="str">
            <v>Não Montado</v>
          </cell>
        </row>
        <row r="29">
          <cell r="A29" t="str">
            <v>AIT-121006</v>
          </cell>
          <cell r="BG29" t="str">
            <v>Não Montado</v>
          </cell>
        </row>
        <row r="30">
          <cell r="A30" t="str">
            <v>AIT-121008</v>
          </cell>
          <cell r="BG30" t="str">
            <v>Não Montado</v>
          </cell>
        </row>
        <row r="31">
          <cell r="A31" t="str">
            <v>AIT-121009</v>
          </cell>
          <cell r="BG31" t="str">
            <v>Não Montado</v>
          </cell>
        </row>
        <row r="32">
          <cell r="A32" t="str">
            <v>AIT-121011</v>
          </cell>
          <cell r="BG32" t="str">
            <v>Não Montado</v>
          </cell>
        </row>
        <row r="33">
          <cell r="A33" t="str">
            <v>AIT-121013</v>
          </cell>
          <cell r="BG33" t="str">
            <v>Não Montado</v>
          </cell>
        </row>
        <row r="34">
          <cell r="A34" t="str">
            <v>AIT-121015</v>
          </cell>
          <cell r="BG34" t="str">
            <v>Não Montado</v>
          </cell>
        </row>
        <row r="35">
          <cell r="A35" t="str">
            <v>AIT-121016</v>
          </cell>
          <cell r="BG35" t="str">
            <v>Não Montado</v>
          </cell>
        </row>
        <row r="36">
          <cell r="A36" t="str">
            <v>AIT-121017</v>
          </cell>
          <cell r="BG36" t="str">
            <v>Não Montado</v>
          </cell>
        </row>
        <row r="37">
          <cell r="A37" t="str">
            <v>AIT-121018</v>
          </cell>
          <cell r="BG37" t="str">
            <v>Não Montado</v>
          </cell>
        </row>
        <row r="38">
          <cell r="A38" t="str">
            <v>AIT-121019</v>
          </cell>
          <cell r="BG38" t="str">
            <v>Não Montado</v>
          </cell>
        </row>
        <row r="39">
          <cell r="A39" t="str">
            <v>AP-120410</v>
          </cell>
          <cell r="BG39" t="str">
            <v>Não Montado</v>
          </cell>
        </row>
        <row r="40">
          <cell r="A40" t="str">
            <v>AP-120412</v>
          </cell>
          <cell r="BG40" t="str">
            <v>Não Montado</v>
          </cell>
        </row>
        <row r="41">
          <cell r="A41" t="str">
            <v>AP-120413</v>
          </cell>
          <cell r="BG41" t="str">
            <v>Programar</v>
          </cell>
        </row>
        <row r="42">
          <cell r="A42" t="str">
            <v>AP-120414</v>
          </cell>
          <cell r="BG42" t="str">
            <v>Não Montado</v>
          </cell>
        </row>
        <row r="43">
          <cell r="A43" t="str">
            <v>AP-120415</v>
          </cell>
          <cell r="BG43" t="str">
            <v>Programar</v>
          </cell>
        </row>
        <row r="44">
          <cell r="A44" t="str">
            <v>AP-120416A</v>
          </cell>
          <cell r="BG44" t="str">
            <v>Programar</v>
          </cell>
        </row>
        <row r="45">
          <cell r="A45" t="str">
            <v>AP-120416B</v>
          </cell>
          <cell r="BG45" t="str">
            <v>Não Montado</v>
          </cell>
        </row>
        <row r="46">
          <cell r="A46" t="str">
            <v>AP-127004</v>
          </cell>
          <cell r="BG46" t="str">
            <v>Não Montado</v>
          </cell>
        </row>
        <row r="47">
          <cell r="A47" t="str">
            <v>AP-127005</v>
          </cell>
          <cell r="BG47" t="str">
            <v>Não Montado</v>
          </cell>
        </row>
        <row r="48">
          <cell r="A48" t="str">
            <v>AR-120412</v>
          </cell>
          <cell r="BG48" t="str">
            <v>Não Montado</v>
          </cell>
        </row>
        <row r="49">
          <cell r="A49" t="str">
            <v>AR-120413</v>
          </cell>
          <cell r="BG49" t="str">
            <v>Não Montado</v>
          </cell>
        </row>
        <row r="50">
          <cell r="A50" t="str">
            <v>AR-120414</v>
          </cell>
          <cell r="BG50" t="str">
            <v>Não Montado</v>
          </cell>
        </row>
        <row r="51">
          <cell r="A51" t="str">
            <v>AR-120415</v>
          </cell>
          <cell r="BG51" t="str">
            <v>Não Montado</v>
          </cell>
        </row>
        <row r="52">
          <cell r="A52" t="str">
            <v>AR-120416</v>
          </cell>
          <cell r="BG52" t="str">
            <v>Não Montado</v>
          </cell>
        </row>
        <row r="53">
          <cell r="A53" t="str">
            <v>AR-127004</v>
          </cell>
          <cell r="BG53" t="str">
            <v>Não Montado</v>
          </cell>
        </row>
        <row r="54">
          <cell r="A54" t="str">
            <v>AR-127005</v>
          </cell>
          <cell r="BG54" t="str">
            <v>Não Montado</v>
          </cell>
        </row>
        <row r="55">
          <cell r="A55" t="str">
            <v>AST-120001</v>
          </cell>
          <cell r="BG55" t="str">
            <v>Em programação</v>
          </cell>
        </row>
        <row r="56">
          <cell r="A56" t="str">
            <v>AST-120002</v>
          </cell>
          <cell r="BG56" t="str">
            <v>Em programação</v>
          </cell>
        </row>
        <row r="57">
          <cell r="A57" t="str">
            <v>AST-120003</v>
          </cell>
          <cell r="BG57" t="str">
            <v>Em programação</v>
          </cell>
        </row>
        <row r="58">
          <cell r="A58" t="str">
            <v>AST-120004(R)</v>
          </cell>
          <cell r="BG58" t="str">
            <v>Não Montado</v>
          </cell>
        </row>
        <row r="59">
          <cell r="A59" t="str">
            <v>AST-120004(T)</v>
          </cell>
          <cell r="BG59" t="str">
            <v>Não Montado</v>
          </cell>
        </row>
        <row r="60">
          <cell r="A60" t="str">
            <v>AST-120005</v>
          </cell>
          <cell r="BG60" t="str">
            <v>Em programação</v>
          </cell>
        </row>
        <row r="61">
          <cell r="A61" t="str">
            <v>AST-120006</v>
          </cell>
          <cell r="BG61" t="str">
            <v>Em programação</v>
          </cell>
        </row>
        <row r="62">
          <cell r="A62" t="str">
            <v>AST-120007</v>
          </cell>
          <cell r="BG62" t="str">
            <v>Em programação</v>
          </cell>
        </row>
        <row r="63">
          <cell r="A63" t="str">
            <v>AST-120008</v>
          </cell>
          <cell r="BG63" t="str">
            <v>Em programação</v>
          </cell>
        </row>
        <row r="64">
          <cell r="A64" t="str">
            <v>AST-120009</v>
          </cell>
          <cell r="BG64" t="str">
            <v>Em programação</v>
          </cell>
        </row>
        <row r="65">
          <cell r="A65" t="str">
            <v>AST-120010</v>
          </cell>
          <cell r="BG65" t="str">
            <v>Montado</v>
          </cell>
        </row>
        <row r="66">
          <cell r="A66" t="str">
            <v>AST-120011</v>
          </cell>
          <cell r="BG66" t="str">
            <v>Montado</v>
          </cell>
        </row>
        <row r="67">
          <cell r="A67" t="str">
            <v>AST-120012</v>
          </cell>
          <cell r="BG67" t="str">
            <v>Montado</v>
          </cell>
        </row>
        <row r="68">
          <cell r="A68" t="str">
            <v>AST-120013</v>
          </cell>
          <cell r="BG68" t="str">
            <v>Montado</v>
          </cell>
        </row>
        <row r="69">
          <cell r="A69" t="str">
            <v>AST-120014</v>
          </cell>
          <cell r="BG69" t="str">
            <v>Montado</v>
          </cell>
        </row>
        <row r="70">
          <cell r="A70" t="str">
            <v>AST-120015</v>
          </cell>
          <cell r="BG70" t="str">
            <v>Montado</v>
          </cell>
        </row>
        <row r="71">
          <cell r="A71" t="str">
            <v>AST-120016</v>
          </cell>
          <cell r="BG71" t="str">
            <v>Em programação</v>
          </cell>
        </row>
        <row r="72">
          <cell r="A72" t="str">
            <v>AST-120017</v>
          </cell>
          <cell r="BG72" t="str">
            <v>Montado</v>
          </cell>
        </row>
        <row r="73">
          <cell r="A73" t="str">
            <v>AST-120018</v>
          </cell>
          <cell r="BG73" t="str">
            <v>Em programação</v>
          </cell>
        </row>
        <row r="74">
          <cell r="A74" t="str">
            <v>AST-120019</v>
          </cell>
          <cell r="BG74" t="str">
            <v>Em programação</v>
          </cell>
        </row>
        <row r="75">
          <cell r="A75" t="str">
            <v>AST-120020</v>
          </cell>
          <cell r="BG75" t="str">
            <v>Em programação</v>
          </cell>
        </row>
        <row r="76">
          <cell r="A76" t="str">
            <v>AST-120021</v>
          </cell>
          <cell r="BG76" t="str">
            <v>Montado</v>
          </cell>
        </row>
        <row r="77">
          <cell r="A77" t="str">
            <v>AST-120022</v>
          </cell>
          <cell r="BG77" t="str">
            <v>Montado</v>
          </cell>
        </row>
        <row r="78">
          <cell r="A78" t="str">
            <v>AST-120023</v>
          </cell>
          <cell r="BG78" t="str">
            <v>Montado</v>
          </cell>
        </row>
        <row r="79">
          <cell r="A79" t="str">
            <v>AST-120024</v>
          </cell>
          <cell r="BG79" t="str">
            <v>Montado</v>
          </cell>
        </row>
        <row r="80">
          <cell r="A80" t="str">
            <v>AST-120025</v>
          </cell>
          <cell r="BG80" t="str">
            <v>Montado</v>
          </cell>
        </row>
        <row r="81">
          <cell r="A81" t="str">
            <v>AST-120026</v>
          </cell>
          <cell r="BG81" t="str">
            <v>Montado</v>
          </cell>
        </row>
        <row r="82">
          <cell r="A82" t="str">
            <v>AST-120027</v>
          </cell>
          <cell r="BG82" t="str">
            <v>Montado</v>
          </cell>
        </row>
        <row r="83">
          <cell r="A83" t="str">
            <v>AST-120028</v>
          </cell>
          <cell r="BG83" t="str">
            <v>Montado</v>
          </cell>
        </row>
        <row r="84">
          <cell r="A84" t="str">
            <v>AST-120029</v>
          </cell>
          <cell r="BG84" t="str">
            <v>Montado</v>
          </cell>
        </row>
        <row r="85">
          <cell r="A85" t="str">
            <v>AST-120030</v>
          </cell>
          <cell r="BG85" t="str">
            <v>Montado</v>
          </cell>
        </row>
        <row r="86">
          <cell r="A86" t="str">
            <v>AST-120031</v>
          </cell>
          <cell r="BG86" t="str">
            <v>Montado</v>
          </cell>
        </row>
        <row r="87">
          <cell r="A87" t="str">
            <v>AST-120032</v>
          </cell>
          <cell r="BG87" t="str">
            <v>Montado</v>
          </cell>
        </row>
        <row r="88">
          <cell r="A88" t="str">
            <v>AST-120033</v>
          </cell>
          <cell r="BG88" t="str">
            <v>Montado</v>
          </cell>
        </row>
        <row r="89">
          <cell r="A89" t="str">
            <v>AST-120034</v>
          </cell>
          <cell r="BG89" t="str">
            <v>Montado</v>
          </cell>
        </row>
        <row r="90">
          <cell r="A90" t="str">
            <v>AST-120035</v>
          </cell>
          <cell r="BG90" t="str">
            <v>Em programação</v>
          </cell>
        </row>
        <row r="91">
          <cell r="A91" t="str">
            <v>AST-120036</v>
          </cell>
          <cell r="BG91" t="str">
            <v>Em programação</v>
          </cell>
        </row>
        <row r="92">
          <cell r="A92" t="str">
            <v>AST-120100A</v>
          </cell>
          <cell r="BG92" t="str">
            <v>Em programação</v>
          </cell>
        </row>
        <row r="93">
          <cell r="A93" t="str">
            <v>AST-120100B</v>
          </cell>
          <cell r="BG93" t="str">
            <v>Em programação</v>
          </cell>
        </row>
        <row r="94">
          <cell r="A94" t="str">
            <v>AST-120100C</v>
          </cell>
          <cell r="BG94" t="str">
            <v>Montado</v>
          </cell>
        </row>
        <row r="95">
          <cell r="A95" t="str">
            <v>AST-120101A</v>
          </cell>
          <cell r="BG95" t="str">
            <v>Montado</v>
          </cell>
        </row>
        <row r="96">
          <cell r="A96" t="str">
            <v>AST-120101B</v>
          </cell>
          <cell r="BG96" t="str">
            <v>Montado</v>
          </cell>
        </row>
        <row r="97">
          <cell r="A97" t="str">
            <v>AST-120101C</v>
          </cell>
          <cell r="BG97" t="str">
            <v>Montado</v>
          </cell>
        </row>
        <row r="98">
          <cell r="A98" t="str">
            <v>AST-120102</v>
          </cell>
          <cell r="BG98" t="str">
            <v>Não Montado</v>
          </cell>
        </row>
        <row r="99">
          <cell r="A99" t="str">
            <v>AT-120001A</v>
          </cell>
          <cell r="BG99" t="str">
            <v>Programar</v>
          </cell>
        </row>
        <row r="100">
          <cell r="A100" t="str">
            <v>AT-120001B</v>
          </cell>
          <cell r="BG100" t="str">
            <v>Programar</v>
          </cell>
        </row>
        <row r="101">
          <cell r="A101" t="str">
            <v>AT-120002A</v>
          </cell>
          <cell r="BG101" t="str">
            <v>Programar</v>
          </cell>
        </row>
        <row r="102">
          <cell r="A102" t="str">
            <v>AT-120002B</v>
          </cell>
          <cell r="BG102" t="str">
            <v>Programar</v>
          </cell>
        </row>
        <row r="103">
          <cell r="A103" t="str">
            <v>AT-120003A</v>
          </cell>
          <cell r="BG103" t="str">
            <v>Programar</v>
          </cell>
        </row>
        <row r="104">
          <cell r="A104" t="str">
            <v>AT-120003B</v>
          </cell>
          <cell r="BG104" t="str">
            <v>Programar</v>
          </cell>
        </row>
        <row r="105">
          <cell r="A105" t="str">
            <v>AT-120004A</v>
          </cell>
          <cell r="BG105" t="str">
            <v>Programar</v>
          </cell>
        </row>
        <row r="106">
          <cell r="A106" t="str">
            <v>AT-120004B</v>
          </cell>
          <cell r="BG106" t="str">
            <v>Programar</v>
          </cell>
        </row>
        <row r="107">
          <cell r="A107" t="str">
            <v>AT-121500</v>
          </cell>
          <cell r="BG107" t="str">
            <v>Não Montado</v>
          </cell>
        </row>
        <row r="108">
          <cell r="A108" t="str">
            <v>AT-121520</v>
          </cell>
          <cell r="BG108" t="str">
            <v>Não Montado</v>
          </cell>
        </row>
        <row r="109">
          <cell r="A109" t="str">
            <v>BSL-120001</v>
          </cell>
          <cell r="BG109" t="str">
            <v>Não Montado</v>
          </cell>
        </row>
        <row r="110">
          <cell r="A110" t="str">
            <v>BSL-120002</v>
          </cell>
          <cell r="BG110" t="str">
            <v>Em programação</v>
          </cell>
        </row>
        <row r="111">
          <cell r="A111" t="str">
            <v>BSL-120003</v>
          </cell>
          <cell r="BG111" t="str">
            <v>Em programação</v>
          </cell>
        </row>
        <row r="112">
          <cell r="A112" t="str">
            <v>BSL-120004</v>
          </cell>
          <cell r="BG112" t="str">
            <v>Em programação</v>
          </cell>
        </row>
        <row r="113">
          <cell r="A113" t="str">
            <v>BSL-120005</v>
          </cell>
          <cell r="BG113" t="str">
            <v>Não Montado</v>
          </cell>
        </row>
        <row r="114">
          <cell r="A114" t="str">
            <v>BSL-120006</v>
          </cell>
          <cell r="BG114" t="str">
            <v>Em programação</v>
          </cell>
        </row>
        <row r="115">
          <cell r="A115" t="str">
            <v>BSL-120007</v>
          </cell>
          <cell r="BG115" t="str">
            <v>Não Montado</v>
          </cell>
        </row>
        <row r="116">
          <cell r="A116" t="str">
            <v>BSL-120008</v>
          </cell>
          <cell r="BG116" t="str">
            <v>Em programação</v>
          </cell>
        </row>
        <row r="117">
          <cell r="A117" t="str">
            <v>BSL-120009</v>
          </cell>
          <cell r="BG117" t="str">
            <v>Em programação</v>
          </cell>
        </row>
        <row r="118">
          <cell r="A118" t="str">
            <v>BSL-120010</v>
          </cell>
          <cell r="BG118" t="str">
            <v>Em programação</v>
          </cell>
        </row>
        <row r="119">
          <cell r="A119" t="str">
            <v>BSL-120011</v>
          </cell>
          <cell r="BG119" t="str">
            <v>Em programação</v>
          </cell>
        </row>
        <row r="120">
          <cell r="A120" t="str">
            <v>BSL-120012</v>
          </cell>
          <cell r="BG120" t="str">
            <v>Programar</v>
          </cell>
        </row>
        <row r="121">
          <cell r="A121" t="str">
            <v>BSL-120600A</v>
          </cell>
          <cell r="BG121" t="str">
            <v>Não Montado</v>
          </cell>
        </row>
        <row r="122">
          <cell r="A122" t="str">
            <v>BSL-120600B</v>
          </cell>
          <cell r="BG122" t="str">
            <v>Não Montado</v>
          </cell>
        </row>
        <row r="123">
          <cell r="A123" t="str">
            <v>BSL-120600C</v>
          </cell>
          <cell r="BG123" t="str">
            <v>Não Montado</v>
          </cell>
        </row>
        <row r="124">
          <cell r="A124" t="str">
            <v>BSL-120600D</v>
          </cell>
          <cell r="BG124" t="str">
            <v>Não Montado</v>
          </cell>
        </row>
        <row r="125">
          <cell r="A125" t="str">
            <v>BSL-120600E</v>
          </cell>
          <cell r="BG125" t="str">
            <v>Não Montado</v>
          </cell>
        </row>
        <row r="126">
          <cell r="A126" t="str">
            <v>BSL-120600F</v>
          </cell>
          <cell r="BG126" t="str">
            <v>Não Montado</v>
          </cell>
        </row>
        <row r="127">
          <cell r="A127" t="str">
            <v>BSL-120600G</v>
          </cell>
          <cell r="BG127" t="str">
            <v>Não Montado</v>
          </cell>
        </row>
        <row r="128">
          <cell r="A128" t="str">
            <v>BSL-120600H</v>
          </cell>
          <cell r="BG128" t="str">
            <v>Não Montado</v>
          </cell>
        </row>
        <row r="129">
          <cell r="A129" t="str">
            <v>BSL-120600J</v>
          </cell>
          <cell r="BG129" t="str">
            <v>Não Montado</v>
          </cell>
        </row>
        <row r="130">
          <cell r="A130" t="str">
            <v>BSL-120600K</v>
          </cell>
          <cell r="BG130" t="str">
            <v>Não Montado</v>
          </cell>
        </row>
        <row r="131">
          <cell r="A131" t="str">
            <v>BSL-120600L</v>
          </cell>
          <cell r="BG131" t="str">
            <v>Não Montado</v>
          </cell>
        </row>
        <row r="132">
          <cell r="A132" t="str">
            <v>BSL-120600M</v>
          </cell>
          <cell r="BG132" t="str">
            <v>Não Montado</v>
          </cell>
        </row>
        <row r="133">
          <cell r="A133" t="str">
            <v>BSL-120600N</v>
          </cell>
          <cell r="BG133" t="str">
            <v>Não Montado</v>
          </cell>
        </row>
        <row r="134">
          <cell r="A134" t="str">
            <v>BSL-120600P</v>
          </cell>
          <cell r="BG134" t="str">
            <v>Não Montado</v>
          </cell>
        </row>
        <row r="135">
          <cell r="A135" t="str">
            <v>BSL-120600Q</v>
          </cell>
          <cell r="BG135" t="str">
            <v>Não Montado</v>
          </cell>
        </row>
        <row r="136">
          <cell r="A136" t="str">
            <v>BSL-120700A</v>
          </cell>
          <cell r="BG136" t="str">
            <v>Não Montado</v>
          </cell>
        </row>
        <row r="137">
          <cell r="A137" t="str">
            <v>BSL-120700B</v>
          </cell>
          <cell r="BG137" t="str">
            <v>Não Montado</v>
          </cell>
        </row>
        <row r="138">
          <cell r="A138" t="str">
            <v>BSL-120700C</v>
          </cell>
          <cell r="BG138" t="str">
            <v>Não Montado</v>
          </cell>
        </row>
        <row r="139">
          <cell r="A139" t="str">
            <v>BSL-120700D</v>
          </cell>
          <cell r="BG139" t="str">
            <v>Não Montado</v>
          </cell>
        </row>
        <row r="140">
          <cell r="A140" t="str">
            <v>BSL-120700E</v>
          </cell>
          <cell r="BG140" t="str">
            <v>Não Montado</v>
          </cell>
        </row>
        <row r="141">
          <cell r="A141" t="str">
            <v>BSL-120700F</v>
          </cell>
          <cell r="BG141" t="str">
            <v>Não Montado</v>
          </cell>
        </row>
        <row r="142">
          <cell r="A142" t="str">
            <v>BSL-120700G</v>
          </cell>
          <cell r="BG142" t="str">
            <v>Não Montado</v>
          </cell>
        </row>
        <row r="143">
          <cell r="A143" t="str">
            <v>BSL-120700H</v>
          </cell>
          <cell r="BG143" t="str">
            <v>Não Montado</v>
          </cell>
        </row>
        <row r="144">
          <cell r="A144" t="str">
            <v>BSL-120700J</v>
          </cell>
          <cell r="BG144" t="str">
            <v>Não Montado</v>
          </cell>
        </row>
        <row r="145">
          <cell r="A145" t="str">
            <v>BSL-120700K</v>
          </cell>
          <cell r="BG145" t="str">
            <v>Não Montado</v>
          </cell>
        </row>
        <row r="146">
          <cell r="A146" t="str">
            <v>BSL-120700L</v>
          </cell>
          <cell r="BG146" t="str">
            <v>Não Montado</v>
          </cell>
        </row>
        <row r="147">
          <cell r="A147" t="str">
            <v>BSL-120700M</v>
          </cell>
          <cell r="BG147" t="str">
            <v>Não Montado</v>
          </cell>
        </row>
        <row r="148">
          <cell r="A148" t="str">
            <v>BSL-120700N</v>
          </cell>
          <cell r="BG148" t="str">
            <v>Não Montado</v>
          </cell>
        </row>
        <row r="149">
          <cell r="A149" t="str">
            <v>BSL-120700P</v>
          </cell>
          <cell r="BG149" t="str">
            <v>Não Montado</v>
          </cell>
        </row>
        <row r="150">
          <cell r="A150" t="str">
            <v>BSL-120700Q</v>
          </cell>
          <cell r="BG150" t="str">
            <v>Não Montado</v>
          </cell>
        </row>
        <row r="151">
          <cell r="A151" t="str">
            <v>CBF-12-0015C</v>
          </cell>
          <cell r="BG151" t="str">
            <v>Programar</v>
          </cell>
        </row>
        <row r="152">
          <cell r="A152" t="str">
            <v>CBF-12-0090C</v>
          </cell>
          <cell r="BG152" t="str">
            <v>Programar</v>
          </cell>
        </row>
        <row r="153">
          <cell r="A153" t="str">
            <v>CBF-12-0101C</v>
          </cell>
          <cell r="BG153" t="str">
            <v>Montado</v>
          </cell>
        </row>
        <row r="154">
          <cell r="A154" t="str">
            <v>CBF-12-0115C</v>
          </cell>
          <cell r="BG154" t="str">
            <v>Não Montado</v>
          </cell>
        </row>
        <row r="155">
          <cell r="A155" t="str">
            <v>CBT-12001</v>
          </cell>
          <cell r="BG155" t="str">
            <v>Programar</v>
          </cell>
        </row>
        <row r="156">
          <cell r="A156" t="str">
            <v>CBZ-12-001</v>
          </cell>
          <cell r="BG156" t="str">
            <v>Não Montado</v>
          </cell>
        </row>
        <row r="157">
          <cell r="A157" t="str">
            <v>CFF-12-0001A</v>
          </cell>
          <cell r="BG157" t="str">
            <v>Montado</v>
          </cell>
        </row>
        <row r="158">
          <cell r="A158" t="str">
            <v>CFF-12-0001B</v>
          </cell>
          <cell r="BG158" t="str">
            <v>Montado</v>
          </cell>
        </row>
        <row r="159">
          <cell r="A159" t="str">
            <v>CFF-12-0001C</v>
          </cell>
          <cell r="BG159" t="str">
            <v>Montado</v>
          </cell>
        </row>
        <row r="160">
          <cell r="A160" t="str">
            <v>CFF-12-0002A</v>
          </cell>
          <cell r="BG160" t="str">
            <v>Montado</v>
          </cell>
        </row>
        <row r="161">
          <cell r="A161" t="str">
            <v>CFF-12-0002B</v>
          </cell>
          <cell r="BG161" t="str">
            <v>Montado</v>
          </cell>
        </row>
        <row r="162">
          <cell r="A162" t="str">
            <v>CFF-12-0003A</v>
          </cell>
          <cell r="BG162" t="str">
            <v>Montado</v>
          </cell>
        </row>
        <row r="163">
          <cell r="A163" t="str">
            <v>CFF-12-0003B</v>
          </cell>
          <cell r="BG163" t="str">
            <v>Montado</v>
          </cell>
        </row>
        <row r="164">
          <cell r="A164" t="str">
            <v>CFF-12-0003C</v>
          </cell>
          <cell r="BG164" t="str">
            <v>Montado</v>
          </cell>
        </row>
        <row r="165">
          <cell r="A165" t="str">
            <v>CFF-12-0004A</v>
          </cell>
          <cell r="BG165" t="str">
            <v>Montado</v>
          </cell>
        </row>
        <row r="166">
          <cell r="A166" t="str">
            <v>CFF-12-0004B</v>
          </cell>
          <cell r="BG166" t="str">
            <v>Montado</v>
          </cell>
        </row>
        <row r="167">
          <cell r="A167" t="str">
            <v>CFF-12-0004C</v>
          </cell>
          <cell r="BG167" t="str">
            <v>Montado</v>
          </cell>
        </row>
        <row r="168">
          <cell r="A168" t="str">
            <v>CFF-12-0005A</v>
          </cell>
          <cell r="BG168" t="str">
            <v>Montado</v>
          </cell>
        </row>
        <row r="169">
          <cell r="A169" t="str">
            <v>CFF-12-0005B</v>
          </cell>
          <cell r="BG169" t="str">
            <v>Montado</v>
          </cell>
        </row>
        <row r="170">
          <cell r="A170" t="str">
            <v>CFF-12-0006A</v>
          </cell>
          <cell r="BG170" t="str">
            <v>Montado</v>
          </cell>
        </row>
        <row r="171">
          <cell r="A171" t="str">
            <v>CFF-12-0006B</v>
          </cell>
          <cell r="BG171" t="str">
            <v>Montado</v>
          </cell>
        </row>
        <row r="172">
          <cell r="A172" t="str">
            <v>CFF-12-0007A</v>
          </cell>
          <cell r="BG172" t="str">
            <v>Montado</v>
          </cell>
        </row>
        <row r="173">
          <cell r="A173" t="str">
            <v>CFF-12-0007B</v>
          </cell>
          <cell r="BG173" t="str">
            <v>Montado</v>
          </cell>
        </row>
        <row r="174">
          <cell r="A174" t="str">
            <v>CFF-12-0007C</v>
          </cell>
          <cell r="BG174" t="str">
            <v>Montado</v>
          </cell>
        </row>
        <row r="175">
          <cell r="A175" t="str">
            <v>CFF-12-0008A</v>
          </cell>
          <cell r="BG175" t="str">
            <v>Montado</v>
          </cell>
        </row>
        <row r="176">
          <cell r="A176" t="str">
            <v>CFF-12-0008B</v>
          </cell>
          <cell r="BG176" t="str">
            <v>Montado</v>
          </cell>
        </row>
        <row r="177">
          <cell r="A177" t="str">
            <v>CFF-12-0009A</v>
          </cell>
          <cell r="BG177" t="str">
            <v>Montado</v>
          </cell>
        </row>
        <row r="178">
          <cell r="A178" t="str">
            <v>CFF-12-0009B</v>
          </cell>
          <cell r="BG178" t="str">
            <v>Montado</v>
          </cell>
        </row>
        <row r="179">
          <cell r="A179" t="str">
            <v>CFF-12-0009C</v>
          </cell>
          <cell r="BG179" t="str">
            <v>Montado</v>
          </cell>
        </row>
        <row r="180">
          <cell r="A180" t="str">
            <v>CFF-12-0010A</v>
          </cell>
          <cell r="BG180" t="str">
            <v>Montado</v>
          </cell>
        </row>
        <row r="181">
          <cell r="A181" t="str">
            <v>CFF-12-0010B</v>
          </cell>
          <cell r="BG181" t="str">
            <v>Montado</v>
          </cell>
        </row>
        <row r="182">
          <cell r="A182" t="str">
            <v>CFF-12-0010C</v>
          </cell>
          <cell r="BG182" t="str">
            <v>Montado</v>
          </cell>
        </row>
        <row r="183">
          <cell r="A183" t="str">
            <v>CFF-12-0011A</v>
          </cell>
          <cell r="BG183" t="str">
            <v>Montado</v>
          </cell>
        </row>
        <row r="184">
          <cell r="A184" t="str">
            <v>CFF-12-0011B</v>
          </cell>
          <cell r="BG184" t="str">
            <v>Montado</v>
          </cell>
        </row>
        <row r="185">
          <cell r="A185" t="str">
            <v>CFF-12-0011C</v>
          </cell>
          <cell r="BG185" t="str">
            <v>Montado</v>
          </cell>
        </row>
        <row r="186">
          <cell r="A186" t="str">
            <v>CFF-12-0012A</v>
          </cell>
          <cell r="BG186" t="str">
            <v>Montado</v>
          </cell>
        </row>
        <row r="187">
          <cell r="A187" t="str">
            <v>CFF-12-0012B</v>
          </cell>
          <cell r="BG187" t="str">
            <v>Montado</v>
          </cell>
        </row>
        <row r="188">
          <cell r="A188" t="str">
            <v>CFF-12-0012C</v>
          </cell>
          <cell r="BG188" t="str">
            <v>Montado</v>
          </cell>
        </row>
        <row r="189">
          <cell r="A189" t="str">
            <v>CFF-12-0013A</v>
          </cell>
          <cell r="BG189" t="str">
            <v>Montado</v>
          </cell>
        </row>
        <row r="190">
          <cell r="A190" t="str">
            <v>CFF-12-0013B</v>
          </cell>
          <cell r="BG190" t="str">
            <v>Montado</v>
          </cell>
        </row>
        <row r="191">
          <cell r="A191" t="str">
            <v>CFF-12-0013C</v>
          </cell>
          <cell r="BG191" t="str">
            <v>Montado</v>
          </cell>
        </row>
        <row r="192">
          <cell r="A192" t="str">
            <v>CFF-12-0014A</v>
          </cell>
          <cell r="BG192" t="str">
            <v>Montado</v>
          </cell>
        </row>
        <row r="193">
          <cell r="A193" t="str">
            <v>CFF-12-0014B</v>
          </cell>
          <cell r="BG193" t="str">
            <v>Montado</v>
          </cell>
        </row>
        <row r="194">
          <cell r="A194" t="str">
            <v>CFF-12-0014C</v>
          </cell>
          <cell r="BG194" t="str">
            <v>Montado</v>
          </cell>
        </row>
        <row r="195">
          <cell r="A195" t="str">
            <v>CFF-12-0015A</v>
          </cell>
          <cell r="BG195" t="str">
            <v>Montado</v>
          </cell>
        </row>
        <row r="196">
          <cell r="A196" t="str">
            <v>CFF-12-0015B</v>
          </cell>
          <cell r="BG196" t="str">
            <v>Montado</v>
          </cell>
        </row>
        <row r="197">
          <cell r="A197" t="str">
            <v>CFF-12-0015C</v>
          </cell>
          <cell r="BG197" t="str">
            <v>Montado</v>
          </cell>
        </row>
        <row r="198">
          <cell r="A198" t="str">
            <v>CFF-12-0016A</v>
          </cell>
          <cell r="BG198" t="str">
            <v>Montado</v>
          </cell>
        </row>
        <row r="199">
          <cell r="A199" t="str">
            <v>CFF-12-0016B</v>
          </cell>
          <cell r="BG199" t="str">
            <v>Montado</v>
          </cell>
        </row>
        <row r="200">
          <cell r="A200" t="str">
            <v>CFF-12-0016C</v>
          </cell>
          <cell r="BG200" t="str">
            <v>Montado</v>
          </cell>
        </row>
        <row r="201">
          <cell r="A201" t="str">
            <v>CFF-12-0017A</v>
          </cell>
          <cell r="BG201" t="str">
            <v>Montado</v>
          </cell>
        </row>
        <row r="202">
          <cell r="A202" t="str">
            <v>CFF-12-0017B</v>
          </cell>
          <cell r="BG202" t="str">
            <v>Montado</v>
          </cell>
        </row>
        <row r="203">
          <cell r="A203" t="str">
            <v>CFF-12-0017C</v>
          </cell>
          <cell r="BG203" t="str">
            <v>Montado</v>
          </cell>
        </row>
        <row r="204">
          <cell r="A204" t="str">
            <v>CFF-12-0018A</v>
          </cell>
          <cell r="BG204" t="str">
            <v>Montado</v>
          </cell>
        </row>
        <row r="205">
          <cell r="A205" t="str">
            <v>CFF-12-0018B</v>
          </cell>
          <cell r="BG205" t="str">
            <v>Montado</v>
          </cell>
        </row>
        <row r="206">
          <cell r="A206" t="str">
            <v>CFF-12-0018C</v>
          </cell>
          <cell r="BG206" t="str">
            <v>Montado</v>
          </cell>
        </row>
        <row r="207">
          <cell r="A207" t="str">
            <v>CFF-12-0019A</v>
          </cell>
          <cell r="BG207" t="str">
            <v>Montado</v>
          </cell>
        </row>
        <row r="208">
          <cell r="A208" t="str">
            <v>CFF-12-0019B</v>
          </cell>
          <cell r="BG208" t="str">
            <v>Montado</v>
          </cell>
        </row>
        <row r="209">
          <cell r="A209" t="str">
            <v>CFF-12-0019C</v>
          </cell>
          <cell r="BG209" t="str">
            <v>Montado</v>
          </cell>
        </row>
        <row r="210">
          <cell r="A210" t="str">
            <v>CFF-12-0020A</v>
          </cell>
          <cell r="BG210" t="str">
            <v>Montado</v>
          </cell>
        </row>
        <row r="211">
          <cell r="A211" t="str">
            <v>CFF-12-0020B</v>
          </cell>
          <cell r="BG211" t="str">
            <v>Montado</v>
          </cell>
        </row>
        <row r="212">
          <cell r="A212" t="str">
            <v>CFF-12-0020C</v>
          </cell>
          <cell r="BG212" t="str">
            <v>Montado</v>
          </cell>
        </row>
        <row r="213">
          <cell r="A213" t="str">
            <v>CFF-12-0021A</v>
          </cell>
          <cell r="BG213" t="str">
            <v>Montado</v>
          </cell>
        </row>
        <row r="214">
          <cell r="A214" t="str">
            <v>CFF-12-0021B</v>
          </cell>
          <cell r="BG214" t="str">
            <v>Montado</v>
          </cell>
        </row>
        <row r="215">
          <cell r="A215" t="str">
            <v>CFF-12-0022A</v>
          </cell>
          <cell r="BG215" t="str">
            <v>Montado</v>
          </cell>
        </row>
        <row r="216">
          <cell r="A216" t="str">
            <v>CFF-12-0023A</v>
          </cell>
          <cell r="BG216" t="str">
            <v>Montado</v>
          </cell>
        </row>
        <row r="217">
          <cell r="A217" t="str">
            <v>CFF-12-0024A</v>
          </cell>
          <cell r="BG217" t="str">
            <v>Montado</v>
          </cell>
        </row>
        <row r="218">
          <cell r="A218" t="str">
            <v>CFF-12-0024B</v>
          </cell>
          <cell r="BG218" t="str">
            <v>Montado</v>
          </cell>
        </row>
        <row r="219">
          <cell r="A219" t="str">
            <v>CFF-12-0024C</v>
          </cell>
          <cell r="BG219" t="str">
            <v>Montado</v>
          </cell>
        </row>
        <row r="220">
          <cell r="A220" t="str">
            <v>CFF-12-0025A</v>
          </cell>
          <cell r="BG220" t="str">
            <v>Montado</v>
          </cell>
        </row>
        <row r="221">
          <cell r="A221" t="str">
            <v>CFF-12-0025B</v>
          </cell>
          <cell r="BG221" t="str">
            <v>Montado</v>
          </cell>
        </row>
        <row r="222">
          <cell r="A222" t="str">
            <v>CFF-12-0025C</v>
          </cell>
          <cell r="BG222" t="str">
            <v>Montado</v>
          </cell>
        </row>
        <row r="223">
          <cell r="A223" t="str">
            <v>CFF-12-0026A</v>
          </cell>
          <cell r="BG223" t="str">
            <v>Montado</v>
          </cell>
        </row>
        <row r="224">
          <cell r="A224" t="str">
            <v>CFF-12-0026B</v>
          </cell>
          <cell r="BG224" t="str">
            <v>Montado</v>
          </cell>
        </row>
        <row r="225">
          <cell r="A225" t="str">
            <v>CFF-12-0026C</v>
          </cell>
          <cell r="BG225" t="str">
            <v>Montado</v>
          </cell>
        </row>
        <row r="226">
          <cell r="A226" t="str">
            <v>CFF-12-0027A</v>
          </cell>
          <cell r="BG226" t="str">
            <v>Montado</v>
          </cell>
        </row>
        <row r="227">
          <cell r="A227" t="str">
            <v>CFF-12-0027B</v>
          </cell>
          <cell r="BG227" t="str">
            <v>Montado</v>
          </cell>
        </row>
        <row r="228">
          <cell r="A228" t="str">
            <v>CFF-12-0027C</v>
          </cell>
          <cell r="BG228" t="str">
            <v>Montado</v>
          </cell>
        </row>
        <row r="229">
          <cell r="A229" t="str">
            <v>CFF-12-0028A</v>
          </cell>
          <cell r="BG229" t="str">
            <v>Montado</v>
          </cell>
        </row>
        <row r="230">
          <cell r="A230" t="str">
            <v>CFF-12-0028B</v>
          </cell>
          <cell r="BG230" t="str">
            <v>Montado</v>
          </cell>
        </row>
        <row r="231">
          <cell r="A231" t="str">
            <v>CFF-12-0028C</v>
          </cell>
          <cell r="BG231" t="str">
            <v>Montado</v>
          </cell>
        </row>
        <row r="232">
          <cell r="A232" t="str">
            <v>CFF-12-0029A</v>
          </cell>
          <cell r="BG232" t="str">
            <v>Montado</v>
          </cell>
        </row>
        <row r="233">
          <cell r="A233" t="str">
            <v>CFF-12-0029B</v>
          </cell>
          <cell r="BG233" t="str">
            <v>Montado</v>
          </cell>
        </row>
        <row r="234">
          <cell r="A234" t="str">
            <v>CFF-12-0029C</v>
          </cell>
          <cell r="BG234" t="str">
            <v>Montado</v>
          </cell>
        </row>
        <row r="235">
          <cell r="A235" t="str">
            <v>CFF-12-0030A</v>
          </cell>
          <cell r="BG235" t="str">
            <v>Montado</v>
          </cell>
        </row>
        <row r="236">
          <cell r="A236" t="str">
            <v>CFF-12-0030B</v>
          </cell>
          <cell r="BG236" t="str">
            <v>Montado</v>
          </cell>
        </row>
        <row r="237">
          <cell r="A237" t="str">
            <v>CFF-12-0030C</v>
          </cell>
          <cell r="BG237" t="str">
            <v>Montado</v>
          </cell>
        </row>
        <row r="238">
          <cell r="A238" t="str">
            <v>CFF-12-0031A</v>
          </cell>
          <cell r="BG238" t="str">
            <v>Montado</v>
          </cell>
        </row>
        <row r="239">
          <cell r="A239" t="str">
            <v>CFF-12-0031B</v>
          </cell>
          <cell r="BG239" t="str">
            <v>Montado</v>
          </cell>
        </row>
        <row r="240">
          <cell r="A240" t="str">
            <v>CFF-12-0031C</v>
          </cell>
          <cell r="BG240" t="str">
            <v>Montado</v>
          </cell>
        </row>
        <row r="241">
          <cell r="A241" t="str">
            <v>CFF-12-0032A</v>
          </cell>
          <cell r="BG241" t="str">
            <v>Montado</v>
          </cell>
        </row>
        <row r="242">
          <cell r="A242" t="str">
            <v>CFF-12-0032B</v>
          </cell>
          <cell r="BG242" t="str">
            <v>Montado</v>
          </cell>
        </row>
        <row r="243">
          <cell r="A243" t="str">
            <v>CFF-12-0032C</v>
          </cell>
          <cell r="BG243" t="str">
            <v>Montado</v>
          </cell>
        </row>
        <row r="244">
          <cell r="A244" t="str">
            <v>CFF-12-0033A</v>
          </cell>
          <cell r="BG244" t="str">
            <v>Montado</v>
          </cell>
        </row>
        <row r="245">
          <cell r="A245" t="str">
            <v>CFF-12-0033B</v>
          </cell>
          <cell r="BG245" t="str">
            <v>Montado</v>
          </cell>
        </row>
        <row r="246">
          <cell r="A246" t="str">
            <v>CFF-12-0033C</v>
          </cell>
          <cell r="BG246" t="str">
            <v>Montado</v>
          </cell>
        </row>
        <row r="247">
          <cell r="A247" t="str">
            <v>CFF-12-0034A</v>
          </cell>
          <cell r="BG247" t="str">
            <v>Montado</v>
          </cell>
        </row>
        <row r="248">
          <cell r="A248" t="str">
            <v>CFF-12-0034B</v>
          </cell>
          <cell r="BG248" t="str">
            <v>Montado</v>
          </cell>
        </row>
        <row r="249">
          <cell r="A249" t="str">
            <v>CFF-12-0034C</v>
          </cell>
          <cell r="BG249" t="str">
            <v>Montado</v>
          </cell>
        </row>
        <row r="250">
          <cell r="A250" t="str">
            <v>CFF-12-0035A</v>
          </cell>
          <cell r="BG250" t="str">
            <v>Montado</v>
          </cell>
        </row>
        <row r="251">
          <cell r="A251" t="str">
            <v>CFF-12-0035B</v>
          </cell>
          <cell r="BG251" t="str">
            <v>Montado</v>
          </cell>
        </row>
        <row r="252">
          <cell r="A252" t="str">
            <v>CFF-12-0036A</v>
          </cell>
          <cell r="BG252" t="str">
            <v>Montado</v>
          </cell>
        </row>
        <row r="253">
          <cell r="A253" t="str">
            <v>CFF-12-0036B</v>
          </cell>
          <cell r="BG253" t="str">
            <v>Montado</v>
          </cell>
        </row>
        <row r="254">
          <cell r="A254" t="str">
            <v>CFF-12-0036C</v>
          </cell>
          <cell r="BG254" t="str">
            <v>Montado</v>
          </cell>
        </row>
        <row r="255">
          <cell r="A255" t="str">
            <v>CFF-12-0037A</v>
          </cell>
          <cell r="BG255" t="str">
            <v>Montado</v>
          </cell>
        </row>
        <row r="256">
          <cell r="A256" t="str">
            <v>CFF-12-0037B</v>
          </cell>
          <cell r="BG256" t="str">
            <v>Montado</v>
          </cell>
        </row>
        <row r="257">
          <cell r="A257" t="str">
            <v>CFF-12-0037C</v>
          </cell>
          <cell r="BG257" t="str">
            <v>Montado</v>
          </cell>
        </row>
        <row r="258">
          <cell r="A258" t="str">
            <v>CFF-12-0038A</v>
          </cell>
          <cell r="BG258" t="str">
            <v>Montado</v>
          </cell>
        </row>
        <row r="259">
          <cell r="A259" t="str">
            <v>CFF-12-0038B</v>
          </cell>
          <cell r="BG259" t="str">
            <v>Montado</v>
          </cell>
        </row>
        <row r="260">
          <cell r="A260" t="str">
            <v>CFF-12-0039A</v>
          </cell>
          <cell r="BG260" t="str">
            <v>Montado</v>
          </cell>
        </row>
        <row r="261">
          <cell r="A261" t="str">
            <v>CFF-12-0039B</v>
          </cell>
          <cell r="BG261" t="str">
            <v>Montado</v>
          </cell>
        </row>
        <row r="262">
          <cell r="A262" t="str">
            <v>CFF-12-0039C</v>
          </cell>
          <cell r="BG262" t="str">
            <v>Montado</v>
          </cell>
        </row>
        <row r="263">
          <cell r="A263" t="str">
            <v>CFF-12-0040A</v>
          </cell>
          <cell r="BG263" t="str">
            <v>Montado</v>
          </cell>
        </row>
        <row r="264">
          <cell r="A264" t="str">
            <v>CFF-12-0040B</v>
          </cell>
          <cell r="BG264" t="str">
            <v>Montado</v>
          </cell>
        </row>
        <row r="265">
          <cell r="A265" t="str">
            <v>CFF-12-0040C</v>
          </cell>
          <cell r="BG265" t="str">
            <v>Montado</v>
          </cell>
        </row>
        <row r="266">
          <cell r="A266" t="str">
            <v>CFF-12-0041A</v>
          </cell>
          <cell r="BG266" t="str">
            <v>Montado</v>
          </cell>
        </row>
        <row r="267">
          <cell r="A267" t="str">
            <v>CFF-12-0041B</v>
          </cell>
          <cell r="BG267" t="str">
            <v>Montado</v>
          </cell>
        </row>
        <row r="268">
          <cell r="A268" t="str">
            <v>CFF-12-0041C</v>
          </cell>
          <cell r="BG268" t="str">
            <v>Montado</v>
          </cell>
        </row>
        <row r="269">
          <cell r="A269" t="str">
            <v>CFF-12-0042A</v>
          </cell>
          <cell r="BG269" t="str">
            <v>Montado</v>
          </cell>
        </row>
        <row r="270">
          <cell r="A270" t="str">
            <v>CFF-12-0042B</v>
          </cell>
          <cell r="BG270" t="str">
            <v>Montado</v>
          </cell>
        </row>
        <row r="271">
          <cell r="A271" t="str">
            <v>CFF-12-0042C</v>
          </cell>
          <cell r="BG271" t="str">
            <v>Montado</v>
          </cell>
        </row>
        <row r="272">
          <cell r="A272" t="str">
            <v>CFF-12-0043A</v>
          </cell>
          <cell r="BG272" t="str">
            <v>Montado</v>
          </cell>
        </row>
        <row r="273">
          <cell r="A273" t="str">
            <v>CFF-12-0043B</v>
          </cell>
          <cell r="BG273" t="str">
            <v>Montado</v>
          </cell>
        </row>
        <row r="274">
          <cell r="A274" t="str">
            <v>CFF-12-0044A</v>
          </cell>
          <cell r="BG274" t="str">
            <v>Montado</v>
          </cell>
        </row>
        <row r="275">
          <cell r="A275" t="str">
            <v>CFF-12-0044B</v>
          </cell>
          <cell r="BG275" t="str">
            <v>Montado</v>
          </cell>
        </row>
        <row r="276">
          <cell r="A276" t="str">
            <v>CFF-12-0044C</v>
          </cell>
          <cell r="BG276" t="str">
            <v>Montado</v>
          </cell>
        </row>
        <row r="277">
          <cell r="A277" t="str">
            <v>CFF-12-0045A</v>
          </cell>
          <cell r="BG277" t="str">
            <v>Montado</v>
          </cell>
        </row>
        <row r="278">
          <cell r="A278" t="str">
            <v>CFF-12-0046A</v>
          </cell>
          <cell r="BG278" t="str">
            <v>Montado</v>
          </cell>
        </row>
        <row r="279">
          <cell r="A279" t="str">
            <v>CFF-12-0046B</v>
          </cell>
          <cell r="BG279" t="str">
            <v>Montado</v>
          </cell>
        </row>
        <row r="280">
          <cell r="A280" t="str">
            <v>CFF-12-0046C</v>
          </cell>
          <cell r="BG280" t="str">
            <v>Montado</v>
          </cell>
        </row>
        <row r="281">
          <cell r="A281" t="str">
            <v>CFF-12-0047A</v>
          </cell>
          <cell r="BG281" t="str">
            <v>Montado</v>
          </cell>
        </row>
        <row r="282">
          <cell r="A282" t="str">
            <v>CFF-12-0048A</v>
          </cell>
          <cell r="BG282" t="str">
            <v>Montado</v>
          </cell>
        </row>
        <row r="283">
          <cell r="A283" t="str">
            <v>CFF-12-0048B</v>
          </cell>
          <cell r="BG283" t="str">
            <v>Montado</v>
          </cell>
        </row>
        <row r="284">
          <cell r="A284" t="str">
            <v>CFF-12-0048C</v>
          </cell>
          <cell r="BG284" t="str">
            <v>Montado</v>
          </cell>
        </row>
        <row r="285">
          <cell r="A285" t="str">
            <v>CFF-12-0049A</v>
          </cell>
          <cell r="BG285" t="str">
            <v>Montado</v>
          </cell>
        </row>
        <row r="286">
          <cell r="A286" t="str">
            <v>CFF-12-0049B</v>
          </cell>
          <cell r="BG286" t="str">
            <v>Montado</v>
          </cell>
        </row>
        <row r="287">
          <cell r="A287" t="str">
            <v>CFF-12-0049C</v>
          </cell>
          <cell r="BG287" t="str">
            <v>Montado</v>
          </cell>
        </row>
        <row r="288">
          <cell r="A288" t="str">
            <v>CFF-12-0050A</v>
          </cell>
          <cell r="BG288" t="str">
            <v>Montado</v>
          </cell>
        </row>
        <row r="289">
          <cell r="A289" t="str">
            <v>CFF-12-0050B</v>
          </cell>
          <cell r="BG289" t="str">
            <v>Montado</v>
          </cell>
        </row>
        <row r="290">
          <cell r="A290" t="str">
            <v>CFF-12-0051A</v>
          </cell>
          <cell r="BG290" t="str">
            <v>Montado</v>
          </cell>
        </row>
        <row r="291">
          <cell r="A291" t="str">
            <v>CFF-12-0051B</v>
          </cell>
          <cell r="BG291" t="str">
            <v>Montado</v>
          </cell>
        </row>
        <row r="292">
          <cell r="A292" t="str">
            <v>CFF-12-0051C</v>
          </cell>
          <cell r="BG292" t="str">
            <v>Montado</v>
          </cell>
        </row>
        <row r="293">
          <cell r="A293" t="str">
            <v>CFF-12-0052A</v>
          </cell>
          <cell r="BG293" t="str">
            <v>Montado</v>
          </cell>
        </row>
        <row r="294">
          <cell r="A294" t="str">
            <v>CFF-12-0052B</v>
          </cell>
          <cell r="BG294" t="str">
            <v>Montado</v>
          </cell>
        </row>
        <row r="295">
          <cell r="A295" t="str">
            <v>CFF-12-0053A</v>
          </cell>
          <cell r="BG295" t="str">
            <v>Montado</v>
          </cell>
        </row>
        <row r="296">
          <cell r="A296" t="str">
            <v>CFF-12-0053B</v>
          </cell>
          <cell r="BG296" t="str">
            <v>Montado</v>
          </cell>
        </row>
        <row r="297">
          <cell r="A297" t="str">
            <v>CFF-12-0054A</v>
          </cell>
          <cell r="BG297" t="str">
            <v>Montado</v>
          </cell>
        </row>
        <row r="298">
          <cell r="A298" t="str">
            <v>CFF-12-0054B</v>
          </cell>
          <cell r="BG298" t="str">
            <v>Montado</v>
          </cell>
        </row>
        <row r="299">
          <cell r="A299" t="str">
            <v>CFF-12-0055A</v>
          </cell>
          <cell r="BG299" t="str">
            <v>Montado</v>
          </cell>
        </row>
        <row r="300">
          <cell r="A300" t="str">
            <v>CFF-12-0055B</v>
          </cell>
          <cell r="BG300" t="str">
            <v>Montado</v>
          </cell>
        </row>
        <row r="301">
          <cell r="A301" t="str">
            <v>CFF-12-0055C</v>
          </cell>
          <cell r="BG301" t="str">
            <v>Montado</v>
          </cell>
        </row>
        <row r="302">
          <cell r="A302" t="str">
            <v>CFF-12-0056A</v>
          </cell>
          <cell r="BG302" t="str">
            <v>Montado</v>
          </cell>
        </row>
        <row r="303">
          <cell r="A303" t="str">
            <v>CFF-12-0057A</v>
          </cell>
          <cell r="BG303" t="str">
            <v>Montado</v>
          </cell>
        </row>
        <row r="304">
          <cell r="A304" t="str">
            <v>CFF-12-0057B</v>
          </cell>
          <cell r="BG304" t="str">
            <v>Montado</v>
          </cell>
        </row>
        <row r="305">
          <cell r="A305" t="str">
            <v>CFF-12-0057C</v>
          </cell>
          <cell r="BG305" t="str">
            <v>Montado</v>
          </cell>
        </row>
        <row r="306">
          <cell r="A306" t="str">
            <v>CFF-12-0058A</v>
          </cell>
          <cell r="BG306" t="str">
            <v>Montado</v>
          </cell>
        </row>
        <row r="307">
          <cell r="A307" t="str">
            <v>CFF-12-0058B</v>
          </cell>
          <cell r="BG307" t="str">
            <v>Montado</v>
          </cell>
        </row>
        <row r="308">
          <cell r="A308" t="str">
            <v>CFF-12-0058C</v>
          </cell>
          <cell r="BG308" t="str">
            <v>Montado</v>
          </cell>
        </row>
        <row r="309">
          <cell r="A309" t="str">
            <v>CFF-12-0059A</v>
          </cell>
          <cell r="BG309" t="str">
            <v>Montado</v>
          </cell>
        </row>
        <row r="310">
          <cell r="A310" t="str">
            <v>CFF-12-0059B</v>
          </cell>
          <cell r="BG310" t="str">
            <v>Montado</v>
          </cell>
        </row>
        <row r="311">
          <cell r="A311" t="str">
            <v>CFF-12-0059C</v>
          </cell>
          <cell r="BG311" t="str">
            <v>Montado</v>
          </cell>
        </row>
        <row r="312">
          <cell r="A312" t="str">
            <v>CFF-12-0060A</v>
          </cell>
          <cell r="BG312" t="str">
            <v>Montado</v>
          </cell>
        </row>
        <row r="313">
          <cell r="A313" t="str">
            <v>CFF-12-0060B</v>
          </cell>
          <cell r="BG313" t="str">
            <v>Montado</v>
          </cell>
        </row>
        <row r="314">
          <cell r="A314" t="str">
            <v>CFF-12-0060C</v>
          </cell>
          <cell r="BG314" t="str">
            <v>Montado</v>
          </cell>
        </row>
        <row r="315">
          <cell r="A315" t="str">
            <v>CFF-12-0061A</v>
          </cell>
          <cell r="BG315" t="str">
            <v>Montado</v>
          </cell>
        </row>
        <row r="316">
          <cell r="A316" t="str">
            <v>CFF-12-0061B</v>
          </cell>
          <cell r="BG316" t="str">
            <v>Montado</v>
          </cell>
        </row>
        <row r="317">
          <cell r="A317" t="str">
            <v>CFF-12-0061C</v>
          </cell>
          <cell r="BG317" t="str">
            <v>Montado</v>
          </cell>
        </row>
        <row r="318">
          <cell r="A318" t="str">
            <v>CFF-12-0062A</v>
          </cell>
          <cell r="BG318" t="str">
            <v>Montado</v>
          </cell>
        </row>
        <row r="319">
          <cell r="A319" t="str">
            <v>CFF-12-0062B</v>
          </cell>
          <cell r="BG319" t="str">
            <v>Montado</v>
          </cell>
        </row>
        <row r="320">
          <cell r="A320" t="str">
            <v>CFF-12-0063A</v>
          </cell>
          <cell r="BG320" t="str">
            <v>Montado</v>
          </cell>
        </row>
        <row r="321">
          <cell r="A321" t="str">
            <v>CFF-12-0063B</v>
          </cell>
          <cell r="BG321" t="str">
            <v>Montado</v>
          </cell>
        </row>
        <row r="322">
          <cell r="A322" t="str">
            <v>CFF-12-0063C</v>
          </cell>
          <cell r="BG322" t="str">
            <v>Montado</v>
          </cell>
        </row>
        <row r="323">
          <cell r="A323" t="str">
            <v>CFF-12-0064A</v>
          </cell>
          <cell r="BG323" t="str">
            <v>Montado</v>
          </cell>
        </row>
        <row r="324">
          <cell r="A324" t="str">
            <v>CFF-12-0064B</v>
          </cell>
          <cell r="BG324" t="str">
            <v>Montado</v>
          </cell>
        </row>
        <row r="325">
          <cell r="A325" t="str">
            <v>CFF-12-0064C</v>
          </cell>
          <cell r="BG325" t="str">
            <v>Montado</v>
          </cell>
        </row>
        <row r="326">
          <cell r="A326" t="str">
            <v>CFF-12-0065A</v>
          </cell>
          <cell r="BG326" t="str">
            <v>Montado</v>
          </cell>
        </row>
        <row r="327">
          <cell r="A327" t="str">
            <v>CFF-12-0065B</v>
          </cell>
          <cell r="BG327" t="str">
            <v>Montado</v>
          </cell>
        </row>
        <row r="328">
          <cell r="A328" t="str">
            <v>CFF-12-0065C</v>
          </cell>
          <cell r="BG328" t="str">
            <v>Montado</v>
          </cell>
        </row>
        <row r="329">
          <cell r="A329" t="str">
            <v>CFF-12-0066A</v>
          </cell>
          <cell r="BG329" t="str">
            <v>Montado</v>
          </cell>
        </row>
        <row r="330">
          <cell r="A330" t="str">
            <v>CFF-12-0066B</v>
          </cell>
          <cell r="BG330" t="str">
            <v>Montado</v>
          </cell>
        </row>
        <row r="331">
          <cell r="A331" t="str">
            <v>CFF-12-0067A</v>
          </cell>
          <cell r="BG331" t="str">
            <v>Montado</v>
          </cell>
        </row>
        <row r="332">
          <cell r="A332" t="str">
            <v>CFF-12-0067B</v>
          </cell>
          <cell r="BG332" t="str">
            <v>Montado</v>
          </cell>
        </row>
        <row r="333">
          <cell r="A333" t="str">
            <v>CFF-12-0067C</v>
          </cell>
          <cell r="BG333" t="str">
            <v>Montado</v>
          </cell>
        </row>
        <row r="334">
          <cell r="A334" t="str">
            <v>CFF-12-0068A</v>
          </cell>
          <cell r="BG334" t="str">
            <v>Montado</v>
          </cell>
        </row>
        <row r="335">
          <cell r="A335" t="str">
            <v>CFF-12-0068B</v>
          </cell>
          <cell r="BG335" t="str">
            <v>Montado</v>
          </cell>
        </row>
        <row r="336">
          <cell r="A336" t="str">
            <v>CFF-12-0069A</v>
          </cell>
          <cell r="BG336" t="str">
            <v>Montado</v>
          </cell>
        </row>
        <row r="337">
          <cell r="A337" t="str">
            <v>CFF-12-0069B</v>
          </cell>
          <cell r="BG337" t="str">
            <v>Montado</v>
          </cell>
        </row>
        <row r="338">
          <cell r="A338" t="str">
            <v>CFF-12-0069C</v>
          </cell>
          <cell r="BG338" t="str">
            <v>Montado</v>
          </cell>
        </row>
        <row r="339">
          <cell r="A339" t="str">
            <v>CFF-12-0070A</v>
          </cell>
          <cell r="BG339" t="str">
            <v>Montado</v>
          </cell>
        </row>
        <row r="340">
          <cell r="A340" t="str">
            <v>CFF-12-0070B</v>
          </cell>
          <cell r="BG340" t="str">
            <v>Montado</v>
          </cell>
        </row>
        <row r="341">
          <cell r="A341" t="str">
            <v>CFF-12-0070C</v>
          </cell>
          <cell r="BG341" t="str">
            <v>Montado</v>
          </cell>
        </row>
        <row r="342">
          <cell r="A342" t="str">
            <v>CFF-12-0071A</v>
          </cell>
          <cell r="BG342" t="str">
            <v>Montado</v>
          </cell>
        </row>
        <row r="343">
          <cell r="A343" t="str">
            <v>CFF-12-0071B</v>
          </cell>
          <cell r="BG343" t="str">
            <v>Montado</v>
          </cell>
        </row>
        <row r="344">
          <cell r="A344" t="str">
            <v>CFF-12-0071C</v>
          </cell>
          <cell r="BG344" t="str">
            <v>Montado</v>
          </cell>
        </row>
        <row r="345">
          <cell r="A345" t="str">
            <v>CFF-12-0072A</v>
          </cell>
          <cell r="BG345" t="str">
            <v>Montado</v>
          </cell>
        </row>
        <row r="346">
          <cell r="A346" t="str">
            <v>CFF-12-0072B</v>
          </cell>
          <cell r="BG346" t="str">
            <v>Montado</v>
          </cell>
        </row>
        <row r="347">
          <cell r="A347" t="str">
            <v>CFF-12-0072C</v>
          </cell>
          <cell r="BG347" t="str">
            <v>Montado</v>
          </cell>
        </row>
        <row r="348">
          <cell r="A348" t="str">
            <v>CFF-12-0073A</v>
          </cell>
          <cell r="BG348" t="str">
            <v>Montado</v>
          </cell>
        </row>
        <row r="349">
          <cell r="A349" t="str">
            <v>CFF-12-0073B</v>
          </cell>
          <cell r="BG349" t="str">
            <v>Montado</v>
          </cell>
        </row>
        <row r="350">
          <cell r="A350" t="str">
            <v>CFF-12-0073C</v>
          </cell>
          <cell r="BG350" t="str">
            <v>Montado</v>
          </cell>
        </row>
        <row r="351">
          <cell r="A351" t="str">
            <v>CFF-12-0074A</v>
          </cell>
          <cell r="BG351" t="str">
            <v>Montado</v>
          </cell>
        </row>
        <row r="352">
          <cell r="A352" t="str">
            <v>CFF-12-0074B</v>
          </cell>
          <cell r="BG352" t="str">
            <v>Montado</v>
          </cell>
        </row>
        <row r="353">
          <cell r="A353" t="str">
            <v>CFF-12-0074C</v>
          </cell>
          <cell r="BG353" t="str">
            <v>Montado</v>
          </cell>
        </row>
        <row r="354">
          <cell r="A354" t="str">
            <v>CFF-12-0075A</v>
          </cell>
          <cell r="BG354" t="str">
            <v>Montado</v>
          </cell>
        </row>
        <row r="355">
          <cell r="A355" t="str">
            <v>CFF-12-0075B</v>
          </cell>
          <cell r="BG355" t="str">
            <v>Montado</v>
          </cell>
        </row>
        <row r="356">
          <cell r="A356" t="str">
            <v>CFF-12-0075C</v>
          </cell>
          <cell r="BG356" t="str">
            <v>Montado</v>
          </cell>
        </row>
        <row r="357">
          <cell r="A357" t="str">
            <v>CFF-12-0076A</v>
          </cell>
          <cell r="BG357" t="str">
            <v>Montado</v>
          </cell>
        </row>
        <row r="358">
          <cell r="A358" t="str">
            <v>CFF-12-0076B</v>
          </cell>
          <cell r="BG358" t="str">
            <v>Montado</v>
          </cell>
        </row>
        <row r="359">
          <cell r="A359" t="str">
            <v>CFF-12-0076C</v>
          </cell>
          <cell r="BG359" t="str">
            <v>Montado</v>
          </cell>
        </row>
        <row r="360">
          <cell r="A360" t="str">
            <v>CFF-12-0077A</v>
          </cell>
          <cell r="BG360" t="str">
            <v>Montado</v>
          </cell>
        </row>
        <row r="361">
          <cell r="A361" t="str">
            <v>CFF-12-0077B</v>
          </cell>
          <cell r="BG361" t="str">
            <v>Montado</v>
          </cell>
        </row>
        <row r="362">
          <cell r="A362" t="str">
            <v>CFF-12-0077C</v>
          </cell>
          <cell r="BG362" t="str">
            <v>Montado</v>
          </cell>
        </row>
        <row r="363">
          <cell r="A363" t="str">
            <v>CFF-12-0078A</v>
          </cell>
          <cell r="BG363" t="str">
            <v>Montado</v>
          </cell>
        </row>
        <row r="364">
          <cell r="A364" t="str">
            <v>CFF-12-0078B</v>
          </cell>
          <cell r="BG364" t="str">
            <v>Montado</v>
          </cell>
        </row>
        <row r="365">
          <cell r="A365" t="str">
            <v>CFF-12-0079A</v>
          </cell>
          <cell r="BG365" t="str">
            <v>Montado</v>
          </cell>
        </row>
        <row r="366">
          <cell r="A366" t="str">
            <v>CFF-12-0079B</v>
          </cell>
          <cell r="BG366" t="str">
            <v>Montado</v>
          </cell>
        </row>
        <row r="367">
          <cell r="A367" t="str">
            <v>CFF-12-0079C</v>
          </cell>
          <cell r="BG367" t="str">
            <v>Montado</v>
          </cell>
        </row>
        <row r="368">
          <cell r="A368" t="str">
            <v>CFF-12-0080A</v>
          </cell>
          <cell r="BG368" t="str">
            <v>Montado</v>
          </cell>
        </row>
        <row r="369">
          <cell r="A369" t="str">
            <v>CFF-12-0080B</v>
          </cell>
          <cell r="BG369" t="str">
            <v>Montado</v>
          </cell>
        </row>
        <row r="370">
          <cell r="A370" t="str">
            <v>CFF-12-0081A</v>
          </cell>
          <cell r="BG370" t="str">
            <v>Montado</v>
          </cell>
        </row>
        <row r="371">
          <cell r="A371" t="str">
            <v>CFF-12-0081B</v>
          </cell>
          <cell r="BG371" t="str">
            <v>Montado</v>
          </cell>
        </row>
        <row r="372">
          <cell r="A372" t="str">
            <v>CFF-12-0081C</v>
          </cell>
          <cell r="BG372" t="str">
            <v>Montado</v>
          </cell>
        </row>
        <row r="373">
          <cell r="A373" t="str">
            <v>CFF-12-0082A</v>
          </cell>
          <cell r="BG373" t="str">
            <v>Montado</v>
          </cell>
        </row>
        <row r="374">
          <cell r="A374" t="str">
            <v>CFF-12-0082B</v>
          </cell>
          <cell r="BG374" t="str">
            <v>Montado</v>
          </cell>
        </row>
        <row r="375">
          <cell r="A375" t="str">
            <v>CFF-12-0083A</v>
          </cell>
          <cell r="BG375" t="str">
            <v>Montado</v>
          </cell>
        </row>
        <row r="376">
          <cell r="A376" t="str">
            <v>CFF-12-0083B</v>
          </cell>
          <cell r="BG376" t="str">
            <v>Montado</v>
          </cell>
        </row>
        <row r="377">
          <cell r="A377" t="str">
            <v>CFF-12-0083C</v>
          </cell>
          <cell r="BG377" t="str">
            <v>Montado</v>
          </cell>
        </row>
        <row r="378">
          <cell r="A378" t="str">
            <v>CFF-12-0084A</v>
          </cell>
          <cell r="BG378" t="str">
            <v>Montado</v>
          </cell>
        </row>
        <row r="379">
          <cell r="A379" t="str">
            <v>CFF-12-0084B</v>
          </cell>
          <cell r="BG379" t="str">
            <v>Montado</v>
          </cell>
        </row>
        <row r="380">
          <cell r="A380" t="str">
            <v>CFF-12-0085A</v>
          </cell>
          <cell r="BG380" t="str">
            <v>Montado</v>
          </cell>
        </row>
        <row r="381">
          <cell r="A381" t="str">
            <v>CFF-12-0085B</v>
          </cell>
          <cell r="BG381" t="str">
            <v>Montado</v>
          </cell>
        </row>
        <row r="382">
          <cell r="A382" t="str">
            <v>CFF-12-0085C</v>
          </cell>
          <cell r="BG382" t="str">
            <v>Montado</v>
          </cell>
        </row>
        <row r="383">
          <cell r="A383" t="str">
            <v>CFF-12-0086A</v>
          </cell>
          <cell r="BG383" t="str">
            <v>Montado</v>
          </cell>
        </row>
        <row r="384">
          <cell r="A384" t="str">
            <v>CFF-12-0086B</v>
          </cell>
          <cell r="BG384" t="str">
            <v>Montado</v>
          </cell>
        </row>
        <row r="385">
          <cell r="A385" t="str">
            <v>CFF-12-0086C</v>
          </cell>
          <cell r="BG385" t="str">
            <v>Montado</v>
          </cell>
        </row>
        <row r="386">
          <cell r="A386" t="str">
            <v>CFF-12-0087A</v>
          </cell>
          <cell r="BG386" t="str">
            <v>Montado</v>
          </cell>
        </row>
        <row r="387">
          <cell r="A387" t="str">
            <v>CFF-12-0087B</v>
          </cell>
          <cell r="BG387" t="str">
            <v>Montado</v>
          </cell>
        </row>
        <row r="388">
          <cell r="A388" t="str">
            <v>CFF-12-0088A</v>
          </cell>
          <cell r="BG388" t="str">
            <v>Montado</v>
          </cell>
        </row>
        <row r="389">
          <cell r="A389" t="str">
            <v>CFF-12-0090A</v>
          </cell>
          <cell r="BG389" t="str">
            <v>Montado</v>
          </cell>
        </row>
        <row r="390">
          <cell r="A390" t="str">
            <v>CFF-12-0090B</v>
          </cell>
          <cell r="BG390" t="str">
            <v>Montado</v>
          </cell>
        </row>
        <row r="391">
          <cell r="A391" t="str">
            <v>CFF-12-0090C</v>
          </cell>
          <cell r="BG391" t="str">
            <v>Montado</v>
          </cell>
        </row>
        <row r="392">
          <cell r="A392" t="str">
            <v>CFF-12-0091A</v>
          </cell>
          <cell r="BG392" t="str">
            <v>Montado</v>
          </cell>
        </row>
        <row r="393">
          <cell r="A393" t="str">
            <v>CFF-12-0091B</v>
          </cell>
          <cell r="BG393" t="str">
            <v>Montado</v>
          </cell>
        </row>
        <row r="394">
          <cell r="A394" t="str">
            <v>CFF-12-0091C</v>
          </cell>
          <cell r="BG394" t="str">
            <v>Montado</v>
          </cell>
        </row>
        <row r="395">
          <cell r="A395" t="str">
            <v>CFF-12-0092A</v>
          </cell>
          <cell r="BG395" t="str">
            <v>Montado</v>
          </cell>
        </row>
        <row r="396">
          <cell r="A396" t="str">
            <v>CFF-12-0092B</v>
          </cell>
          <cell r="BG396" t="str">
            <v>Montado</v>
          </cell>
        </row>
        <row r="397">
          <cell r="A397" t="str">
            <v>CFF-12-0093A</v>
          </cell>
          <cell r="BG397" t="str">
            <v>Montado</v>
          </cell>
        </row>
        <row r="398">
          <cell r="A398" t="str">
            <v>CFF-12-0094A</v>
          </cell>
          <cell r="BG398" t="str">
            <v>Montado</v>
          </cell>
        </row>
        <row r="399">
          <cell r="A399" t="str">
            <v>CFF-12-0095A</v>
          </cell>
          <cell r="BG399" t="str">
            <v>Montado</v>
          </cell>
        </row>
        <row r="400">
          <cell r="A400" t="str">
            <v>CFF-12-0096A</v>
          </cell>
          <cell r="BG400" t="str">
            <v>Montado</v>
          </cell>
        </row>
        <row r="401">
          <cell r="A401" t="str">
            <v>CFF-12-0097A</v>
          </cell>
          <cell r="BG401" t="str">
            <v>Montado</v>
          </cell>
        </row>
        <row r="402">
          <cell r="A402" t="str">
            <v>CFF-12-0097B</v>
          </cell>
          <cell r="BG402" t="str">
            <v>Montado</v>
          </cell>
        </row>
        <row r="403">
          <cell r="A403" t="str">
            <v>CFF-12-0098A</v>
          </cell>
          <cell r="BG403" t="str">
            <v>Montado</v>
          </cell>
        </row>
        <row r="404">
          <cell r="A404" t="str">
            <v>CFF-12-0099A</v>
          </cell>
          <cell r="BG404" t="str">
            <v>Montado</v>
          </cell>
        </row>
        <row r="405">
          <cell r="A405" t="str">
            <v>CFF-12-0099B</v>
          </cell>
          <cell r="BG405" t="str">
            <v>Montado</v>
          </cell>
        </row>
        <row r="406">
          <cell r="A406" t="str">
            <v>CFF-12-0100A</v>
          </cell>
          <cell r="BG406" t="str">
            <v>Montado</v>
          </cell>
        </row>
        <row r="407">
          <cell r="A407" t="str">
            <v>CFF-12-0100B</v>
          </cell>
          <cell r="BG407" t="str">
            <v>Montado</v>
          </cell>
        </row>
        <row r="408">
          <cell r="A408" t="str">
            <v>CFF-12-0101A</v>
          </cell>
          <cell r="BG408" t="str">
            <v>Montado</v>
          </cell>
        </row>
        <row r="409">
          <cell r="A409" t="str">
            <v>CFF-12-0101B</v>
          </cell>
          <cell r="BG409" t="str">
            <v>Montado</v>
          </cell>
        </row>
        <row r="410">
          <cell r="A410" t="str">
            <v>CFF-12-0102A</v>
          </cell>
          <cell r="BG410" t="str">
            <v>Montado</v>
          </cell>
        </row>
        <row r="411">
          <cell r="A411" t="str">
            <v>CFF-12-0102B</v>
          </cell>
          <cell r="BG411" t="str">
            <v>Montado</v>
          </cell>
        </row>
        <row r="412">
          <cell r="A412" t="str">
            <v>CFF-12-0103A</v>
          </cell>
          <cell r="BG412" t="str">
            <v>Montado</v>
          </cell>
        </row>
        <row r="413">
          <cell r="A413" t="str">
            <v>CFF-12-0103B</v>
          </cell>
          <cell r="BG413" t="str">
            <v>Montado</v>
          </cell>
        </row>
        <row r="414">
          <cell r="A414" t="str">
            <v>CFF-12-0104A</v>
          </cell>
          <cell r="BG414" t="str">
            <v>Montado</v>
          </cell>
        </row>
        <row r="415">
          <cell r="A415" t="str">
            <v>CFF-12-0105A</v>
          </cell>
          <cell r="BG415" t="str">
            <v>Montado</v>
          </cell>
        </row>
        <row r="416">
          <cell r="A416" t="str">
            <v>CFF-12-0106A</v>
          </cell>
          <cell r="BG416" t="str">
            <v>Montado</v>
          </cell>
        </row>
        <row r="417">
          <cell r="A417" t="str">
            <v>CFF-12-0107A</v>
          </cell>
          <cell r="BG417" t="str">
            <v>Montado</v>
          </cell>
        </row>
        <row r="418">
          <cell r="A418" t="str">
            <v>CFF-12-0108A</v>
          </cell>
          <cell r="BG418" t="str">
            <v>Montado</v>
          </cell>
        </row>
        <row r="419">
          <cell r="A419" t="str">
            <v>CFF-12-0108B</v>
          </cell>
          <cell r="BG419" t="str">
            <v>Montado</v>
          </cell>
        </row>
        <row r="420">
          <cell r="A420" t="str">
            <v>CFF-12-0109A</v>
          </cell>
          <cell r="BG420" t="str">
            <v>Montado</v>
          </cell>
        </row>
        <row r="421">
          <cell r="A421" t="str">
            <v>CFF-12-0110A</v>
          </cell>
          <cell r="BG421" t="str">
            <v>Montado</v>
          </cell>
        </row>
        <row r="422">
          <cell r="A422" t="str">
            <v>CFF-12-0110B</v>
          </cell>
          <cell r="BG422" t="str">
            <v>Montado</v>
          </cell>
        </row>
        <row r="423">
          <cell r="A423" t="str">
            <v>CFF-12-0111A</v>
          </cell>
          <cell r="BG423" t="str">
            <v>Montado</v>
          </cell>
        </row>
        <row r="424">
          <cell r="A424" t="str">
            <v>CFF-12-0111B</v>
          </cell>
          <cell r="BG424" t="str">
            <v>Montado</v>
          </cell>
        </row>
        <row r="425">
          <cell r="A425" t="str">
            <v>CFF-12-0112A</v>
          </cell>
          <cell r="BG425" t="str">
            <v>Montado</v>
          </cell>
        </row>
        <row r="426">
          <cell r="A426" t="str">
            <v>CFF-12-0112B</v>
          </cell>
          <cell r="BG426" t="str">
            <v>Montado</v>
          </cell>
        </row>
        <row r="427">
          <cell r="A427" t="str">
            <v>CFF-12-0112C</v>
          </cell>
          <cell r="BG427" t="str">
            <v>Montado</v>
          </cell>
        </row>
        <row r="428">
          <cell r="A428" t="str">
            <v>CFF-12-0113A</v>
          </cell>
          <cell r="BG428" t="str">
            <v>Montado</v>
          </cell>
        </row>
        <row r="429">
          <cell r="A429" t="str">
            <v>CFF-12-0113B</v>
          </cell>
          <cell r="BG429" t="str">
            <v>Montado</v>
          </cell>
        </row>
        <row r="430">
          <cell r="A430" t="str">
            <v>CFF-12-0114A</v>
          </cell>
          <cell r="BG430" t="str">
            <v>Montado</v>
          </cell>
        </row>
        <row r="431">
          <cell r="A431" t="str">
            <v>CFF-12-0114B</v>
          </cell>
          <cell r="BG431" t="str">
            <v>Montado</v>
          </cell>
        </row>
        <row r="432">
          <cell r="A432" t="str">
            <v>CFF-12-0114C</v>
          </cell>
          <cell r="BG432" t="str">
            <v>Montado</v>
          </cell>
        </row>
        <row r="433">
          <cell r="A433" t="str">
            <v>CFF-12-0115A</v>
          </cell>
          <cell r="BG433" t="str">
            <v>Montado</v>
          </cell>
        </row>
        <row r="434">
          <cell r="A434" t="str">
            <v>CFF-12-0115B</v>
          </cell>
          <cell r="BG434" t="str">
            <v>Montado</v>
          </cell>
        </row>
        <row r="435">
          <cell r="A435" t="str">
            <v>CFF-12-0115C</v>
          </cell>
          <cell r="BG435" t="str">
            <v>Montado</v>
          </cell>
        </row>
        <row r="436">
          <cell r="A436" t="str">
            <v>CFF-12-0116A</v>
          </cell>
          <cell r="BG436" t="str">
            <v>Montado</v>
          </cell>
        </row>
        <row r="437">
          <cell r="A437" t="str">
            <v>CFF-12-0117A</v>
          </cell>
          <cell r="BG437" t="str">
            <v>Montado</v>
          </cell>
        </row>
        <row r="438">
          <cell r="A438" t="str">
            <v>CFF-12-0118A</v>
          </cell>
          <cell r="BG438" t="str">
            <v>Montado</v>
          </cell>
        </row>
        <row r="439">
          <cell r="A439" t="str">
            <v>CFF-12-0118B</v>
          </cell>
          <cell r="BG439" t="str">
            <v>Montado</v>
          </cell>
        </row>
        <row r="440">
          <cell r="A440" t="str">
            <v>CFF-12-0119A</v>
          </cell>
          <cell r="BG440" t="str">
            <v>Montado</v>
          </cell>
        </row>
        <row r="441">
          <cell r="A441" t="str">
            <v>CFF-12-0120A</v>
          </cell>
          <cell r="BG441" t="str">
            <v>Montado</v>
          </cell>
        </row>
        <row r="442">
          <cell r="A442" t="str">
            <v>CFF-12-0120B</v>
          </cell>
          <cell r="BG442" t="str">
            <v>Montado</v>
          </cell>
        </row>
        <row r="443">
          <cell r="A443" t="str">
            <v>CFF-12-0121A</v>
          </cell>
          <cell r="BG443" t="str">
            <v>Montado</v>
          </cell>
        </row>
        <row r="444">
          <cell r="A444" t="str">
            <v>CFF-12-0121B</v>
          </cell>
          <cell r="BG444" t="str">
            <v>Montado</v>
          </cell>
        </row>
        <row r="445">
          <cell r="A445" t="str">
            <v>CFF-12-0122A</v>
          </cell>
          <cell r="BG445" t="str">
            <v>Montado</v>
          </cell>
        </row>
        <row r="446">
          <cell r="A446" t="str">
            <v>CFF-12-0122B</v>
          </cell>
          <cell r="BG446" t="str">
            <v>Montado</v>
          </cell>
        </row>
        <row r="447">
          <cell r="A447" t="str">
            <v>CFF-12-0123A</v>
          </cell>
          <cell r="BG447" t="str">
            <v>Montado</v>
          </cell>
        </row>
        <row r="448">
          <cell r="A448" t="str">
            <v>CFF-12-0123B</v>
          </cell>
          <cell r="BG448" t="str">
            <v>Montado</v>
          </cell>
        </row>
        <row r="449">
          <cell r="A449" t="str">
            <v>CFF-12-0124A</v>
          </cell>
          <cell r="BG449" t="str">
            <v>Montado</v>
          </cell>
        </row>
        <row r="450">
          <cell r="A450" t="str">
            <v>CFF-12-0124B</v>
          </cell>
          <cell r="BG450" t="str">
            <v>Montado</v>
          </cell>
        </row>
        <row r="451">
          <cell r="A451" t="str">
            <v>CFF-12-0125A</v>
          </cell>
          <cell r="BG451" t="str">
            <v>Montado</v>
          </cell>
        </row>
        <row r="452">
          <cell r="A452" t="str">
            <v>CFF-12-0125B</v>
          </cell>
          <cell r="BG452" t="str">
            <v>Montado</v>
          </cell>
        </row>
        <row r="453">
          <cell r="A453" t="str">
            <v>CFF-12-0125C</v>
          </cell>
          <cell r="BG453" t="str">
            <v>Montado</v>
          </cell>
        </row>
        <row r="454">
          <cell r="A454" t="str">
            <v>CFF-12-0126A</v>
          </cell>
          <cell r="BG454" t="str">
            <v>Montado</v>
          </cell>
        </row>
        <row r="455">
          <cell r="A455" t="str">
            <v>CFF-12-0126B</v>
          </cell>
          <cell r="BG455" t="str">
            <v>Montado</v>
          </cell>
        </row>
        <row r="456">
          <cell r="A456" t="str">
            <v>CFF-12-0126C</v>
          </cell>
          <cell r="BG456" t="str">
            <v>Montado</v>
          </cell>
        </row>
        <row r="457">
          <cell r="A457" t="str">
            <v>CFF-12-0127A</v>
          </cell>
          <cell r="BG457" t="str">
            <v>Montado</v>
          </cell>
        </row>
        <row r="458">
          <cell r="A458" t="str">
            <v>CFF-12-0127B</v>
          </cell>
          <cell r="BG458" t="str">
            <v>Montado</v>
          </cell>
        </row>
        <row r="459">
          <cell r="A459" t="str">
            <v>CFF-12-0127C</v>
          </cell>
          <cell r="BG459" t="str">
            <v>Montado</v>
          </cell>
        </row>
        <row r="460">
          <cell r="A460" t="str">
            <v>CFF-12-0128A</v>
          </cell>
          <cell r="BG460" t="str">
            <v>Montado</v>
          </cell>
        </row>
        <row r="461">
          <cell r="A461" t="str">
            <v>CFF-12-0128B</v>
          </cell>
          <cell r="BG461" t="str">
            <v>Montado</v>
          </cell>
        </row>
        <row r="462">
          <cell r="A462" t="str">
            <v>CFF-12-0128C</v>
          </cell>
          <cell r="BG462" t="str">
            <v>Montado</v>
          </cell>
        </row>
        <row r="463">
          <cell r="A463" t="str">
            <v>CFF-12-0129A</v>
          </cell>
          <cell r="BG463" t="str">
            <v>Montado</v>
          </cell>
        </row>
        <row r="464">
          <cell r="A464" t="str">
            <v>CFF-12-0129B</v>
          </cell>
          <cell r="BG464" t="str">
            <v>Montado</v>
          </cell>
        </row>
        <row r="465">
          <cell r="A465" t="str">
            <v>CFF-12-0130A</v>
          </cell>
          <cell r="BG465" t="str">
            <v>Montado</v>
          </cell>
        </row>
        <row r="466">
          <cell r="A466" t="str">
            <v>CFF-12-0130B</v>
          </cell>
          <cell r="BG466" t="str">
            <v>Montado</v>
          </cell>
        </row>
        <row r="467">
          <cell r="A467" t="str">
            <v>CFF-12-0131A</v>
          </cell>
          <cell r="BG467" t="str">
            <v>Montado</v>
          </cell>
        </row>
        <row r="468">
          <cell r="A468" t="str">
            <v>CFF-12-0131B</v>
          </cell>
          <cell r="BG468" t="str">
            <v>Montado</v>
          </cell>
        </row>
        <row r="469">
          <cell r="A469" t="str">
            <v>CFF-12-0132A</v>
          </cell>
          <cell r="BG469" t="str">
            <v>Montado</v>
          </cell>
        </row>
        <row r="470">
          <cell r="A470" t="str">
            <v>CFF-12-0132B</v>
          </cell>
          <cell r="BG470" t="str">
            <v>Montado</v>
          </cell>
        </row>
        <row r="471">
          <cell r="A471" t="str">
            <v>CFF-12-0132C</v>
          </cell>
          <cell r="BG471" t="str">
            <v>Montado</v>
          </cell>
        </row>
        <row r="472">
          <cell r="A472" t="str">
            <v>CFF-12-0133A</v>
          </cell>
          <cell r="BG472" t="str">
            <v>Montado</v>
          </cell>
        </row>
        <row r="473">
          <cell r="A473" t="str">
            <v>CFF-12-0133B</v>
          </cell>
          <cell r="BG473" t="str">
            <v>Montado</v>
          </cell>
        </row>
        <row r="474">
          <cell r="A474" t="str">
            <v>CFF-12-0134A</v>
          </cell>
          <cell r="BG474" t="str">
            <v>Montado</v>
          </cell>
        </row>
        <row r="475">
          <cell r="A475" t="str">
            <v>CFF-12-0135A</v>
          </cell>
          <cell r="BG475" t="str">
            <v>Montado</v>
          </cell>
        </row>
        <row r="476">
          <cell r="A476" t="str">
            <v>CFF-12-0136A</v>
          </cell>
          <cell r="BG476" t="str">
            <v>Montado</v>
          </cell>
        </row>
        <row r="477">
          <cell r="A477" t="str">
            <v>CFF-12-0136B</v>
          </cell>
          <cell r="BG477" t="str">
            <v>Montado</v>
          </cell>
        </row>
        <row r="478">
          <cell r="A478" t="str">
            <v>CFF-12-0136C</v>
          </cell>
          <cell r="BG478" t="str">
            <v>Montado</v>
          </cell>
        </row>
        <row r="479">
          <cell r="A479" t="str">
            <v>CFF-12-0137A</v>
          </cell>
          <cell r="BG479" t="str">
            <v>Montado</v>
          </cell>
        </row>
        <row r="480">
          <cell r="A480" t="str">
            <v>CFF-12-0137B</v>
          </cell>
          <cell r="BG480" t="str">
            <v>Montado</v>
          </cell>
        </row>
        <row r="481">
          <cell r="A481" t="str">
            <v>CFF-12-0137C</v>
          </cell>
          <cell r="BG481" t="str">
            <v>Montado</v>
          </cell>
        </row>
        <row r="482">
          <cell r="A482" t="str">
            <v>CJA-12-0001</v>
          </cell>
          <cell r="BG482" t="str">
            <v>Não Montado</v>
          </cell>
        </row>
        <row r="483">
          <cell r="A483" t="str">
            <v>CJA-12-0002</v>
          </cell>
          <cell r="BG483" t="str">
            <v>Não Montado</v>
          </cell>
        </row>
        <row r="484">
          <cell r="A484" t="str">
            <v>CJA-12-0800</v>
          </cell>
          <cell r="BG484" t="str">
            <v>Não Montado</v>
          </cell>
        </row>
        <row r="485">
          <cell r="A485" t="str">
            <v>CJA-12-0801</v>
          </cell>
          <cell r="BG485" t="str">
            <v>Não Montado</v>
          </cell>
        </row>
        <row r="486">
          <cell r="A486" t="str">
            <v>CJA-12-1301</v>
          </cell>
          <cell r="BG486" t="str">
            <v>Programar</v>
          </cell>
        </row>
        <row r="487">
          <cell r="A487" t="str">
            <v>CJA-12-1302</v>
          </cell>
          <cell r="BG487" t="str">
            <v>Programar</v>
          </cell>
        </row>
        <row r="488">
          <cell r="A488" t="str">
            <v>CJA-12-1303</v>
          </cell>
          <cell r="BG488" t="str">
            <v>Não Montado</v>
          </cell>
        </row>
        <row r="489">
          <cell r="A489" t="str">
            <v>CJA-12-1304</v>
          </cell>
          <cell r="BG489" t="str">
            <v>Programar</v>
          </cell>
        </row>
        <row r="490">
          <cell r="A490" t="str">
            <v>CJA-12-1401</v>
          </cell>
          <cell r="BG490" t="str">
            <v>Programar</v>
          </cell>
        </row>
        <row r="491">
          <cell r="A491" t="str">
            <v>CJA-12-1402</v>
          </cell>
          <cell r="BG491" t="str">
            <v>Programar</v>
          </cell>
        </row>
        <row r="492">
          <cell r="A492" t="str">
            <v>CJA-12-1403</v>
          </cell>
          <cell r="BG492" t="str">
            <v>Programar</v>
          </cell>
        </row>
        <row r="493">
          <cell r="A493" t="str">
            <v>CJA-S-12-0001</v>
          </cell>
          <cell r="BG493" t="str">
            <v>Montado</v>
          </cell>
        </row>
        <row r="494">
          <cell r="A494" t="str">
            <v>CJA-S-12-0002</v>
          </cell>
          <cell r="BG494" t="str">
            <v>Montado</v>
          </cell>
        </row>
        <row r="495">
          <cell r="A495" t="str">
            <v>CJA-S-12-0600</v>
          </cell>
          <cell r="BG495" t="str">
            <v>Não Montado</v>
          </cell>
        </row>
        <row r="496">
          <cell r="A496" t="str">
            <v>CJA-S-12-0601</v>
          </cell>
          <cell r="BG496" t="str">
            <v>Montado</v>
          </cell>
        </row>
        <row r="497">
          <cell r="A497" t="str">
            <v>CJA-S-12-0700</v>
          </cell>
          <cell r="BG497" t="str">
            <v>Montado</v>
          </cell>
        </row>
        <row r="498">
          <cell r="A498" t="str">
            <v>CJA-S-12-0800</v>
          </cell>
          <cell r="BG498" t="str">
            <v>Não Montado</v>
          </cell>
        </row>
        <row r="499">
          <cell r="A499" t="str">
            <v>CJA-S-12-1301</v>
          </cell>
          <cell r="BG499" t="str">
            <v>Não Montado</v>
          </cell>
        </row>
        <row r="500">
          <cell r="A500" t="str">
            <v>CJA-S-12-1302</v>
          </cell>
          <cell r="BG500" t="str">
            <v>Programar</v>
          </cell>
        </row>
        <row r="501">
          <cell r="A501" t="str">
            <v>CJA-S-12-1401</v>
          </cell>
          <cell r="BG501" t="str">
            <v>Programar</v>
          </cell>
        </row>
        <row r="502">
          <cell r="A502" t="str">
            <v>CJA-S-12-1402</v>
          </cell>
          <cell r="BG502" t="str">
            <v>Programar</v>
          </cell>
        </row>
        <row r="503">
          <cell r="A503" t="str">
            <v>CJA-X-12-0001</v>
          </cell>
          <cell r="BG503" t="str">
            <v>Montado</v>
          </cell>
        </row>
        <row r="504">
          <cell r="A504" t="str">
            <v>CJA-X-12-0002</v>
          </cell>
          <cell r="BG504" t="str">
            <v>Montado</v>
          </cell>
        </row>
        <row r="505">
          <cell r="A505" t="str">
            <v>CJA-X-12-0003</v>
          </cell>
          <cell r="BG505" t="str">
            <v>Montado</v>
          </cell>
        </row>
        <row r="506">
          <cell r="A506" t="str">
            <v>CJA-X-12-0004</v>
          </cell>
          <cell r="BG506" t="str">
            <v>Montado</v>
          </cell>
        </row>
        <row r="507">
          <cell r="A507" t="str">
            <v>CJA-X-12-0005</v>
          </cell>
          <cell r="BG507" t="str">
            <v>Montado</v>
          </cell>
        </row>
        <row r="508">
          <cell r="A508" t="str">
            <v>CJA-X-12-0006</v>
          </cell>
          <cell r="BG508" t="str">
            <v>Montado</v>
          </cell>
        </row>
        <row r="509">
          <cell r="A509" t="str">
            <v>CJA-X-12-0007</v>
          </cell>
          <cell r="BG509" t="str">
            <v>Montado</v>
          </cell>
        </row>
        <row r="510">
          <cell r="A510" t="str">
            <v>CJA-X-12-0008</v>
          </cell>
          <cell r="BG510" t="str">
            <v>Montado</v>
          </cell>
        </row>
        <row r="511">
          <cell r="A511" t="str">
            <v>CJA-X-12-0009</v>
          </cell>
          <cell r="BG511" t="str">
            <v>Montado</v>
          </cell>
        </row>
        <row r="512">
          <cell r="A512" t="str">
            <v>CJD-12-0001</v>
          </cell>
          <cell r="BG512" t="str">
            <v>Montado</v>
          </cell>
        </row>
        <row r="513">
          <cell r="A513" t="str">
            <v>CJD-12-0002</v>
          </cell>
          <cell r="BG513" t="str">
            <v>Não Montado</v>
          </cell>
        </row>
        <row r="514">
          <cell r="A514" t="str">
            <v>CJD-12-00024</v>
          </cell>
          <cell r="BG514" t="str">
            <v>Montado</v>
          </cell>
        </row>
        <row r="515">
          <cell r="A515" t="str">
            <v>CJD-12-0002A</v>
          </cell>
          <cell r="BG515" t="str">
            <v>Montado</v>
          </cell>
        </row>
        <row r="516">
          <cell r="A516" t="str">
            <v>CJD-12-0003</v>
          </cell>
          <cell r="BG516" t="str">
            <v>Não Montado</v>
          </cell>
        </row>
        <row r="517">
          <cell r="A517" t="str">
            <v>CJD-12-0004</v>
          </cell>
          <cell r="BG517" t="str">
            <v>Não Montado</v>
          </cell>
        </row>
        <row r="518">
          <cell r="A518" t="str">
            <v>CJD-12-0600</v>
          </cell>
          <cell r="BG518" t="str">
            <v>Não Montado</v>
          </cell>
        </row>
        <row r="519">
          <cell r="A519" t="str">
            <v>CJD-12-0601</v>
          </cell>
          <cell r="BG519" t="str">
            <v>Montado</v>
          </cell>
        </row>
        <row r="520">
          <cell r="A520" t="str">
            <v>CJD-12-0602</v>
          </cell>
          <cell r="BG520" t="str">
            <v>Montado</v>
          </cell>
        </row>
        <row r="521">
          <cell r="A521" t="str">
            <v>CJD-12-0603</v>
          </cell>
          <cell r="BG521" t="str">
            <v>Montado</v>
          </cell>
        </row>
        <row r="522">
          <cell r="A522" t="str">
            <v>CJD-12-0701</v>
          </cell>
          <cell r="BG522" t="str">
            <v>Montado</v>
          </cell>
        </row>
        <row r="523">
          <cell r="A523" t="str">
            <v>CJD-12-0702</v>
          </cell>
          <cell r="BG523" t="str">
            <v>Montado</v>
          </cell>
        </row>
        <row r="524">
          <cell r="A524" t="str">
            <v>CJD-12-0703</v>
          </cell>
          <cell r="BG524" t="str">
            <v>Em programação</v>
          </cell>
        </row>
        <row r="525">
          <cell r="A525" t="str">
            <v>CJD-12-1301</v>
          </cell>
          <cell r="BG525" t="str">
            <v>Não Montado</v>
          </cell>
        </row>
        <row r="526">
          <cell r="A526" t="str">
            <v>CJD-12-1302</v>
          </cell>
          <cell r="BG526" t="str">
            <v>Não Montado</v>
          </cell>
        </row>
        <row r="527">
          <cell r="A527" t="str">
            <v>CJD-12-1401</v>
          </cell>
          <cell r="BG527" t="str">
            <v>Não Montado</v>
          </cell>
        </row>
        <row r="528">
          <cell r="A528" t="str">
            <v>CJD-12-1402</v>
          </cell>
          <cell r="BG528" t="str">
            <v>Não Montado</v>
          </cell>
        </row>
        <row r="529">
          <cell r="A529" t="str">
            <v>CJD-S-12-0001</v>
          </cell>
          <cell r="BG529" t="str">
            <v>Não Montado</v>
          </cell>
        </row>
        <row r="530">
          <cell r="A530" t="str">
            <v>CJD-S-12-0002</v>
          </cell>
          <cell r="BG530" t="str">
            <v>Não Montado</v>
          </cell>
        </row>
        <row r="531">
          <cell r="A531" t="str">
            <v>CJD-S-12-0003</v>
          </cell>
          <cell r="BG531" t="str">
            <v>Não Montado</v>
          </cell>
        </row>
        <row r="532">
          <cell r="A532" t="str">
            <v>CJD-S-12-0004</v>
          </cell>
          <cell r="BG532" t="str">
            <v>Não Montado</v>
          </cell>
        </row>
        <row r="533">
          <cell r="A533" t="str">
            <v>CJD-S-12-0600</v>
          </cell>
          <cell r="BG533" t="str">
            <v>Montado</v>
          </cell>
        </row>
        <row r="534">
          <cell r="A534" t="str">
            <v>CJD-S-12-0601</v>
          </cell>
          <cell r="BG534" t="str">
            <v>Montado</v>
          </cell>
        </row>
        <row r="535">
          <cell r="A535" t="str">
            <v>CJD-S-12-0602</v>
          </cell>
          <cell r="BG535" t="str">
            <v>Montado</v>
          </cell>
        </row>
        <row r="536">
          <cell r="A536" t="str">
            <v>CJD-S-12-0603</v>
          </cell>
          <cell r="BG536" t="str">
            <v>Montado</v>
          </cell>
        </row>
        <row r="537">
          <cell r="A537" t="str">
            <v>CJD-S-12-0604</v>
          </cell>
          <cell r="BG537" t="str">
            <v>Montado</v>
          </cell>
        </row>
        <row r="538">
          <cell r="A538" t="str">
            <v>CJD-S-12-0605</v>
          </cell>
          <cell r="BG538" t="str">
            <v>Montado</v>
          </cell>
        </row>
        <row r="539">
          <cell r="A539" t="str">
            <v>CJD-S-12-0606</v>
          </cell>
          <cell r="BG539" t="str">
            <v>Montado</v>
          </cell>
        </row>
        <row r="540">
          <cell r="A540" t="str">
            <v>CJD-S-12-0607</v>
          </cell>
          <cell r="BG540" t="str">
            <v>Montado</v>
          </cell>
        </row>
        <row r="541">
          <cell r="A541" t="str">
            <v>CJD-S-12-0608</v>
          </cell>
          <cell r="BG541" t="str">
            <v>Não Montado</v>
          </cell>
        </row>
        <row r="542">
          <cell r="A542" t="str">
            <v>CJD-S-12-0609</v>
          </cell>
          <cell r="BG542" t="str">
            <v>Montado</v>
          </cell>
        </row>
        <row r="543">
          <cell r="A543" t="str">
            <v>CJD-S-12-0610</v>
          </cell>
          <cell r="BG543" t="str">
            <v>Montado</v>
          </cell>
        </row>
        <row r="544">
          <cell r="A544" t="str">
            <v>CJD-S-12-0611</v>
          </cell>
          <cell r="BG544" t="str">
            <v>Montado</v>
          </cell>
        </row>
        <row r="545">
          <cell r="A545" t="str">
            <v>CJD-S-12-0700</v>
          </cell>
          <cell r="BG545" t="str">
            <v>Não Montado</v>
          </cell>
        </row>
        <row r="546">
          <cell r="A546" t="str">
            <v>CJD-S-12-0701</v>
          </cell>
          <cell r="BG546" t="str">
            <v>Montado</v>
          </cell>
        </row>
        <row r="547">
          <cell r="A547" t="str">
            <v>CJD-S-12-0702</v>
          </cell>
          <cell r="BG547" t="str">
            <v>Montado</v>
          </cell>
        </row>
        <row r="548">
          <cell r="A548" t="str">
            <v>CJD-S-12-0703</v>
          </cell>
          <cell r="BG548" t="str">
            <v>Montado</v>
          </cell>
        </row>
        <row r="549">
          <cell r="A549" t="str">
            <v>CJD-S-12-0704</v>
          </cell>
          <cell r="BG549" t="str">
            <v>Montado</v>
          </cell>
        </row>
        <row r="550">
          <cell r="A550" t="str">
            <v>CJD-S-12-0705</v>
          </cell>
          <cell r="BG550" t="str">
            <v>Montado</v>
          </cell>
        </row>
        <row r="551">
          <cell r="A551" t="str">
            <v>CJD-S-12-0706</v>
          </cell>
          <cell r="BG551" t="str">
            <v>Montado</v>
          </cell>
        </row>
        <row r="552">
          <cell r="A552" t="str">
            <v>CJD-S-12-0707</v>
          </cell>
          <cell r="BG552" t="str">
            <v>Montado</v>
          </cell>
        </row>
        <row r="553">
          <cell r="A553" t="str">
            <v>CJD-S-12-0708</v>
          </cell>
          <cell r="BG553" t="str">
            <v>Montado</v>
          </cell>
        </row>
        <row r="554">
          <cell r="A554" t="str">
            <v>CJD-S-12-0709</v>
          </cell>
          <cell r="BG554" t="str">
            <v>Montado</v>
          </cell>
        </row>
        <row r="555">
          <cell r="A555" t="str">
            <v>CJD-S-12-0710</v>
          </cell>
          <cell r="BG555" t="str">
            <v>Montado</v>
          </cell>
        </row>
        <row r="556">
          <cell r="A556" t="str">
            <v>CJD-S-12-0711</v>
          </cell>
          <cell r="BG556" t="str">
            <v>Montado</v>
          </cell>
        </row>
        <row r="557">
          <cell r="A557" t="str">
            <v>CJD-S-12-0800</v>
          </cell>
          <cell r="BG557" t="str">
            <v>Não Montado</v>
          </cell>
        </row>
        <row r="558">
          <cell r="A558" t="str">
            <v>CJD-X-12-0001</v>
          </cell>
          <cell r="BG558" t="str">
            <v>Montado</v>
          </cell>
        </row>
        <row r="559">
          <cell r="A559" t="str">
            <v>CJD-X-12-0002</v>
          </cell>
          <cell r="BG559" t="str">
            <v>Montado</v>
          </cell>
        </row>
        <row r="560">
          <cell r="A560" t="str">
            <v>CJD-X-12-0003</v>
          </cell>
          <cell r="BG560" t="str">
            <v>Montado</v>
          </cell>
        </row>
        <row r="561">
          <cell r="A561" t="str">
            <v>CJD-X-12-0004</v>
          </cell>
          <cell r="BG561" t="str">
            <v>Montado</v>
          </cell>
        </row>
        <row r="562">
          <cell r="A562" t="str">
            <v>CJD-X-12-0005</v>
          </cell>
          <cell r="BG562" t="str">
            <v>Montado</v>
          </cell>
        </row>
        <row r="563">
          <cell r="A563" t="str">
            <v>CJD-X-12-0006</v>
          </cell>
          <cell r="BG563" t="str">
            <v>Montado</v>
          </cell>
        </row>
        <row r="564">
          <cell r="A564" t="str">
            <v>CJD-X-12-0007</v>
          </cell>
          <cell r="BG564" t="str">
            <v>Montado</v>
          </cell>
        </row>
        <row r="565">
          <cell r="A565" t="str">
            <v>CJP-12-0600</v>
          </cell>
          <cell r="BG565" t="str">
            <v>Montado</v>
          </cell>
        </row>
        <row r="566">
          <cell r="A566" t="str">
            <v>CJP-12-0601</v>
          </cell>
          <cell r="BG566" t="str">
            <v>Montado</v>
          </cell>
        </row>
        <row r="567">
          <cell r="A567" t="str">
            <v>CJP-12-0602</v>
          </cell>
          <cell r="BG567" t="str">
            <v>Montado</v>
          </cell>
        </row>
        <row r="568">
          <cell r="A568" t="str">
            <v>CJP-12-0700</v>
          </cell>
          <cell r="BG568" t="str">
            <v>Montado</v>
          </cell>
        </row>
        <row r="569">
          <cell r="A569" t="str">
            <v>CJP-12-0701</v>
          </cell>
          <cell r="BG569" t="str">
            <v>Montado</v>
          </cell>
        </row>
        <row r="570">
          <cell r="A570" t="str">
            <v>CJP-12-1301</v>
          </cell>
          <cell r="BG570" t="str">
            <v>Não Montado</v>
          </cell>
        </row>
        <row r="571">
          <cell r="A571" t="str">
            <v>CJP-12-1401</v>
          </cell>
          <cell r="BG571" t="str">
            <v>Não Montado</v>
          </cell>
        </row>
        <row r="572">
          <cell r="A572" t="str">
            <v>CJP-S-12-0600</v>
          </cell>
          <cell r="BG572" t="str">
            <v>Montado</v>
          </cell>
        </row>
        <row r="573">
          <cell r="A573" t="str">
            <v>CJP-S-12-0601</v>
          </cell>
          <cell r="BG573" t="str">
            <v>Montado</v>
          </cell>
        </row>
        <row r="574">
          <cell r="A574" t="str">
            <v>CJP-S-12-0602</v>
          </cell>
          <cell r="BG574" t="str">
            <v>Montado</v>
          </cell>
        </row>
        <row r="575">
          <cell r="A575" t="str">
            <v>CJP-X-12-0002</v>
          </cell>
          <cell r="BG575" t="str">
            <v>Montado</v>
          </cell>
        </row>
        <row r="576">
          <cell r="A576" t="str">
            <v>CJP-X-12-0003</v>
          </cell>
          <cell r="BG576" t="str">
            <v>Montado</v>
          </cell>
        </row>
        <row r="577">
          <cell r="A577" t="str">
            <v>CJP-X-12-0004</v>
          </cell>
          <cell r="BG577" t="str">
            <v>Montado</v>
          </cell>
        </row>
        <row r="578">
          <cell r="A578" t="str">
            <v>CJP-X-12-0005</v>
          </cell>
          <cell r="BG578" t="str">
            <v>Montado</v>
          </cell>
        </row>
        <row r="579">
          <cell r="A579" t="str">
            <v>CJP-X-12-0006</v>
          </cell>
          <cell r="BG579" t="str">
            <v>Montado</v>
          </cell>
        </row>
        <row r="580">
          <cell r="A580" t="str">
            <v>CJP-X-12-0007</v>
          </cell>
          <cell r="BG580" t="str">
            <v>Montado</v>
          </cell>
        </row>
        <row r="581">
          <cell r="A581" t="str">
            <v>CJP-X-12-0008</v>
          </cell>
          <cell r="BG581" t="str">
            <v>Montado</v>
          </cell>
        </row>
        <row r="582">
          <cell r="A582" t="str">
            <v>CJP-X-12-0009</v>
          </cell>
          <cell r="BG582" t="str">
            <v>Montado</v>
          </cell>
        </row>
        <row r="583">
          <cell r="A583" t="str">
            <v>CJT-12-1301</v>
          </cell>
          <cell r="BG583" t="str">
            <v>Não Montado</v>
          </cell>
        </row>
        <row r="584">
          <cell r="A584" t="str">
            <v>CJT-12-1401</v>
          </cell>
          <cell r="BG584" t="str">
            <v>Programar</v>
          </cell>
        </row>
        <row r="585">
          <cell r="A585" t="str">
            <v>CJV-12-005B</v>
          </cell>
          <cell r="BG585" t="str">
            <v>Não Montado</v>
          </cell>
        </row>
        <row r="586">
          <cell r="A586" t="str">
            <v>CJV-12-016A</v>
          </cell>
          <cell r="BG586" t="str">
            <v>Não Montado</v>
          </cell>
        </row>
        <row r="587">
          <cell r="A587" t="str">
            <v>CJV-12-016B</v>
          </cell>
          <cell r="BG587" t="str">
            <v>Não Montado</v>
          </cell>
        </row>
        <row r="588">
          <cell r="A588" t="str">
            <v>CJV-12-0250</v>
          </cell>
          <cell r="BG588" t="str">
            <v>Não Montado</v>
          </cell>
        </row>
        <row r="589">
          <cell r="A589" t="str">
            <v>CJV-12-0252</v>
          </cell>
          <cell r="BG589" t="str">
            <v>Não Montado</v>
          </cell>
        </row>
        <row r="590">
          <cell r="A590" t="str">
            <v>CJV-12-0254</v>
          </cell>
          <cell r="BG590" t="str">
            <v>Não Montado</v>
          </cell>
        </row>
        <row r="591">
          <cell r="A591" t="str">
            <v>CJV-12-027B</v>
          </cell>
          <cell r="BG591" t="str">
            <v>Não Montado</v>
          </cell>
        </row>
        <row r="592">
          <cell r="A592" t="str">
            <v>CJV-12-0950</v>
          </cell>
          <cell r="BG592" t="str">
            <v>Não Montado</v>
          </cell>
        </row>
        <row r="593">
          <cell r="A593" t="str">
            <v>CJV-12-0951</v>
          </cell>
          <cell r="BG593" t="str">
            <v>Não Montado</v>
          </cell>
        </row>
        <row r="594">
          <cell r="A594" t="str">
            <v>CJV-12-0953</v>
          </cell>
          <cell r="BG594" t="str">
            <v>Não Montado</v>
          </cell>
        </row>
        <row r="595">
          <cell r="A595" t="str">
            <v>CJV-12-0954</v>
          </cell>
          <cell r="BG595" t="str">
            <v>Não Montado</v>
          </cell>
        </row>
        <row r="596">
          <cell r="A596" t="str">
            <v>CJV-12-0955</v>
          </cell>
          <cell r="BG596" t="str">
            <v>Não Montado</v>
          </cell>
        </row>
        <row r="597">
          <cell r="A597" t="str">
            <v>CJV-12-0957</v>
          </cell>
          <cell r="BG597" t="str">
            <v>Não Montado</v>
          </cell>
        </row>
        <row r="598">
          <cell r="A598" t="str">
            <v>CJV-12-0958</v>
          </cell>
          <cell r="BG598" t="str">
            <v>Não Montado</v>
          </cell>
        </row>
        <row r="599">
          <cell r="A599" t="str">
            <v>CJV-12-0959</v>
          </cell>
          <cell r="BG599" t="str">
            <v>Não Montado</v>
          </cell>
        </row>
        <row r="600">
          <cell r="A600" t="str">
            <v>CJV-12-0961</v>
          </cell>
          <cell r="BG600" t="str">
            <v>Não Montado</v>
          </cell>
        </row>
        <row r="601">
          <cell r="A601" t="str">
            <v>CJV-12-0962</v>
          </cell>
          <cell r="BG601" t="str">
            <v>Não Montado</v>
          </cell>
        </row>
        <row r="602">
          <cell r="A602" t="str">
            <v>CJV-12-0964</v>
          </cell>
          <cell r="BG602" t="str">
            <v>Não Montado</v>
          </cell>
        </row>
        <row r="603">
          <cell r="A603" t="str">
            <v>CJV-12-0965</v>
          </cell>
          <cell r="BG603" t="str">
            <v>Não Montado</v>
          </cell>
        </row>
        <row r="604">
          <cell r="A604" t="str">
            <v>CJV-12-0966</v>
          </cell>
          <cell r="BG604" t="str">
            <v>Não Montado</v>
          </cell>
        </row>
        <row r="605">
          <cell r="A605" t="str">
            <v>CJV-12-0967</v>
          </cell>
          <cell r="BG605" t="str">
            <v>Não Montado</v>
          </cell>
        </row>
        <row r="606">
          <cell r="A606" t="str">
            <v>CJV-12-0968</v>
          </cell>
          <cell r="BG606" t="str">
            <v>Não Montado</v>
          </cell>
        </row>
        <row r="607">
          <cell r="A607" t="str">
            <v>CJV-12-0969</v>
          </cell>
          <cell r="BG607" t="str">
            <v>Não Montado</v>
          </cell>
        </row>
        <row r="608">
          <cell r="A608" t="str">
            <v>CJV-12-0970</v>
          </cell>
          <cell r="BG608" t="str">
            <v>Não Montado</v>
          </cell>
        </row>
        <row r="609">
          <cell r="A609" t="str">
            <v>CJV-12-0971</v>
          </cell>
          <cell r="BG609" t="str">
            <v>Não Montado</v>
          </cell>
        </row>
        <row r="610">
          <cell r="A610" t="str">
            <v>CJV-12-0972</v>
          </cell>
          <cell r="BG610" t="str">
            <v>Não Montado</v>
          </cell>
        </row>
        <row r="611">
          <cell r="A611" t="str">
            <v>CJV-12-0973</v>
          </cell>
          <cell r="BG611" t="str">
            <v>Não Montado</v>
          </cell>
        </row>
        <row r="612">
          <cell r="A612" t="str">
            <v>CJV-12-0974</v>
          </cell>
          <cell r="BG612" t="str">
            <v>Não Montado</v>
          </cell>
        </row>
        <row r="613">
          <cell r="A613" t="str">
            <v>CJV-12-0975</v>
          </cell>
          <cell r="BG613" t="str">
            <v>Não Montado</v>
          </cell>
        </row>
        <row r="614">
          <cell r="A614" t="str">
            <v>CJV-12-0976</v>
          </cell>
          <cell r="BG614" t="str">
            <v>Não Montado</v>
          </cell>
        </row>
        <row r="615">
          <cell r="A615" t="str">
            <v>CJV-12-0977</v>
          </cell>
          <cell r="BG615" t="str">
            <v>Não Montado</v>
          </cell>
        </row>
        <row r="616">
          <cell r="A616" t="str">
            <v>CJV-12-0978</v>
          </cell>
          <cell r="BG616" t="str">
            <v>Não Montado</v>
          </cell>
        </row>
        <row r="617">
          <cell r="A617" t="str">
            <v>CJV-12-0979</v>
          </cell>
          <cell r="BG617" t="str">
            <v>Não Montado</v>
          </cell>
        </row>
        <row r="618">
          <cell r="A618" t="str">
            <v>CJV-12-0980</v>
          </cell>
          <cell r="BG618" t="str">
            <v>Não Montado</v>
          </cell>
        </row>
        <row r="619">
          <cell r="A619" t="str">
            <v>CJV-12-0981</v>
          </cell>
          <cell r="BG619" t="str">
            <v>Não Montado</v>
          </cell>
        </row>
        <row r="620">
          <cell r="A620" t="str">
            <v>CJV-12-0982</v>
          </cell>
          <cell r="BG620" t="str">
            <v>Não Montado</v>
          </cell>
        </row>
        <row r="621">
          <cell r="A621" t="str">
            <v>CJV-12-0983</v>
          </cell>
          <cell r="BG621" t="str">
            <v>Não Montado</v>
          </cell>
        </row>
        <row r="622">
          <cell r="A622" t="str">
            <v>CJV-12-0984</v>
          </cell>
          <cell r="BG622" t="str">
            <v>Não Montado</v>
          </cell>
        </row>
        <row r="623">
          <cell r="A623" t="str">
            <v>CJV-12-0985</v>
          </cell>
          <cell r="BG623" t="str">
            <v>Não Montado</v>
          </cell>
        </row>
        <row r="624">
          <cell r="A624" t="str">
            <v>CJV-12-0986</v>
          </cell>
          <cell r="BG624" t="str">
            <v>Não Montado</v>
          </cell>
        </row>
        <row r="625">
          <cell r="A625" t="str">
            <v>CJV-12-0987</v>
          </cell>
          <cell r="BG625" t="str">
            <v>Não Montado</v>
          </cell>
        </row>
        <row r="626">
          <cell r="A626" t="str">
            <v>CJV-12-0988</v>
          </cell>
          <cell r="BG626" t="str">
            <v>Não Montado</v>
          </cell>
        </row>
        <row r="627">
          <cell r="A627" t="str">
            <v>CJV-12-0989</v>
          </cell>
          <cell r="BG627" t="str">
            <v>Não Montado</v>
          </cell>
        </row>
        <row r="628">
          <cell r="A628" t="str">
            <v>CJV-12-0990</v>
          </cell>
          <cell r="BG628" t="str">
            <v>Não Montado</v>
          </cell>
        </row>
        <row r="629">
          <cell r="A629" t="str">
            <v>CJV-12-0991</v>
          </cell>
          <cell r="BG629" t="str">
            <v>Não Montado</v>
          </cell>
        </row>
        <row r="630">
          <cell r="A630" t="str">
            <v>CJV-12-0994</v>
          </cell>
          <cell r="BG630" t="str">
            <v>Não Montado</v>
          </cell>
        </row>
        <row r="631">
          <cell r="A631" t="str">
            <v>CJV-12-0996</v>
          </cell>
          <cell r="BG631" t="str">
            <v>Não Montado</v>
          </cell>
        </row>
        <row r="632">
          <cell r="A632" t="str">
            <v>CJV-12-0997</v>
          </cell>
          <cell r="BG632" t="str">
            <v>Não Montado</v>
          </cell>
        </row>
        <row r="633">
          <cell r="A633" t="str">
            <v>CJV-12-0998</v>
          </cell>
          <cell r="BG633" t="str">
            <v>Não Montado</v>
          </cell>
        </row>
        <row r="634">
          <cell r="A634" t="str">
            <v>CJV-12-0999</v>
          </cell>
          <cell r="BG634" t="str">
            <v>Não Montado</v>
          </cell>
        </row>
        <row r="635">
          <cell r="A635" t="str">
            <v>CJV-12-2001</v>
          </cell>
          <cell r="BG635" t="str">
            <v>Não Montado</v>
          </cell>
        </row>
        <row r="636">
          <cell r="A636" t="str">
            <v>CJV-12-2003</v>
          </cell>
          <cell r="BG636" t="str">
            <v>Não Montado</v>
          </cell>
        </row>
        <row r="637">
          <cell r="A637" t="str">
            <v>EIT-120800</v>
          </cell>
          <cell r="BG637" t="str">
            <v>Não Montado</v>
          </cell>
        </row>
        <row r="638">
          <cell r="A638" t="str">
            <v>EIT-120801</v>
          </cell>
          <cell r="BG638" t="str">
            <v>Não Montado</v>
          </cell>
        </row>
        <row r="639">
          <cell r="A639" t="str">
            <v>EIT-120802</v>
          </cell>
          <cell r="BG639" t="str">
            <v>Não Montado</v>
          </cell>
        </row>
        <row r="640">
          <cell r="A640" t="str">
            <v>EIT-120803</v>
          </cell>
          <cell r="BG640" t="str">
            <v>Não Montado</v>
          </cell>
        </row>
        <row r="641">
          <cell r="A641" t="str">
            <v>EIT-120804</v>
          </cell>
          <cell r="BG641" t="str">
            <v>Não Montado</v>
          </cell>
        </row>
        <row r="642">
          <cell r="A642" t="str">
            <v>EIT-120805</v>
          </cell>
          <cell r="BG642" t="str">
            <v>Não Montado</v>
          </cell>
        </row>
        <row r="643">
          <cell r="A643" t="str">
            <v>EIT-120806</v>
          </cell>
          <cell r="BG643" t="str">
            <v>Não Montado</v>
          </cell>
        </row>
        <row r="644">
          <cell r="A644" t="str">
            <v>EIT-120807</v>
          </cell>
          <cell r="BG644" t="str">
            <v>Não Montado</v>
          </cell>
        </row>
        <row r="645">
          <cell r="A645" t="str">
            <v>EIT-120808</v>
          </cell>
          <cell r="BG645" t="str">
            <v>Não Montado</v>
          </cell>
        </row>
        <row r="646">
          <cell r="A646" t="str">
            <v>EIT-120809</v>
          </cell>
          <cell r="BG646" t="str">
            <v>Não Montado</v>
          </cell>
        </row>
        <row r="647">
          <cell r="A647" t="str">
            <v>EIT-120810</v>
          </cell>
          <cell r="BG647" t="str">
            <v>Não Montado</v>
          </cell>
        </row>
        <row r="648">
          <cell r="A648" t="str">
            <v>EIT-120811</v>
          </cell>
          <cell r="BG648" t="str">
            <v>Não Montado</v>
          </cell>
        </row>
        <row r="649">
          <cell r="A649" t="str">
            <v>ESD-120800</v>
          </cell>
          <cell r="BG649" t="str">
            <v>Não Montado</v>
          </cell>
        </row>
        <row r="650">
          <cell r="A650" t="str">
            <v>ESD-120801</v>
          </cell>
          <cell r="BG650" t="str">
            <v>Não Montado</v>
          </cell>
        </row>
        <row r="651">
          <cell r="A651" t="str">
            <v>ESD-120802</v>
          </cell>
          <cell r="BG651" t="str">
            <v>Não Montado</v>
          </cell>
        </row>
        <row r="652">
          <cell r="A652" t="str">
            <v>ESD-120803</v>
          </cell>
          <cell r="BG652" t="str">
            <v>Não Montado</v>
          </cell>
        </row>
        <row r="653">
          <cell r="A653" t="str">
            <v>FCV-120951</v>
          </cell>
          <cell r="BG653" t="str">
            <v>Não Montado</v>
          </cell>
        </row>
        <row r="654">
          <cell r="A654" t="str">
            <v>FCV-120952</v>
          </cell>
          <cell r="BG654" t="str">
            <v>Não Montado</v>
          </cell>
        </row>
        <row r="655">
          <cell r="A655" t="str">
            <v>FCV-120953</v>
          </cell>
          <cell r="BG655" t="str">
            <v>Não Montado</v>
          </cell>
        </row>
        <row r="656">
          <cell r="A656" t="str">
            <v>FCV-120954</v>
          </cell>
          <cell r="BG656" t="str">
            <v>Não Montado</v>
          </cell>
        </row>
        <row r="657">
          <cell r="A657" t="str">
            <v>FCV-120955</v>
          </cell>
          <cell r="BG657" t="str">
            <v>Não Montado</v>
          </cell>
        </row>
        <row r="658">
          <cell r="A658" t="str">
            <v>FCV-120979</v>
          </cell>
          <cell r="BG658" t="str">
            <v>Não Montado</v>
          </cell>
        </row>
        <row r="659">
          <cell r="A659" t="str">
            <v>FCV-120980</v>
          </cell>
          <cell r="BG659" t="str">
            <v>Não Montado</v>
          </cell>
        </row>
        <row r="660">
          <cell r="A660" t="str">
            <v>FE-120003</v>
          </cell>
          <cell r="BG660" t="str">
            <v>Programar</v>
          </cell>
        </row>
        <row r="661">
          <cell r="A661" t="str">
            <v>FE-120004</v>
          </cell>
          <cell r="BG661" t="str">
            <v>Programar</v>
          </cell>
        </row>
        <row r="662">
          <cell r="A662" t="str">
            <v>FE-120005</v>
          </cell>
          <cell r="BG662" t="str">
            <v>Programar</v>
          </cell>
        </row>
        <row r="663">
          <cell r="A663" t="str">
            <v>FE-120009</v>
          </cell>
          <cell r="BG663" t="str">
            <v>Programar</v>
          </cell>
        </row>
        <row r="664">
          <cell r="A664" t="str">
            <v>FE-120010</v>
          </cell>
          <cell r="BG664" t="str">
            <v>Programar</v>
          </cell>
        </row>
        <row r="665">
          <cell r="A665" t="str">
            <v>FE-120011</v>
          </cell>
          <cell r="BG665" t="str">
            <v>Programar</v>
          </cell>
        </row>
        <row r="666">
          <cell r="A666" t="str">
            <v>FE-120012</v>
          </cell>
          <cell r="BG666" t="str">
            <v>Programar</v>
          </cell>
        </row>
        <row r="667">
          <cell r="A667" t="str">
            <v>FE-120013</v>
          </cell>
          <cell r="BG667" t="str">
            <v>Não Montado</v>
          </cell>
        </row>
        <row r="668">
          <cell r="A668" t="str">
            <v>FE-120014</v>
          </cell>
          <cell r="BG668" t="str">
            <v>Não Montado</v>
          </cell>
        </row>
        <row r="669">
          <cell r="A669" t="str">
            <v>FE-120015</v>
          </cell>
          <cell r="BG669" t="str">
            <v>Não Montado</v>
          </cell>
        </row>
        <row r="670">
          <cell r="A670" t="str">
            <v>FE-120016</v>
          </cell>
          <cell r="BG670" t="str">
            <v>Não Montado</v>
          </cell>
        </row>
        <row r="671">
          <cell r="A671" t="str">
            <v>FE-120017</v>
          </cell>
          <cell r="BG671" t="str">
            <v>Programar</v>
          </cell>
        </row>
        <row r="672">
          <cell r="A672" t="str">
            <v>FE-120018</v>
          </cell>
          <cell r="BG672" t="str">
            <v>Programar</v>
          </cell>
        </row>
        <row r="673">
          <cell r="A673" t="str">
            <v>FE-120019</v>
          </cell>
          <cell r="BG673" t="str">
            <v>Programar</v>
          </cell>
        </row>
        <row r="674">
          <cell r="A674" t="str">
            <v>FE-120020</v>
          </cell>
          <cell r="BG674" t="str">
            <v>Programar</v>
          </cell>
        </row>
        <row r="675">
          <cell r="A675" t="str">
            <v>FE-120021</v>
          </cell>
          <cell r="BG675" t="str">
            <v>Programar</v>
          </cell>
        </row>
        <row r="676">
          <cell r="A676" t="str">
            <v>FE-120022</v>
          </cell>
          <cell r="BG676" t="str">
            <v>Programar</v>
          </cell>
        </row>
        <row r="677">
          <cell r="A677" t="str">
            <v>FE-120023</v>
          </cell>
          <cell r="BG677" t="str">
            <v>Programar</v>
          </cell>
        </row>
        <row r="678">
          <cell r="A678" t="str">
            <v>FE-120024</v>
          </cell>
          <cell r="BG678" t="str">
            <v>Programar</v>
          </cell>
        </row>
        <row r="679">
          <cell r="A679" t="str">
            <v>FE-120025</v>
          </cell>
          <cell r="BG679" t="str">
            <v>Programar</v>
          </cell>
        </row>
        <row r="680">
          <cell r="A680" t="str">
            <v>FE-120026</v>
          </cell>
          <cell r="BG680" t="str">
            <v>Programar</v>
          </cell>
        </row>
        <row r="681">
          <cell r="A681" t="str">
            <v>FE-120027</v>
          </cell>
          <cell r="BG681" t="str">
            <v>Não Montado</v>
          </cell>
        </row>
        <row r="682">
          <cell r="A682" t="str">
            <v>FE-120028</v>
          </cell>
          <cell r="BG682" t="str">
            <v>Programar</v>
          </cell>
        </row>
        <row r="683">
          <cell r="A683" t="str">
            <v>FE-120029</v>
          </cell>
          <cell r="BG683" t="str">
            <v>Programar</v>
          </cell>
        </row>
        <row r="684">
          <cell r="A684" t="str">
            <v>FE-120030</v>
          </cell>
          <cell r="BG684" t="str">
            <v>Programar</v>
          </cell>
        </row>
        <row r="685">
          <cell r="A685" t="str">
            <v>FE-120031</v>
          </cell>
          <cell r="BG685" t="str">
            <v>Programar</v>
          </cell>
        </row>
        <row r="686">
          <cell r="A686" t="str">
            <v>FE-120032</v>
          </cell>
          <cell r="BG686" t="str">
            <v>Programar</v>
          </cell>
        </row>
        <row r="687">
          <cell r="A687" t="str">
            <v>FE-120033</v>
          </cell>
          <cell r="BG687" t="str">
            <v>Não Montado</v>
          </cell>
        </row>
        <row r="688">
          <cell r="A688" t="str">
            <v>FE-120034</v>
          </cell>
          <cell r="BG688" t="str">
            <v>Programar</v>
          </cell>
        </row>
        <row r="689">
          <cell r="A689" t="str">
            <v>FE-120035</v>
          </cell>
          <cell r="BG689" t="str">
            <v>Programar</v>
          </cell>
        </row>
        <row r="690">
          <cell r="A690" t="str">
            <v>FE-120036</v>
          </cell>
          <cell r="BG690" t="str">
            <v>Não Montado</v>
          </cell>
        </row>
        <row r="691">
          <cell r="A691" t="str">
            <v>FE-120037</v>
          </cell>
          <cell r="BG691" t="str">
            <v>Programar</v>
          </cell>
        </row>
        <row r="692">
          <cell r="A692" t="str">
            <v>FE-120038</v>
          </cell>
          <cell r="BG692" t="str">
            <v>Não Montado</v>
          </cell>
        </row>
        <row r="693">
          <cell r="A693" t="str">
            <v>FE-120039</v>
          </cell>
          <cell r="BG693" t="str">
            <v>Programar</v>
          </cell>
        </row>
        <row r="694">
          <cell r="A694" t="str">
            <v>FE-120040</v>
          </cell>
          <cell r="BG694" t="str">
            <v>Programar</v>
          </cell>
        </row>
        <row r="695">
          <cell r="A695" t="str">
            <v>FE-120042</v>
          </cell>
          <cell r="BG695" t="str">
            <v>Programar</v>
          </cell>
        </row>
        <row r="696">
          <cell r="A696" t="str">
            <v>FE-120043</v>
          </cell>
          <cell r="BG696" t="str">
            <v>Não Montado</v>
          </cell>
        </row>
        <row r="697">
          <cell r="A697" t="str">
            <v>FE-120047</v>
          </cell>
          <cell r="BG697" t="str">
            <v>Programar</v>
          </cell>
        </row>
        <row r="698">
          <cell r="A698" t="str">
            <v>FE-120048</v>
          </cell>
          <cell r="BG698" t="str">
            <v>Programar</v>
          </cell>
        </row>
        <row r="699">
          <cell r="A699" t="str">
            <v>FE-120049</v>
          </cell>
          <cell r="BG699" t="str">
            <v>Não Montado</v>
          </cell>
        </row>
        <row r="700">
          <cell r="A700" t="str">
            <v>FE-120050</v>
          </cell>
          <cell r="BG700" t="str">
            <v>Não Montado</v>
          </cell>
        </row>
        <row r="701">
          <cell r="A701" t="str">
            <v>FE-120053</v>
          </cell>
          <cell r="BG701" t="str">
            <v>Não Montado</v>
          </cell>
        </row>
        <row r="702">
          <cell r="A702" t="str">
            <v>FE-120054</v>
          </cell>
          <cell r="BG702" t="str">
            <v>Não Montado</v>
          </cell>
        </row>
        <row r="703">
          <cell r="A703" t="str">
            <v>FE-120055</v>
          </cell>
          <cell r="BG703" t="str">
            <v>Não Montado</v>
          </cell>
        </row>
        <row r="704">
          <cell r="A704" t="str">
            <v>FE-120058</v>
          </cell>
          <cell r="BG704" t="str">
            <v>Programar</v>
          </cell>
        </row>
        <row r="705">
          <cell r="A705" t="str">
            <v>FE-120062</v>
          </cell>
          <cell r="BG705" t="str">
            <v>Não Montado</v>
          </cell>
        </row>
        <row r="706">
          <cell r="A706" t="str">
            <v>FE-120063</v>
          </cell>
          <cell r="BG706" t="str">
            <v>Não Montado</v>
          </cell>
        </row>
        <row r="707">
          <cell r="A707" t="str">
            <v>FE-120065</v>
          </cell>
          <cell r="BG707" t="str">
            <v>Programar</v>
          </cell>
        </row>
        <row r="708">
          <cell r="A708" t="str">
            <v>FE-120066</v>
          </cell>
          <cell r="BG708" t="str">
            <v>Programar</v>
          </cell>
        </row>
        <row r="709">
          <cell r="A709" t="str">
            <v>FE-120067</v>
          </cell>
          <cell r="BG709" t="str">
            <v>Programar</v>
          </cell>
        </row>
        <row r="710">
          <cell r="A710" t="str">
            <v>FE-120071</v>
          </cell>
          <cell r="BG710" t="str">
            <v>Programar</v>
          </cell>
        </row>
        <row r="711">
          <cell r="A711" t="str">
            <v>FE-120072</v>
          </cell>
          <cell r="BG711" t="str">
            <v>Programar</v>
          </cell>
        </row>
        <row r="712">
          <cell r="A712" t="str">
            <v>FE-120090</v>
          </cell>
          <cell r="BG712" t="str">
            <v>Programar</v>
          </cell>
        </row>
        <row r="713">
          <cell r="A713" t="str">
            <v>FE-120091</v>
          </cell>
          <cell r="BG713" t="str">
            <v>Programar</v>
          </cell>
        </row>
        <row r="714">
          <cell r="A714" t="str">
            <v>FE-120092</v>
          </cell>
          <cell r="BG714" t="str">
            <v>Programar</v>
          </cell>
        </row>
        <row r="715">
          <cell r="A715" t="str">
            <v>FE-120093A</v>
          </cell>
          <cell r="BG715" t="str">
            <v>Não Montado</v>
          </cell>
        </row>
        <row r="716">
          <cell r="A716" t="str">
            <v>FE-120093B</v>
          </cell>
          <cell r="BG716" t="str">
            <v>Não Montado</v>
          </cell>
        </row>
        <row r="717">
          <cell r="A717" t="str">
            <v>FE-120094A</v>
          </cell>
          <cell r="BG717" t="str">
            <v>Programar</v>
          </cell>
        </row>
        <row r="718">
          <cell r="A718" t="str">
            <v>FE-120094B</v>
          </cell>
          <cell r="BG718" t="str">
            <v>Programar</v>
          </cell>
        </row>
        <row r="719">
          <cell r="A719" t="str">
            <v>FE-120095</v>
          </cell>
          <cell r="BG719" t="str">
            <v>Programar</v>
          </cell>
        </row>
        <row r="720">
          <cell r="A720" t="str">
            <v>FE-120096</v>
          </cell>
          <cell r="BG720" t="str">
            <v>Programar</v>
          </cell>
        </row>
        <row r="721">
          <cell r="A721" t="str">
            <v>FE-120410</v>
          </cell>
          <cell r="BG721" t="str">
            <v>Programar</v>
          </cell>
        </row>
        <row r="722">
          <cell r="A722" t="str">
            <v>FE-120411</v>
          </cell>
          <cell r="BG722" t="str">
            <v>Programar</v>
          </cell>
        </row>
        <row r="723">
          <cell r="A723" t="str">
            <v>FE-120412</v>
          </cell>
          <cell r="BG723" t="str">
            <v>Programar</v>
          </cell>
        </row>
        <row r="724">
          <cell r="A724" t="str">
            <v>FE-120413</v>
          </cell>
          <cell r="BG724" t="str">
            <v>Programar</v>
          </cell>
        </row>
        <row r="725">
          <cell r="A725" t="str">
            <v>FE-120414</v>
          </cell>
          <cell r="BG725" t="str">
            <v>Não Montado</v>
          </cell>
        </row>
        <row r="726">
          <cell r="A726" t="str">
            <v>FE-120417</v>
          </cell>
          <cell r="BG726" t="str">
            <v>Programar</v>
          </cell>
        </row>
        <row r="727">
          <cell r="A727" t="str">
            <v>FE-120422</v>
          </cell>
          <cell r="BG727" t="str">
            <v>Não Montado</v>
          </cell>
        </row>
        <row r="728">
          <cell r="A728" t="str">
            <v>FE-120423</v>
          </cell>
          <cell r="BG728" t="str">
            <v>Não Montado</v>
          </cell>
        </row>
        <row r="729">
          <cell r="A729" t="str">
            <v>FE-120600</v>
          </cell>
          <cell r="BG729" t="str">
            <v>Não Montado</v>
          </cell>
        </row>
        <row r="730">
          <cell r="A730" t="str">
            <v>FE-120604</v>
          </cell>
          <cell r="BG730" t="str">
            <v>Não Montado</v>
          </cell>
        </row>
        <row r="731">
          <cell r="A731" t="str">
            <v>FE-120607</v>
          </cell>
          <cell r="BG731" t="str">
            <v>Não Montado</v>
          </cell>
        </row>
        <row r="732">
          <cell r="A732" t="str">
            <v>FE-120608A</v>
          </cell>
          <cell r="BG732" t="str">
            <v>Não Montado</v>
          </cell>
        </row>
        <row r="733">
          <cell r="A733" t="str">
            <v>FE-120608B</v>
          </cell>
          <cell r="BG733" t="str">
            <v>Não Montado</v>
          </cell>
        </row>
        <row r="734">
          <cell r="A734" t="str">
            <v>FE-120608C</v>
          </cell>
          <cell r="BG734" t="str">
            <v>Não Montado</v>
          </cell>
        </row>
        <row r="735">
          <cell r="A735" t="str">
            <v>FE-120608D</v>
          </cell>
          <cell r="BG735" t="str">
            <v>Não Montado</v>
          </cell>
        </row>
        <row r="736">
          <cell r="A736" t="str">
            <v>FE-120700</v>
          </cell>
          <cell r="BG736" t="str">
            <v>Não Montado</v>
          </cell>
        </row>
        <row r="737">
          <cell r="A737" t="str">
            <v>FE-120704</v>
          </cell>
          <cell r="BG737" t="str">
            <v>Não Montado</v>
          </cell>
        </row>
        <row r="738">
          <cell r="A738" t="str">
            <v>FE-120707</v>
          </cell>
          <cell r="BG738" t="str">
            <v>Não Montado</v>
          </cell>
        </row>
        <row r="739">
          <cell r="A739" t="str">
            <v>FE-120708A</v>
          </cell>
          <cell r="BG739" t="str">
            <v>Não Montado</v>
          </cell>
        </row>
        <row r="740">
          <cell r="A740" t="str">
            <v>FE-120708B</v>
          </cell>
          <cell r="BG740" t="str">
            <v>Não Montado</v>
          </cell>
        </row>
        <row r="741">
          <cell r="A741" t="str">
            <v>FE-120708C</v>
          </cell>
          <cell r="BG741" t="str">
            <v>Não Montado</v>
          </cell>
        </row>
        <row r="742">
          <cell r="A742" t="str">
            <v>FE-120708D</v>
          </cell>
          <cell r="BG742" t="str">
            <v>Não Montado</v>
          </cell>
        </row>
        <row r="743">
          <cell r="A743" t="str">
            <v>FE-120901</v>
          </cell>
          <cell r="BG743" t="str">
            <v>Não Montado</v>
          </cell>
        </row>
        <row r="744">
          <cell r="A744" t="str">
            <v>FE-120902</v>
          </cell>
          <cell r="BG744" t="str">
            <v>Não Montado</v>
          </cell>
        </row>
        <row r="745">
          <cell r="A745" t="str">
            <v>FE-120903</v>
          </cell>
          <cell r="BG745" t="str">
            <v>Não Montado</v>
          </cell>
        </row>
        <row r="746">
          <cell r="A746" t="str">
            <v>FE-120904</v>
          </cell>
          <cell r="BG746" t="str">
            <v>Não Montado</v>
          </cell>
        </row>
        <row r="747">
          <cell r="A747" t="str">
            <v>FE-120905</v>
          </cell>
          <cell r="BG747" t="str">
            <v>Não Montado</v>
          </cell>
        </row>
        <row r="748">
          <cell r="A748" t="str">
            <v>FE-120906</v>
          </cell>
          <cell r="BG748" t="str">
            <v>Não Montado</v>
          </cell>
        </row>
        <row r="749">
          <cell r="A749" t="str">
            <v>FE-120907</v>
          </cell>
          <cell r="BG749" t="str">
            <v>Não Montado</v>
          </cell>
        </row>
        <row r="750">
          <cell r="A750" t="str">
            <v>FE-120908</v>
          </cell>
          <cell r="BG750" t="str">
            <v>Não Montado</v>
          </cell>
        </row>
        <row r="751">
          <cell r="A751" t="str">
            <v>FE-120909</v>
          </cell>
          <cell r="BG751" t="str">
            <v>Não Montado</v>
          </cell>
        </row>
        <row r="752">
          <cell r="A752" t="str">
            <v>FE-120910</v>
          </cell>
          <cell r="BG752" t="str">
            <v>Não Montado</v>
          </cell>
        </row>
        <row r="753">
          <cell r="A753" t="str">
            <v>FE-120911</v>
          </cell>
          <cell r="BG753" t="str">
            <v>Não Montado</v>
          </cell>
        </row>
        <row r="754">
          <cell r="A754" t="str">
            <v>FE-120912</v>
          </cell>
          <cell r="BG754" t="str">
            <v>Não Montado</v>
          </cell>
        </row>
        <row r="755">
          <cell r="A755" t="str">
            <v>FE-120913</v>
          </cell>
          <cell r="BG755" t="str">
            <v>Não Montado</v>
          </cell>
        </row>
        <row r="756">
          <cell r="A756" t="str">
            <v>FE-120914</v>
          </cell>
          <cell r="BG756" t="str">
            <v>Não Montado</v>
          </cell>
        </row>
        <row r="757">
          <cell r="A757" t="str">
            <v>FE-120915</v>
          </cell>
          <cell r="BG757" t="str">
            <v>Não Montado</v>
          </cell>
        </row>
        <row r="758">
          <cell r="A758" t="str">
            <v>FE-120916</v>
          </cell>
          <cell r="BG758" t="str">
            <v>Não Montado</v>
          </cell>
        </row>
        <row r="759">
          <cell r="A759" t="str">
            <v>FE-120917</v>
          </cell>
          <cell r="BG759" t="str">
            <v>Não Montado</v>
          </cell>
        </row>
        <row r="760">
          <cell r="A760" t="str">
            <v>FE-120918</v>
          </cell>
          <cell r="BG760" t="str">
            <v>Não Montado</v>
          </cell>
        </row>
        <row r="761">
          <cell r="A761" t="str">
            <v>FE-120919</v>
          </cell>
          <cell r="BG761" t="str">
            <v>Não Montado</v>
          </cell>
        </row>
        <row r="762">
          <cell r="A762" t="str">
            <v>FE-120920</v>
          </cell>
          <cell r="BG762" t="str">
            <v>Não Montado</v>
          </cell>
        </row>
        <row r="763">
          <cell r="A763" t="str">
            <v>FE-120921</v>
          </cell>
          <cell r="BG763" t="str">
            <v>Não Montado</v>
          </cell>
        </row>
        <row r="764">
          <cell r="A764" t="str">
            <v>FE-120922</v>
          </cell>
          <cell r="BG764" t="str">
            <v>Não Montado</v>
          </cell>
        </row>
        <row r="765">
          <cell r="A765" t="str">
            <v>FE-120923</v>
          </cell>
          <cell r="BG765" t="str">
            <v>Não Montado</v>
          </cell>
        </row>
        <row r="766">
          <cell r="A766" t="str">
            <v>FE-120924</v>
          </cell>
          <cell r="BG766" t="str">
            <v>Não Montado</v>
          </cell>
        </row>
        <row r="767">
          <cell r="A767" t="str">
            <v>FE-120925</v>
          </cell>
          <cell r="BG767" t="str">
            <v>Não Montado</v>
          </cell>
        </row>
        <row r="768">
          <cell r="A768" t="str">
            <v>FE-120926</v>
          </cell>
          <cell r="BG768" t="str">
            <v>Não Montado</v>
          </cell>
        </row>
        <row r="769">
          <cell r="A769" t="str">
            <v>FE-120927</v>
          </cell>
          <cell r="BG769" t="str">
            <v>Não Montado</v>
          </cell>
        </row>
        <row r="770">
          <cell r="A770" t="str">
            <v>FE-120928</v>
          </cell>
          <cell r="BG770" t="str">
            <v>Não Montado</v>
          </cell>
        </row>
        <row r="771">
          <cell r="A771" t="str">
            <v>FE-120929</v>
          </cell>
          <cell r="BG771" t="str">
            <v>Não Montado</v>
          </cell>
        </row>
        <row r="772">
          <cell r="A772" t="str">
            <v>FE-120930</v>
          </cell>
          <cell r="BG772" t="str">
            <v>Não Montado</v>
          </cell>
        </row>
        <row r="773">
          <cell r="A773" t="str">
            <v>FE-120931</v>
          </cell>
          <cell r="BG773" t="str">
            <v>Não Montado</v>
          </cell>
        </row>
        <row r="774">
          <cell r="A774" t="str">
            <v>FE-120932</v>
          </cell>
          <cell r="BG774" t="str">
            <v>Não Montado</v>
          </cell>
        </row>
        <row r="775">
          <cell r="A775" t="str">
            <v>FE-120933</v>
          </cell>
          <cell r="BG775" t="str">
            <v>Não Montado</v>
          </cell>
        </row>
        <row r="776">
          <cell r="A776" t="str">
            <v>FE-120934</v>
          </cell>
          <cell r="BG776" t="str">
            <v>Não Montado</v>
          </cell>
        </row>
        <row r="777">
          <cell r="A777" t="str">
            <v>FE-120935</v>
          </cell>
          <cell r="BG777" t="str">
            <v>Não Montado</v>
          </cell>
        </row>
        <row r="778">
          <cell r="A778" t="str">
            <v>FE-120936</v>
          </cell>
          <cell r="BG778" t="str">
            <v>Não Montado</v>
          </cell>
        </row>
        <row r="779">
          <cell r="A779" t="str">
            <v>FE-120937</v>
          </cell>
          <cell r="BG779" t="str">
            <v>Não Montado</v>
          </cell>
        </row>
        <row r="780">
          <cell r="A780" t="str">
            <v>FE-120938</v>
          </cell>
          <cell r="BG780" t="str">
            <v>Não Montado</v>
          </cell>
        </row>
        <row r="781">
          <cell r="A781" t="str">
            <v>FE-120939</v>
          </cell>
          <cell r="BG781" t="str">
            <v>Não Montado</v>
          </cell>
        </row>
        <row r="782">
          <cell r="A782" t="str">
            <v>FE-120940</v>
          </cell>
          <cell r="BG782" t="str">
            <v>Não Montado</v>
          </cell>
        </row>
        <row r="783">
          <cell r="A783" t="str">
            <v>FE-120941</v>
          </cell>
          <cell r="BG783" t="str">
            <v>Não Montado</v>
          </cell>
        </row>
        <row r="784">
          <cell r="A784" t="str">
            <v>FE-120942</v>
          </cell>
          <cell r="BG784" t="str">
            <v>Não Montado</v>
          </cell>
        </row>
        <row r="785">
          <cell r="A785" t="str">
            <v>FE-120943</v>
          </cell>
          <cell r="BG785" t="str">
            <v>Não Montado</v>
          </cell>
        </row>
        <row r="786">
          <cell r="A786" t="str">
            <v>FE-120944</v>
          </cell>
          <cell r="BG786" t="str">
            <v>Não Montado</v>
          </cell>
        </row>
        <row r="787">
          <cell r="A787" t="str">
            <v>FE-120945</v>
          </cell>
          <cell r="BG787" t="str">
            <v>Não Montado</v>
          </cell>
        </row>
        <row r="788">
          <cell r="A788" t="str">
            <v>FE-120946</v>
          </cell>
          <cell r="BG788" t="str">
            <v>Não Montado</v>
          </cell>
        </row>
        <row r="789">
          <cell r="A789" t="str">
            <v>FE-120947</v>
          </cell>
          <cell r="BG789" t="str">
            <v>Não Montado</v>
          </cell>
        </row>
        <row r="790">
          <cell r="A790" t="str">
            <v>FE-120948</v>
          </cell>
          <cell r="BG790" t="str">
            <v>Não Montado</v>
          </cell>
        </row>
        <row r="791">
          <cell r="A791" t="str">
            <v>FE-120949</v>
          </cell>
          <cell r="BG791" t="str">
            <v>Não Montado</v>
          </cell>
        </row>
        <row r="792">
          <cell r="A792" t="str">
            <v>FE-120950</v>
          </cell>
          <cell r="BG792" t="str">
            <v>Não Montado</v>
          </cell>
        </row>
        <row r="793">
          <cell r="A793" t="str">
            <v>FE-121901</v>
          </cell>
          <cell r="BG793" t="str">
            <v>Não Montado</v>
          </cell>
        </row>
        <row r="794">
          <cell r="A794" t="str">
            <v>FE-121902</v>
          </cell>
          <cell r="BG794" t="str">
            <v>Não Montado</v>
          </cell>
        </row>
        <row r="795">
          <cell r="A795" t="str">
            <v>FG-120250</v>
          </cell>
          <cell r="BG795" t="str">
            <v>Não Montado</v>
          </cell>
        </row>
        <row r="796">
          <cell r="A796" t="str">
            <v>FG-120901</v>
          </cell>
          <cell r="BG796" t="str">
            <v>Não Montado</v>
          </cell>
        </row>
        <row r="797">
          <cell r="A797" t="str">
            <v>FG-120902</v>
          </cell>
          <cell r="BG797" t="str">
            <v>Não Montado</v>
          </cell>
        </row>
        <row r="798">
          <cell r="A798" t="str">
            <v>FG-120903</v>
          </cell>
          <cell r="BG798" t="str">
            <v>Não Montado</v>
          </cell>
        </row>
        <row r="799">
          <cell r="A799" t="str">
            <v>FG-120904</v>
          </cell>
          <cell r="BG799" t="str">
            <v>Não Montado</v>
          </cell>
        </row>
        <row r="800">
          <cell r="A800" t="str">
            <v>FG-120905</v>
          </cell>
          <cell r="BG800" t="str">
            <v>Não Montado</v>
          </cell>
        </row>
        <row r="801">
          <cell r="A801" t="str">
            <v>FG-120906</v>
          </cell>
          <cell r="BG801" t="str">
            <v>Não Montado</v>
          </cell>
        </row>
        <row r="802">
          <cell r="A802" t="str">
            <v>FG-120907</v>
          </cell>
          <cell r="BG802" t="str">
            <v>Não Montado</v>
          </cell>
        </row>
        <row r="803">
          <cell r="A803" t="str">
            <v>FG-120908</v>
          </cell>
          <cell r="BG803" t="str">
            <v>Não Montado</v>
          </cell>
        </row>
        <row r="804">
          <cell r="A804" t="str">
            <v>FG-120909</v>
          </cell>
          <cell r="BG804" t="str">
            <v>Não Montado</v>
          </cell>
        </row>
        <row r="805">
          <cell r="A805" t="str">
            <v>FG-120910</v>
          </cell>
          <cell r="BG805" t="str">
            <v>Não Montado</v>
          </cell>
        </row>
        <row r="806">
          <cell r="A806" t="str">
            <v>FG-120911</v>
          </cell>
          <cell r="BG806" t="str">
            <v>Não Montado</v>
          </cell>
        </row>
        <row r="807">
          <cell r="A807" t="str">
            <v>FG-120912</v>
          </cell>
          <cell r="BG807" t="str">
            <v>Não Montado</v>
          </cell>
        </row>
        <row r="808">
          <cell r="A808" t="str">
            <v>FG-120913</v>
          </cell>
          <cell r="BG808" t="str">
            <v>Não Montado</v>
          </cell>
        </row>
        <row r="809">
          <cell r="A809" t="str">
            <v>FG-120914</v>
          </cell>
          <cell r="BG809" t="str">
            <v>Não Montado</v>
          </cell>
        </row>
        <row r="810">
          <cell r="A810" t="str">
            <v>FG-120951</v>
          </cell>
          <cell r="BG810" t="str">
            <v>Não Montado</v>
          </cell>
        </row>
        <row r="811">
          <cell r="A811" t="str">
            <v>FG-120952</v>
          </cell>
          <cell r="BG811" t="str">
            <v>Não Montado</v>
          </cell>
        </row>
        <row r="812">
          <cell r="A812" t="str">
            <v>FG-120953</v>
          </cell>
          <cell r="BG812" t="str">
            <v>Não Montado</v>
          </cell>
        </row>
        <row r="813">
          <cell r="A813" t="str">
            <v>FG-120953B</v>
          </cell>
          <cell r="BG813" t="str">
            <v>Não Montado</v>
          </cell>
        </row>
        <row r="814">
          <cell r="A814" t="str">
            <v>FG-120954</v>
          </cell>
          <cell r="BG814" t="str">
            <v>Não Montado</v>
          </cell>
        </row>
        <row r="815">
          <cell r="A815" t="str">
            <v>FG-120955</v>
          </cell>
          <cell r="BG815" t="str">
            <v>Não Montado</v>
          </cell>
        </row>
        <row r="816">
          <cell r="A816" t="str">
            <v>FG-120956</v>
          </cell>
          <cell r="BG816" t="str">
            <v>Não Montado</v>
          </cell>
        </row>
        <row r="817">
          <cell r="A817" t="str">
            <v>FG-120957</v>
          </cell>
          <cell r="BG817" t="str">
            <v>Não Montado</v>
          </cell>
        </row>
        <row r="818">
          <cell r="A818" t="str">
            <v>FG-120958</v>
          </cell>
          <cell r="BG818" t="str">
            <v>Não Montado</v>
          </cell>
        </row>
        <row r="819">
          <cell r="A819" t="str">
            <v>FG-120959</v>
          </cell>
          <cell r="BG819" t="str">
            <v>Não Montado</v>
          </cell>
        </row>
        <row r="820">
          <cell r="A820" t="str">
            <v>FG-120960</v>
          </cell>
          <cell r="BG820" t="str">
            <v>Não Montado</v>
          </cell>
        </row>
        <row r="821">
          <cell r="A821" t="str">
            <v>FG-120961</v>
          </cell>
          <cell r="BG821" t="str">
            <v>Não Montado</v>
          </cell>
        </row>
        <row r="822">
          <cell r="A822" t="str">
            <v>FG-120962</v>
          </cell>
          <cell r="BG822" t="str">
            <v>Não Montado</v>
          </cell>
        </row>
        <row r="823">
          <cell r="A823" t="str">
            <v>FG-120963</v>
          </cell>
          <cell r="BG823" t="str">
            <v>Não Montado</v>
          </cell>
        </row>
        <row r="824">
          <cell r="A824" t="str">
            <v>FG-120963A</v>
          </cell>
          <cell r="BG824" t="str">
            <v>Não Montado</v>
          </cell>
        </row>
        <row r="825">
          <cell r="A825" t="str">
            <v>FG-120963B</v>
          </cell>
          <cell r="BG825" t="str">
            <v>Não Montado</v>
          </cell>
        </row>
        <row r="826">
          <cell r="A826" t="str">
            <v>FG-120963C</v>
          </cell>
          <cell r="BG826" t="str">
            <v>Não Montado</v>
          </cell>
        </row>
        <row r="827">
          <cell r="A827" t="str">
            <v>FG-120964</v>
          </cell>
          <cell r="BG827" t="str">
            <v>Não Montado</v>
          </cell>
        </row>
        <row r="828">
          <cell r="A828" t="str">
            <v>FG-120964A</v>
          </cell>
          <cell r="BG828" t="str">
            <v>Não Montado</v>
          </cell>
        </row>
        <row r="829">
          <cell r="A829" t="str">
            <v>FG-120965</v>
          </cell>
          <cell r="BG829" t="str">
            <v>Não Montado</v>
          </cell>
        </row>
        <row r="830">
          <cell r="A830" t="str">
            <v>FG-120966</v>
          </cell>
          <cell r="BG830" t="str">
            <v>Não Montado</v>
          </cell>
        </row>
        <row r="831">
          <cell r="A831" t="str">
            <v>FG-120967</v>
          </cell>
          <cell r="BG831" t="str">
            <v>Não Montado</v>
          </cell>
        </row>
        <row r="832">
          <cell r="A832" t="str">
            <v>FG-120968</v>
          </cell>
          <cell r="BG832" t="str">
            <v>Não Montado</v>
          </cell>
        </row>
        <row r="833">
          <cell r="A833" t="str">
            <v>FG-120969</v>
          </cell>
          <cell r="BG833" t="str">
            <v>Não Montado</v>
          </cell>
        </row>
        <row r="834">
          <cell r="A834" t="str">
            <v>FG-120970</v>
          </cell>
          <cell r="BG834" t="str">
            <v>Não Montado</v>
          </cell>
        </row>
        <row r="835">
          <cell r="A835" t="str">
            <v>FG-120971</v>
          </cell>
          <cell r="BG835" t="str">
            <v>Não Montado</v>
          </cell>
        </row>
        <row r="836">
          <cell r="A836" t="str">
            <v>FG-120972</v>
          </cell>
          <cell r="BG836" t="str">
            <v>Não Montado</v>
          </cell>
        </row>
        <row r="837">
          <cell r="A837" t="str">
            <v>FG-120973</v>
          </cell>
          <cell r="BG837" t="str">
            <v>Não Montado</v>
          </cell>
        </row>
        <row r="838">
          <cell r="A838" t="str">
            <v>FG-120974</v>
          </cell>
          <cell r="BG838" t="str">
            <v>Não Montado</v>
          </cell>
        </row>
        <row r="839">
          <cell r="A839" t="str">
            <v>FG-120975</v>
          </cell>
          <cell r="BG839" t="str">
            <v>Não Montado</v>
          </cell>
        </row>
        <row r="840">
          <cell r="A840" t="str">
            <v>FG-120976</v>
          </cell>
          <cell r="BG840" t="str">
            <v>Não Montado</v>
          </cell>
        </row>
        <row r="841">
          <cell r="A841" t="str">
            <v>FG-120976A</v>
          </cell>
          <cell r="BG841" t="str">
            <v>Não Montado</v>
          </cell>
        </row>
        <row r="842">
          <cell r="A842" t="str">
            <v>FG-120976B</v>
          </cell>
          <cell r="BG842" t="str">
            <v>Não Montado</v>
          </cell>
        </row>
        <row r="843">
          <cell r="A843" t="str">
            <v>FG-120976C</v>
          </cell>
          <cell r="BG843" t="str">
            <v>Não Montado</v>
          </cell>
        </row>
        <row r="844">
          <cell r="A844" t="str">
            <v>FG-120976D</v>
          </cell>
          <cell r="BG844" t="str">
            <v>Não Montado</v>
          </cell>
        </row>
        <row r="845">
          <cell r="A845" t="str">
            <v>FG-120976E</v>
          </cell>
          <cell r="BG845" t="str">
            <v>Não Montado</v>
          </cell>
        </row>
        <row r="846">
          <cell r="A846" t="str">
            <v>FG-120977</v>
          </cell>
          <cell r="BG846" t="str">
            <v>Não Montado</v>
          </cell>
        </row>
        <row r="847">
          <cell r="A847" t="str">
            <v>FG-120977A</v>
          </cell>
          <cell r="BG847" t="str">
            <v>Não Montado</v>
          </cell>
        </row>
        <row r="848">
          <cell r="A848" t="str">
            <v>FG-120977B</v>
          </cell>
          <cell r="BG848" t="str">
            <v>Não Montado</v>
          </cell>
        </row>
        <row r="849">
          <cell r="A849" t="str">
            <v>FG-120977C</v>
          </cell>
          <cell r="BG849" t="str">
            <v>Não Montado</v>
          </cell>
        </row>
        <row r="850">
          <cell r="A850" t="str">
            <v>FG-120977D</v>
          </cell>
          <cell r="BG850" t="str">
            <v>Não Montado</v>
          </cell>
        </row>
        <row r="851">
          <cell r="A851" t="str">
            <v>FG-120977E</v>
          </cell>
          <cell r="BG851" t="str">
            <v>Não Montado</v>
          </cell>
        </row>
        <row r="852">
          <cell r="A852" t="str">
            <v>FG-120978</v>
          </cell>
          <cell r="BG852" t="str">
            <v>Não Montado</v>
          </cell>
        </row>
        <row r="853">
          <cell r="A853" t="str">
            <v>FG-120979</v>
          </cell>
          <cell r="BG853" t="str">
            <v>Não Montado</v>
          </cell>
        </row>
        <row r="854">
          <cell r="A854" t="str">
            <v>FG-120980</v>
          </cell>
          <cell r="BG854" t="str">
            <v>Não Montado</v>
          </cell>
        </row>
        <row r="855">
          <cell r="A855" t="str">
            <v>FG-120981</v>
          </cell>
          <cell r="BG855" t="str">
            <v>Não Montado</v>
          </cell>
        </row>
        <row r="856">
          <cell r="A856" t="str">
            <v>FG-120982</v>
          </cell>
          <cell r="BG856" t="str">
            <v>Não Montado</v>
          </cell>
        </row>
        <row r="857">
          <cell r="A857" t="str">
            <v>FG-120983</v>
          </cell>
          <cell r="BG857" t="str">
            <v>Não Montado</v>
          </cell>
        </row>
        <row r="858">
          <cell r="A858" t="str">
            <v>FG-120984</v>
          </cell>
          <cell r="BG858" t="str">
            <v>Não Montado</v>
          </cell>
        </row>
        <row r="859">
          <cell r="A859" t="str">
            <v>FG-120986</v>
          </cell>
          <cell r="BG859" t="str">
            <v>Não Montado</v>
          </cell>
        </row>
        <row r="860">
          <cell r="A860" t="str">
            <v>FG-120987</v>
          </cell>
          <cell r="BG860" t="str">
            <v>Não Montado</v>
          </cell>
        </row>
        <row r="861">
          <cell r="A861" t="str">
            <v>FG-120988</v>
          </cell>
          <cell r="BG861" t="str">
            <v>Não Montado</v>
          </cell>
        </row>
        <row r="862">
          <cell r="A862" t="str">
            <v>FG-120989</v>
          </cell>
          <cell r="BG862" t="str">
            <v>Não Montado</v>
          </cell>
        </row>
        <row r="863">
          <cell r="A863" t="str">
            <v>FG-120990</v>
          </cell>
          <cell r="BG863" t="str">
            <v>Não Montado</v>
          </cell>
        </row>
        <row r="864">
          <cell r="A864" t="str">
            <v>FG-120991</v>
          </cell>
          <cell r="BG864" t="str">
            <v>Não Montado</v>
          </cell>
        </row>
        <row r="865">
          <cell r="A865" t="str">
            <v>FG-120992</v>
          </cell>
          <cell r="BG865" t="str">
            <v>Não Montado</v>
          </cell>
        </row>
        <row r="866">
          <cell r="A866" t="str">
            <v>FG-120993</v>
          </cell>
          <cell r="BG866" t="str">
            <v>Não Montado</v>
          </cell>
        </row>
        <row r="867">
          <cell r="A867" t="str">
            <v>FG-120994</v>
          </cell>
          <cell r="BG867" t="str">
            <v>Não Montado</v>
          </cell>
        </row>
        <row r="868">
          <cell r="A868" t="str">
            <v>FG-120995</v>
          </cell>
          <cell r="BG868" t="str">
            <v>Não Montado</v>
          </cell>
        </row>
        <row r="869">
          <cell r="A869" t="str">
            <v>FG-120996</v>
          </cell>
          <cell r="BG869" t="str">
            <v>Não Montado</v>
          </cell>
        </row>
        <row r="870">
          <cell r="A870" t="str">
            <v>FG-120997</v>
          </cell>
          <cell r="BG870" t="str">
            <v>Não Montado</v>
          </cell>
        </row>
        <row r="871">
          <cell r="A871" t="str">
            <v>FG-120998</v>
          </cell>
          <cell r="BG871" t="str">
            <v>Não Montado</v>
          </cell>
        </row>
        <row r="872">
          <cell r="A872" t="str">
            <v>FG-121951</v>
          </cell>
          <cell r="BG872" t="str">
            <v>Não Montado</v>
          </cell>
        </row>
        <row r="873">
          <cell r="A873" t="str">
            <v>FG-121952</v>
          </cell>
          <cell r="BG873" t="str">
            <v>Não Montado</v>
          </cell>
        </row>
        <row r="874">
          <cell r="A874" t="str">
            <v>FG-121954</v>
          </cell>
          <cell r="BG874" t="str">
            <v>Não Montado</v>
          </cell>
        </row>
        <row r="875">
          <cell r="A875" t="str">
            <v>FG-121955</v>
          </cell>
          <cell r="BG875" t="str">
            <v>Não Montado</v>
          </cell>
        </row>
        <row r="876">
          <cell r="A876" t="str">
            <v>FG-121962</v>
          </cell>
          <cell r="BG876" t="str">
            <v>Não Montado</v>
          </cell>
        </row>
        <row r="877">
          <cell r="A877" t="str">
            <v>FG-122050</v>
          </cell>
          <cell r="BG877" t="str">
            <v>Não Montado</v>
          </cell>
        </row>
        <row r="878">
          <cell r="A878" t="str">
            <v>FG-122051</v>
          </cell>
          <cell r="BG878" t="str">
            <v>Não Montado</v>
          </cell>
        </row>
        <row r="879">
          <cell r="A879" t="str">
            <v>FG-122052</v>
          </cell>
          <cell r="BG879" t="str">
            <v>Não Montado</v>
          </cell>
        </row>
        <row r="880">
          <cell r="A880" t="str">
            <v>FG-122053</v>
          </cell>
          <cell r="BG880" t="str">
            <v>Não Montado</v>
          </cell>
        </row>
        <row r="881">
          <cell r="A881" t="str">
            <v>FG-123001</v>
          </cell>
          <cell r="BG881" t="str">
            <v>Não Montado</v>
          </cell>
        </row>
        <row r="882">
          <cell r="A882" t="str">
            <v>FI-120179</v>
          </cell>
          <cell r="BG882" t="str">
            <v>Não Montado</v>
          </cell>
        </row>
        <row r="883">
          <cell r="A883" t="str">
            <v>FI-120180</v>
          </cell>
          <cell r="BG883" t="str">
            <v>Não Montado</v>
          </cell>
        </row>
        <row r="884">
          <cell r="A884" t="str">
            <v>FI-120182</v>
          </cell>
          <cell r="BG884" t="str">
            <v>Não Montado</v>
          </cell>
        </row>
        <row r="885">
          <cell r="A885" t="str">
            <v>FI-120183</v>
          </cell>
          <cell r="BG885" t="str">
            <v>Não Montado</v>
          </cell>
        </row>
        <row r="886">
          <cell r="A886" t="str">
            <v>FI-120185</v>
          </cell>
          <cell r="BG886" t="str">
            <v>Não Montado</v>
          </cell>
        </row>
        <row r="887">
          <cell r="A887" t="str">
            <v>FI-121115</v>
          </cell>
          <cell r="BG887" t="str">
            <v>Não Montado</v>
          </cell>
        </row>
        <row r="888">
          <cell r="A888" t="str">
            <v>FI-121116</v>
          </cell>
          <cell r="BG888" t="str">
            <v>Não Montado</v>
          </cell>
        </row>
        <row r="889">
          <cell r="A889" t="str">
            <v>FI-121117</v>
          </cell>
          <cell r="BG889" t="str">
            <v>Não Montado</v>
          </cell>
        </row>
        <row r="890">
          <cell r="A890" t="str">
            <v>FI-121175</v>
          </cell>
          <cell r="BG890" t="str">
            <v>Não Montado</v>
          </cell>
        </row>
        <row r="891">
          <cell r="A891" t="str">
            <v>FI-121176</v>
          </cell>
          <cell r="BG891" t="str">
            <v>Não Montado</v>
          </cell>
        </row>
        <row r="892">
          <cell r="A892" t="str">
            <v>FI-121177</v>
          </cell>
          <cell r="BG892" t="str">
            <v>Não Montado</v>
          </cell>
        </row>
        <row r="893">
          <cell r="A893" t="str">
            <v>FI-121280</v>
          </cell>
          <cell r="BG893" t="str">
            <v>Não Montado</v>
          </cell>
        </row>
        <row r="894">
          <cell r="A894" t="str">
            <v>FI-121300</v>
          </cell>
          <cell r="BG894" t="str">
            <v>Não Montado</v>
          </cell>
        </row>
        <row r="895">
          <cell r="A895" t="str">
            <v>FI-121301</v>
          </cell>
          <cell r="BG895" t="str">
            <v>Não Montado</v>
          </cell>
        </row>
        <row r="896">
          <cell r="A896" t="str">
            <v>FI-121302</v>
          </cell>
          <cell r="BG896" t="str">
            <v>Não Montado</v>
          </cell>
        </row>
        <row r="897">
          <cell r="A897" t="str">
            <v>FI-121303</v>
          </cell>
          <cell r="BG897" t="str">
            <v>Não Montado</v>
          </cell>
        </row>
        <row r="898">
          <cell r="A898" t="str">
            <v>FI-121400</v>
          </cell>
          <cell r="BG898" t="str">
            <v>Não Montado</v>
          </cell>
        </row>
        <row r="899">
          <cell r="A899" t="str">
            <v>FI-121401</v>
          </cell>
          <cell r="BG899" t="str">
            <v>Não Montado</v>
          </cell>
        </row>
        <row r="900">
          <cell r="A900" t="str">
            <v>FI-121402</v>
          </cell>
          <cell r="BG900" t="str">
            <v>Não Montado</v>
          </cell>
        </row>
        <row r="901">
          <cell r="A901" t="str">
            <v>FI-121403</v>
          </cell>
          <cell r="BG901" t="str">
            <v>Não Montado</v>
          </cell>
        </row>
        <row r="902">
          <cell r="A902" t="str">
            <v>FI-122179</v>
          </cell>
          <cell r="BG902" t="str">
            <v>Não Montado</v>
          </cell>
        </row>
        <row r="903">
          <cell r="A903" t="str">
            <v>FIT-120001</v>
          </cell>
          <cell r="BG903" t="str">
            <v>Programar</v>
          </cell>
        </row>
        <row r="904">
          <cell r="A904" t="str">
            <v>FIT-120001A</v>
          </cell>
          <cell r="BG904" t="str">
            <v>Não Montado</v>
          </cell>
        </row>
        <row r="905">
          <cell r="A905" t="str">
            <v>FIT-120001B</v>
          </cell>
          <cell r="BG905" t="str">
            <v>Não Montado</v>
          </cell>
        </row>
        <row r="906">
          <cell r="A906" t="str">
            <v>FIT-120002</v>
          </cell>
          <cell r="BG906" t="str">
            <v>Programar</v>
          </cell>
        </row>
        <row r="907">
          <cell r="A907" t="str">
            <v>FIT-120002A</v>
          </cell>
          <cell r="BG907" t="str">
            <v>Não Montado</v>
          </cell>
        </row>
        <row r="908">
          <cell r="A908" t="str">
            <v>FIT-120002B</v>
          </cell>
          <cell r="BG908" t="str">
            <v>Programar</v>
          </cell>
        </row>
        <row r="909">
          <cell r="A909" t="str">
            <v>FIT-120003</v>
          </cell>
          <cell r="BG909" t="str">
            <v>Montado</v>
          </cell>
        </row>
        <row r="910">
          <cell r="A910" t="str">
            <v>FIT-120004</v>
          </cell>
          <cell r="BG910" t="str">
            <v>Montado</v>
          </cell>
        </row>
        <row r="911">
          <cell r="A911" t="str">
            <v>FIT-120005</v>
          </cell>
          <cell r="BG911" t="str">
            <v>Montado</v>
          </cell>
        </row>
        <row r="912">
          <cell r="A912" t="str">
            <v>FIT-120007</v>
          </cell>
          <cell r="BG912" t="str">
            <v>Não Montado</v>
          </cell>
        </row>
        <row r="913">
          <cell r="A913" t="str">
            <v>FIT-120008</v>
          </cell>
          <cell r="BG913" t="str">
            <v>Não Montado</v>
          </cell>
        </row>
        <row r="914">
          <cell r="A914" t="str">
            <v>FIT-120009</v>
          </cell>
          <cell r="BG914" t="str">
            <v>Não Montado</v>
          </cell>
        </row>
        <row r="915">
          <cell r="A915" t="str">
            <v>FIT-120010</v>
          </cell>
          <cell r="BG915" t="str">
            <v>Montado</v>
          </cell>
        </row>
        <row r="916">
          <cell r="A916" t="str">
            <v>FIT-120011</v>
          </cell>
          <cell r="BG916" t="str">
            <v>Não Montado</v>
          </cell>
        </row>
        <row r="917">
          <cell r="A917" t="str">
            <v>FIT-120012</v>
          </cell>
          <cell r="BG917" t="str">
            <v>Montado</v>
          </cell>
        </row>
        <row r="918">
          <cell r="A918" t="str">
            <v>FIT-120013</v>
          </cell>
          <cell r="BG918" t="str">
            <v>Montado</v>
          </cell>
        </row>
        <row r="919">
          <cell r="A919" t="str">
            <v>FIT-120014</v>
          </cell>
          <cell r="BG919" t="str">
            <v>Montado</v>
          </cell>
        </row>
        <row r="920">
          <cell r="A920" t="str">
            <v>FIT-120015</v>
          </cell>
          <cell r="BG920" t="str">
            <v>Montado</v>
          </cell>
        </row>
        <row r="921">
          <cell r="A921" t="str">
            <v>FIT-120016</v>
          </cell>
          <cell r="BG921" t="str">
            <v>Montado</v>
          </cell>
        </row>
        <row r="922">
          <cell r="A922" t="str">
            <v>FIT-120017</v>
          </cell>
          <cell r="BG922" t="str">
            <v>Montado</v>
          </cell>
        </row>
        <row r="923">
          <cell r="A923" t="str">
            <v>FIT-120018</v>
          </cell>
          <cell r="BG923" t="str">
            <v>Montado</v>
          </cell>
        </row>
        <row r="924">
          <cell r="A924" t="str">
            <v>FIT-120019</v>
          </cell>
          <cell r="BG924" t="str">
            <v>Montado</v>
          </cell>
        </row>
        <row r="925">
          <cell r="A925" t="str">
            <v>FIT-120020A</v>
          </cell>
          <cell r="BG925" t="str">
            <v>Montado</v>
          </cell>
        </row>
        <row r="926">
          <cell r="A926" t="str">
            <v>FIT-120020B</v>
          </cell>
          <cell r="BG926" t="str">
            <v>Não Montado</v>
          </cell>
        </row>
        <row r="927">
          <cell r="A927" t="str">
            <v>FIT-120021A</v>
          </cell>
          <cell r="BG927" t="str">
            <v>Montado</v>
          </cell>
        </row>
        <row r="928">
          <cell r="A928" t="str">
            <v>FIT-120021B</v>
          </cell>
          <cell r="BG928" t="str">
            <v>Não Montado</v>
          </cell>
        </row>
        <row r="929">
          <cell r="A929" t="str">
            <v>FIT-120022A</v>
          </cell>
          <cell r="BG929" t="str">
            <v>Montado</v>
          </cell>
        </row>
        <row r="930">
          <cell r="A930" t="str">
            <v>FIT-120022B</v>
          </cell>
          <cell r="BG930" t="str">
            <v>Não Montado</v>
          </cell>
        </row>
        <row r="931">
          <cell r="A931" t="str">
            <v>FIT-120023A</v>
          </cell>
          <cell r="BG931" t="str">
            <v>Não Montado</v>
          </cell>
        </row>
        <row r="932">
          <cell r="A932" t="str">
            <v>FIT-120023B</v>
          </cell>
          <cell r="BG932" t="str">
            <v>Não Montado</v>
          </cell>
        </row>
        <row r="933">
          <cell r="A933" t="str">
            <v>FIT-120024A</v>
          </cell>
          <cell r="BG933" t="str">
            <v>Não Montado</v>
          </cell>
        </row>
        <row r="934">
          <cell r="A934" t="str">
            <v>FIT-120024B</v>
          </cell>
          <cell r="BG934" t="str">
            <v>Não Montado</v>
          </cell>
        </row>
        <row r="935">
          <cell r="A935" t="str">
            <v>FIT-120025A</v>
          </cell>
          <cell r="BG935" t="str">
            <v>Montado</v>
          </cell>
        </row>
        <row r="936">
          <cell r="A936" t="str">
            <v>FIT-120025B</v>
          </cell>
          <cell r="BG936" t="str">
            <v>Não Montado</v>
          </cell>
        </row>
        <row r="937">
          <cell r="A937" t="str">
            <v>FIT-120026A</v>
          </cell>
          <cell r="BG937" t="str">
            <v>Montado</v>
          </cell>
        </row>
        <row r="938">
          <cell r="A938" t="str">
            <v>FIT-120026B</v>
          </cell>
          <cell r="BG938" t="str">
            <v>Não Montado</v>
          </cell>
        </row>
        <row r="939">
          <cell r="A939" t="str">
            <v>FIT-120027A</v>
          </cell>
          <cell r="BG939" t="str">
            <v>Não Montado</v>
          </cell>
        </row>
        <row r="940">
          <cell r="A940" t="str">
            <v>FIT-120027B</v>
          </cell>
          <cell r="BG940" t="str">
            <v>Não Montado</v>
          </cell>
        </row>
        <row r="941">
          <cell r="A941" t="str">
            <v>FIT-120028</v>
          </cell>
          <cell r="BG941" t="str">
            <v>Montado</v>
          </cell>
        </row>
        <row r="942">
          <cell r="A942" t="str">
            <v>FIT-120029</v>
          </cell>
          <cell r="BG942" t="str">
            <v>Montado</v>
          </cell>
        </row>
        <row r="943">
          <cell r="A943" t="str">
            <v>FIT-120030</v>
          </cell>
          <cell r="BG943" t="str">
            <v>Montado</v>
          </cell>
        </row>
        <row r="944">
          <cell r="A944" t="str">
            <v>FIT-120031</v>
          </cell>
          <cell r="BG944" t="str">
            <v>Montado</v>
          </cell>
        </row>
        <row r="945">
          <cell r="A945" t="str">
            <v>FIT-120032</v>
          </cell>
          <cell r="BG945" t="str">
            <v>Montado</v>
          </cell>
        </row>
        <row r="946">
          <cell r="A946" t="str">
            <v>FIT-120033</v>
          </cell>
          <cell r="BG946" t="str">
            <v>Montado</v>
          </cell>
        </row>
        <row r="947">
          <cell r="A947" t="str">
            <v>FIT-120034</v>
          </cell>
          <cell r="BG947" t="str">
            <v>Não Montado</v>
          </cell>
        </row>
        <row r="948">
          <cell r="A948" t="str">
            <v>FIT-120035</v>
          </cell>
          <cell r="BG948" t="str">
            <v>Montado</v>
          </cell>
        </row>
        <row r="949">
          <cell r="A949" t="str">
            <v>FIT-120036</v>
          </cell>
          <cell r="BG949" t="str">
            <v>Não Montado</v>
          </cell>
        </row>
        <row r="950">
          <cell r="A950" t="str">
            <v>FIT-120037</v>
          </cell>
          <cell r="BG950" t="str">
            <v>Montado</v>
          </cell>
        </row>
        <row r="951">
          <cell r="A951" t="str">
            <v>FIT-120038</v>
          </cell>
          <cell r="BG951" t="str">
            <v>Montado</v>
          </cell>
        </row>
        <row r="952">
          <cell r="A952" t="str">
            <v>FIT-120039</v>
          </cell>
          <cell r="BG952" t="str">
            <v>Montado</v>
          </cell>
        </row>
        <row r="953">
          <cell r="A953" t="str">
            <v>FIT-120040A</v>
          </cell>
          <cell r="BG953" t="str">
            <v>Montado</v>
          </cell>
        </row>
        <row r="954">
          <cell r="A954" t="str">
            <v>FIT-120040B</v>
          </cell>
          <cell r="BG954" t="str">
            <v>Montado</v>
          </cell>
        </row>
        <row r="955">
          <cell r="A955" t="str">
            <v>FIT-120041</v>
          </cell>
          <cell r="BG955" t="str">
            <v>Não Montado</v>
          </cell>
        </row>
        <row r="956">
          <cell r="A956" t="str">
            <v>FIT-120042</v>
          </cell>
          <cell r="BG956" t="str">
            <v>Montado</v>
          </cell>
        </row>
        <row r="957">
          <cell r="A957" t="str">
            <v>FIT-120043</v>
          </cell>
          <cell r="BG957" t="str">
            <v>Não Montado</v>
          </cell>
        </row>
        <row r="958">
          <cell r="A958" t="str">
            <v>FIT-120044</v>
          </cell>
          <cell r="BG958" t="str">
            <v>Programar</v>
          </cell>
        </row>
        <row r="959">
          <cell r="A959" t="str">
            <v>FIT-120045</v>
          </cell>
          <cell r="BG959" t="str">
            <v>Programar</v>
          </cell>
        </row>
        <row r="960">
          <cell r="A960" t="str">
            <v>FIT-120046</v>
          </cell>
          <cell r="BG960" t="str">
            <v>Programar</v>
          </cell>
        </row>
        <row r="961">
          <cell r="A961" t="str">
            <v>FIT-120047</v>
          </cell>
          <cell r="BG961" t="str">
            <v>Montado</v>
          </cell>
        </row>
        <row r="962">
          <cell r="A962" t="str">
            <v>FIT-120048</v>
          </cell>
          <cell r="BG962" t="str">
            <v>Montado</v>
          </cell>
        </row>
        <row r="963">
          <cell r="A963" t="str">
            <v>FIT-120049</v>
          </cell>
          <cell r="BG963" t="str">
            <v>Não Montado</v>
          </cell>
        </row>
        <row r="964">
          <cell r="A964" t="str">
            <v>FIT-120050</v>
          </cell>
          <cell r="BG964" t="str">
            <v>Montado</v>
          </cell>
        </row>
        <row r="965">
          <cell r="A965" t="str">
            <v>FIT-120053</v>
          </cell>
          <cell r="BG965" t="str">
            <v>Montado</v>
          </cell>
        </row>
        <row r="966">
          <cell r="A966" t="str">
            <v>FIT-120054</v>
          </cell>
          <cell r="BG966" t="str">
            <v>Não Montado</v>
          </cell>
        </row>
        <row r="967">
          <cell r="A967" t="str">
            <v>FIT-120055</v>
          </cell>
          <cell r="BG967" t="str">
            <v>Montado</v>
          </cell>
        </row>
        <row r="968">
          <cell r="A968" t="str">
            <v>FIT-120056</v>
          </cell>
          <cell r="BG968" t="str">
            <v>Programar</v>
          </cell>
        </row>
        <row r="969">
          <cell r="A969" t="str">
            <v>FIT-120058</v>
          </cell>
          <cell r="BG969" t="str">
            <v>Não Montado</v>
          </cell>
        </row>
        <row r="970">
          <cell r="A970" t="str">
            <v>FIT-120059</v>
          </cell>
          <cell r="BG970" t="str">
            <v>Não Montado</v>
          </cell>
        </row>
        <row r="971">
          <cell r="A971" t="str">
            <v>FIT-120060</v>
          </cell>
          <cell r="BG971" t="str">
            <v>Não Montado</v>
          </cell>
        </row>
        <row r="972">
          <cell r="A972" t="str">
            <v>FIT-120061</v>
          </cell>
          <cell r="BG972" t="str">
            <v>Programar</v>
          </cell>
        </row>
        <row r="973">
          <cell r="A973" t="str">
            <v>FIT-120062</v>
          </cell>
          <cell r="BG973" t="str">
            <v>Não Montado</v>
          </cell>
        </row>
        <row r="974">
          <cell r="A974" t="str">
            <v>FIT-120063</v>
          </cell>
          <cell r="BG974" t="str">
            <v>Montado</v>
          </cell>
        </row>
        <row r="975">
          <cell r="A975" t="str">
            <v>FIT-120064</v>
          </cell>
          <cell r="BG975" t="str">
            <v>Não Montado</v>
          </cell>
        </row>
        <row r="976">
          <cell r="A976" t="str">
            <v>FIT-120065</v>
          </cell>
          <cell r="BG976" t="str">
            <v>Não Montado</v>
          </cell>
        </row>
        <row r="977">
          <cell r="A977" t="str">
            <v>FIT-120066</v>
          </cell>
          <cell r="BG977" t="str">
            <v>Montado</v>
          </cell>
        </row>
        <row r="978">
          <cell r="A978" t="str">
            <v>FIT-120067</v>
          </cell>
          <cell r="BG978" t="str">
            <v>Montado</v>
          </cell>
        </row>
        <row r="979">
          <cell r="A979" t="str">
            <v>FIT-120068</v>
          </cell>
          <cell r="BG979" t="str">
            <v>Não Montado</v>
          </cell>
        </row>
        <row r="980">
          <cell r="A980" t="str">
            <v>FIT-120071</v>
          </cell>
          <cell r="BG980" t="str">
            <v>Montado</v>
          </cell>
        </row>
        <row r="981">
          <cell r="A981" t="str">
            <v>FIT-120072</v>
          </cell>
          <cell r="BG981" t="str">
            <v>Montado</v>
          </cell>
        </row>
        <row r="982">
          <cell r="A982" t="str">
            <v>FIT-120090</v>
          </cell>
          <cell r="BG982" t="str">
            <v>Montado</v>
          </cell>
        </row>
        <row r="983">
          <cell r="A983" t="str">
            <v>FIT-120091</v>
          </cell>
          <cell r="BG983" t="str">
            <v>Não Montado</v>
          </cell>
        </row>
        <row r="984">
          <cell r="A984" t="str">
            <v>FIT-120092</v>
          </cell>
          <cell r="BG984" t="str">
            <v>Montado</v>
          </cell>
        </row>
        <row r="985">
          <cell r="A985" t="str">
            <v>FIT-120093</v>
          </cell>
          <cell r="BG985" t="str">
            <v>Não Montado</v>
          </cell>
        </row>
        <row r="986">
          <cell r="A986" t="str">
            <v>FIT-120094A</v>
          </cell>
          <cell r="BG986" t="str">
            <v>Não Montado</v>
          </cell>
        </row>
        <row r="987">
          <cell r="A987" t="str">
            <v>FIT-120094B</v>
          </cell>
          <cell r="BG987" t="str">
            <v>Montado</v>
          </cell>
        </row>
        <row r="988">
          <cell r="A988" t="str">
            <v>FIT-120095</v>
          </cell>
          <cell r="BG988" t="str">
            <v>Não Montado</v>
          </cell>
        </row>
        <row r="989">
          <cell r="A989" t="str">
            <v>FIT-120096</v>
          </cell>
          <cell r="BG989" t="str">
            <v>Montado</v>
          </cell>
        </row>
        <row r="990">
          <cell r="A990" t="str">
            <v>FIT-120400</v>
          </cell>
          <cell r="BG990" t="str">
            <v>Não Montado</v>
          </cell>
        </row>
        <row r="991">
          <cell r="A991" t="str">
            <v>FIT-120401</v>
          </cell>
          <cell r="BG991" t="str">
            <v>Não Montado</v>
          </cell>
        </row>
        <row r="992">
          <cell r="A992" t="str">
            <v>FIT-120402</v>
          </cell>
          <cell r="BG992" t="str">
            <v>Não Montado</v>
          </cell>
        </row>
        <row r="993">
          <cell r="A993" t="str">
            <v>FIT-120403</v>
          </cell>
          <cell r="BG993" t="str">
            <v>Não Montado</v>
          </cell>
        </row>
        <row r="994">
          <cell r="A994" t="str">
            <v>FIT-120404</v>
          </cell>
          <cell r="BG994" t="str">
            <v>Não Montado</v>
          </cell>
        </row>
        <row r="995">
          <cell r="A995" t="str">
            <v>FIT-120405</v>
          </cell>
          <cell r="BG995" t="str">
            <v>Não Montado</v>
          </cell>
        </row>
        <row r="996">
          <cell r="A996" t="str">
            <v>FIT-120406</v>
          </cell>
          <cell r="BG996" t="str">
            <v>Não Montado</v>
          </cell>
        </row>
        <row r="997">
          <cell r="A997" t="str">
            <v>FIT-120407</v>
          </cell>
          <cell r="BG997" t="str">
            <v>Não Montado</v>
          </cell>
        </row>
        <row r="998">
          <cell r="A998" t="str">
            <v>FIT-120408</v>
          </cell>
          <cell r="BG998" t="str">
            <v>Não Montado</v>
          </cell>
        </row>
        <row r="999">
          <cell r="A999" t="str">
            <v>FIT-120409</v>
          </cell>
          <cell r="BG999" t="str">
            <v>Não Montado</v>
          </cell>
        </row>
        <row r="1000">
          <cell r="A1000" t="str">
            <v>FIT-120410</v>
          </cell>
          <cell r="BG1000" t="str">
            <v>Montado</v>
          </cell>
        </row>
        <row r="1001">
          <cell r="A1001" t="str">
            <v>FIT-120411</v>
          </cell>
          <cell r="BG1001" t="str">
            <v>Em programação</v>
          </cell>
        </row>
        <row r="1002">
          <cell r="A1002" t="str">
            <v>FIT-120412</v>
          </cell>
          <cell r="BG1002" t="str">
            <v>Montado</v>
          </cell>
        </row>
        <row r="1003">
          <cell r="A1003" t="str">
            <v>FIT-120413</v>
          </cell>
          <cell r="BG1003" t="str">
            <v>Montado</v>
          </cell>
        </row>
        <row r="1004">
          <cell r="A1004" t="str">
            <v>FIT-120414</v>
          </cell>
          <cell r="BG1004" t="str">
            <v>Montado</v>
          </cell>
        </row>
        <row r="1005">
          <cell r="A1005" t="str">
            <v>FIT-120415</v>
          </cell>
          <cell r="BG1005" t="str">
            <v>Não Montado</v>
          </cell>
        </row>
        <row r="1006">
          <cell r="A1006" t="str">
            <v>FIT-120417</v>
          </cell>
          <cell r="BG1006" t="str">
            <v>Montado</v>
          </cell>
        </row>
        <row r="1007">
          <cell r="A1007" t="str">
            <v>FIT-120422</v>
          </cell>
          <cell r="BG1007" t="str">
            <v>Montado</v>
          </cell>
        </row>
        <row r="1008">
          <cell r="A1008" t="str">
            <v>FIT-120423</v>
          </cell>
          <cell r="BG1008" t="str">
            <v>Em programação</v>
          </cell>
        </row>
        <row r="1009">
          <cell r="A1009" t="str">
            <v>FIT-120600</v>
          </cell>
          <cell r="BG1009" t="str">
            <v>Montado</v>
          </cell>
        </row>
        <row r="1010">
          <cell r="A1010" t="str">
            <v>FIT-120601</v>
          </cell>
          <cell r="BG1010" t="str">
            <v>Não Montado</v>
          </cell>
        </row>
        <row r="1011">
          <cell r="A1011" t="str">
            <v>FIT-120604</v>
          </cell>
          <cell r="BG1011" t="str">
            <v>Montado</v>
          </cell>
        </row>
        <row r="1012">
          <cell r="A1012" t="str">
            <v>FIT-120606</v>
          </cell>
          <cell r="BG1012" t="str">
            <v>Programar</v>
          </cell>
        </row>
        <row r="1013">
          <cell r="A1013" t="str">
            <v>FIT-120607</v>
          </cell>
          <cell r="BG1013" t="str">
            <v>Montado</v>
          </cell>
        </row>
        <row r="1014">
          <cell r="A1014" t="str">
            <v>FIT-120608A</v>
          </cell>
          <cell r="BG1014" t="str">
            <v>Montado</v>
          </cell>
        </row>
        <row r="1015">
          <cell r="A1015" t="str">
            <v>FIT-120608B</v>
          </cell>
          <cell r="BG1015" t="str">
            <v>Montado</v>
          </cell>
        </row>
        <row r="1016">
          <cell r="A1016" t="str">
            <v>FIT-120608C</v>
          </cell>
          <cell r="BG1016" t="str">
            <v>Montado</v>
          </cell>
        </row>
        <row r="1017">
          <cell r="A1017" t="str">
            <v>FIT-120608D</v>
          </cell>
          <cell r="BG1017" t="str">
            <v>Montado</v>
          </cell>
        </row>
        <row r="1018">
          <cell r="A1018" t="str">
            <v>FIT-120609</v>
          </cell>
          <cell r="BG1018" t="str">
            <v>Programar</v>
          </cell>
        </row>
        <row r="1019">
          <cell r="A1019" t="str">
            <v>FIT-120700</v>
          </cell>
          <cell r="BG1019" t="str">
            <v>Montado</v>
          </cell>
        </row>
        <row r="1020">
          <cell r="A1020" t="str">
            <v>FIT-120701</v>
          </cell>
          <cell r="BG1020" t="str">
            <v>Não Montado</v>
          </cell>
        </row>
        <row r="1021">
          <cell r="A1021" t="str">
            <v>FIT-120704</v>
          </cell>
          <cell r="BG1021" t="str">
            <v>Não Montado</v>
          </cell>
        </row>
        <row r="1022">
          <cell r="A1022" t="str">
            <v>FIT-120706</v>
          </cell>
          <cell r="BG1022" t="str">
            <v>Programar</v>
          </cell>
        </row>
        <row r="1023">
          <cell r="A1023" t="str">
            <v>FIT-120707</v>
          </cell>
          <cell r="BG1023" t="str">
            <v>Montado</v>
          </cell>
        </row>
        <row r="1024">
          <cell r="A1024" t="str">
            <v>FIT-120708A</v>
          </cell>
          <cell r="BG1024" t="str">
            <v>Montado</v>
          </cell>
        </row>
        <row r="1025">
          <cell r="A1025" t="str">
            <v>FIT-120708B</v>
          </cell>
          <cell r="BG1025" t="str">
            <v>Não Montado</v>
          </cell>
        </row>
        <row r="1026">
          <cell r="A1026" t="str">
            <v>FIT-120708C</v>
          </cell>
          <cell r="BG1026" t="str">
            <v>Não Montado</v>
          </cell>
        </row>
        <row r="1027">
          <cell r="A1027" t="str">
            <v>FIT-120708D</v>
          </cell>
          <cell r="BG1027" t="str">
            <v>Não Montado</v>
          </cell>
        </row>
        <row r="1028">
          <cell r="A1028" t="str">
            <v>FIT-120709</v>
          </cell>
          <cell r="BG1028" t="str">
            <v>Programar</v>
          </cell>
        </row>
        <row r="1029">
          <cell r="A1029" t="str">
            <v>FIT-120750</v>
          </cell>
          <cell r="BG1029" t="str">
            <v>Não Montado</v>
          </cell>
        </row>
        <row r="1030">
          <cell r="A1030" t="str">
            <v>FIT-120901</v>
          </cell>
          <cell r="BG1030" t="str">
            <v>Não Montado</v>
          </cell>
        </row>
        <row r="1031">
          <cell r="A1031" t="str">
            <v>FIT-120902</v>
          </cell>
          <cell r="BG1031" t="str">
            <v>Não Montado</v>
          </cell>
        </row>
        <row r="1032">
          <cell r="A1032" t="str">
            <v>FIT-120903</v>
          </cell>
          <cell r="BG1032" t="str">
            <v>Não Montado</v>
          </cell>
        </row>
        <row r="1033">
          <cell r="A1033" t="str">
            <v>FIT-120904</v>
          </cell>
          <cell r="BG1033" t="str">
            <v>Programar</v>
          </cell>
        </row>
        <row r="1034">
          <cell r="A1034" t="str">
            <v>FIT-120905</v>
          </cell>
          <cell r="BG1034" t="str">
            <v>Não Montado</v>
          </cell>
        </row>
        <row r="1035">
          <cell r="A1035" t="str">
            <v>FIT-120906</v>
          </cell>
          <cell r="BG1035" t="str">
            <v>Programar</v>
          </cell>
        </row>
        <row r="1036">
          <cell r="A1036" t="str">
            <v>FIT-120907</v>
          </cell>
          <cell r="BG1036" t="str">
            <v>Programar</v>
          </cell>
        </row>
        <row r="1037">
          <cell r="A1037" t="str">
            <v>FIT-120908</v>
          </cell>
          <cell r="BG1037" t="str">
            <v>Programar</v>
          </cell>
        </row>
        <row r="1038">
          <cell r="A1038" t="str">
            <v>FIT-120909</v>
          </cell>
          <cell r="BG1038" t="str">
            <v>Não Montado</v>
          </cell>
        </row>
        <row r="1039">
          <cell r="A1039" t="str">
            <v>FIT-120910</v>
          </cell>
          <cell r="BG1039" t="str">
            <v>Programar</v>
          </cell>
        </row>
        <row r="1040">
          <cell r="A1040" t="str">
            <v>FIT-120911</v>
          </cell>
          <cell r="BG1040" t="str">
            <v>Não Montado</v>
          </cell>
        </row>
        <row r="1041">
          <cell r="A1041" t="str">
            <v>FIT-120912</v>
          </cell>
          <cell r="BG1041" t="str">
            <v>Não Montado</v>
          </cell>
        </row>
        <row r="1042">
          <cell r="A1042" t="str">
            <v>FIT-120913</v>
          </cell>
          <cell r="BG1042" t="str">
            <v>Não Montado</v>
          </cell>
        </row>
        <row r="1043">
          <cell r="A1043" t="str">
            <v>FIT-120914</v>
          </cell>
          <cell r="BG1043" t="str">
            <v>Programar</v>
          </cell>
        </row>
        <row r="1044">
          <cell r="A1044" t="str">
            <v>FIT-120915</v>
          </cell>
          <cell r="BG1044" t="str">
            <v>Programar</v>
          </cell>
        </row>
        <row r="1045">
          <cell r="A1045" t="str">
            <v>FIT-120916</v>
          </cell>
          <cell r="BG1045" t="str">
            <v>Programar</v>
          </cell>
        </row>
        <row r="1046">
          <cell r="A1046" t="str">
            <v>FIT-120917</v>
          </cell>
          <cell r="BG1046" t="str">
            <v>Programar</v>
          </cell>
        </row>
        <row r="1047">
          <cell r="A1047" t="str">
            <v>FIT-120918</v>
          </cell>
          <cell r="BG1047" t="str">
            <v>Programar</v>
          </cell>
        </row>
        <row r="1048">
          <cell r="A1048" t="str">
            <v>FIT-120919</v>
          </cell>
          <cell r="BG1048" t="str">
            <v>Não Montado</v>
          </cell>
        </row>
        <row r="1049">
          <cell r="A1049" t="str">
            <v>FIT-120920</v>
          </cell>
          <cell r="BG1049" t="str">
            <v>Não Montado</v>
          </cell>
        </row>
        <row r="1050">
          <cell r="A1050" t="str">
            <v>FIT-120921</v>
          </cell>
          <cell r="BG1050" t="str">
            <v>Programar</v>
          </cell>
        </row>
        <row r="1051">
          <cell r="A1051" t="str">
            <v>FIT-120922</v>
          </cell>
          <cell r="BG1051" t="str">
            <v>Programar</v>
          </cell>
        </row>
        <row r="1052">
          <cell r="A1052" t="str">
            <v>FIT-120923</v>
          </cell>
          <cell r="BG1052" t="str">
            <v>Programar</v>
          </cell>
        </row>
        <row r="1053">
          <cell r="A1053" t="str">
            <v>FIT-120924</v>
          </cell>
          <cell r="BG1053" t="str">
            <v>Programar</v>
          </cell>
        </row>
        <row r="1054">
          <cell r="A1054" t="str">
            <v>FIT-120925</v>
          </cell>
          <cell r="BG1054" t="str">
            <v>Programar</v>
          </cell>
        </row>
        <row r="1055">
          <cell r="A1055" t="str">
            <v>FIT-120926</v>
          </cell>
          <cell r="BG1055" t="str">
            <v>Programar</v>
          </cell>
        </row>
        <row r="1056">
          <cell r="A1056" t="str">
            <v>FIT-120927</v>
          </cell>
          <cell r="BG1056" t="str">
            <v>Não Montado</v>
          </cell>
        </row>
        <row r="1057">
          <cell r="A1057" t="str">
            <v>FIT-120928</v>
          </cell>
          <cell r="BG1057" t="str">
            <v>Programar</v>
          </cell>
        </row>
        <row r="1058">
          <cell r="A1058" t="str">
            <v>FIT-120929</v>
          </cell>
          <cell r="BG1058" t="str">
            <v>Não Montado</v>
          </cell>
        </row>
        <row r="1059">
          <cell r="A1059" t="str">
            <v>FIT-120930</v>
          </cell>
          <cell r="BG1059" t="str">
            <v>Não Montado</v>
          </cell>
        </row>
        <row r="1060">
          <cell r="A1060" t="str">
            <v>FIT-120931</v>
          </cell>
          <cell r="BG1060" t="str">
            <v>Programar</v>
          </cell>
        </row>
        <row r="1061">
          <cell r="A1061" t="str">
            <v>FIT-120932</v>
          </cell>
          <cell r="BG1061" t="str">
            <v>Programar</v>
          </cell>
        </row>
        <row r="1062">
          <cell r="A1062" t="str">
            <v>FIT-120933</v>
          </cell>
          <cell r="BG1062" t="str">
            <v>Não Montado</v>
          </cell>
        </row>
        <row r="1063">
          <cell r="A1063" t="str">
            <v>FIT-120934</v>
          </cell>
          <cell r="BG1063" t="str">
            <v>Não Montado</v>
          </cell>
        </row>
        <row r="1064">
          <cell r="A1064" t="str">
            <v>FIT-120935</v>
          </cell>
          <cell r="BG1064" t="str">
            <v>Não Montado</v>
          </cell>
        </row>
        <row r="1065">
          <cell r="A1065" t="str">
            <v>FIT-120936</v>
          </cell>
          <cell r="BG1065" t="str">
            <v>Programar</v>
          </cell>
        </row>
        <row r="1066">
          <cell r="A1066" t="str">
            <v>FIT-120937</v>
          </cell>
          <cell r="BG1066" t="str">
            <v>Não Montado</v>
          </cell>
        </row>
        <row r="1067">
          <cell r="A1067" t="str">
            <v>FIT-120938</v>
          </cell>
          <cell r="BG1067" t="str">
            <v>Não Montado</v>
          </cell>
        </row>
        <row r="1068">
          <cell r="A1068" t="str">
            <v>FIT-120939</v>
          </cell>
          <cell r="BG1068" t="str">
            <v>Não Montado</v>
          </cell>
        </row>
        <row r="1069">
          <cell r="A1069" t="str">
            <v>FIT-120940</v>
          </cell>
          <cell r="BG1069" t="str">
            <v>Não Montado</v>
          </cell>
        </row>
        <row r="1070">
          <cell r="A1070" t="str">
            <v>FIT-120941</v>
          </cell>
          <cell r="BG1070" t="str">
            <v>Não Montado</v>
          </cell>
        </row>
        <row r="1071">
          <cell r="A1071" t="str">
            <v>FIT-120942</v>
          </cell>
          <cell r="BG1071" t="str">
            <v>Não Montado</v>
          </cell>
        </row>
        <row r="1072">
          <cell r="A1072" t="str">
            <v>FIT-120943</v>
          </cell>
          <cell r="BG1072" t="str">
            <v>Não Montado</v>
          </cell>
        </row>
        <row r="1073">
          <cell r="A1073" t="str">
            <v>FIT-120944</v>
          </cell>
          <cell r="BG1073" t="str">
            <v>Não Montado</v>
          </cell>
        </row>
        <row r="1074">
          <cell r="A1074" t="str">
            <v>FIT-120945</v>
          </cell>
          <cell r="BG1074" t="str">
            <v>Não Montado</v>
          </cell>
        </row>
        <row r="1075">
          <cell r="A1075" t="str">
            <v>FIT-120946</v>
          </cell>
          <cell r="BG1075" t="str">
            <v>Não Montado</v>
          </cell>
        </row>
        <row r="1076">
          <cell r="A1076" t="str">
            <v>FIT-120947</v>
          </cell>
          <cell r="BG1076" t="str">
            <v>Não Montado</v>
          </cell>
        </row>
        <row r="1077">
          <cell r="A1077" t="str">
            <v>FIT-120948</v>
          </cell>
          <cell r="BG1077" t="str">
            <v>Não Montado</v>
          </cell>
        </row>
        <row r="1078">
          <cell r="A1078" t="str">
            <v>FIT-120949</v>
          </cell>
          <cell r="BG1078" t="str">
            <v>Não Montado</v>
          </cell>
        </row>
        <row r="1079">
          <cell r="A1079" t="str">
            <v>FIT-120950</v>
          </cell>
          <cell r="BG1079" t="str">
            <v>Programar</v>
          </cell>
        </row>
        <row r="1080">
          <cell r="A1080" t="str">
            <v>FIT-121901</v>
          </cell>
          <cell r="BG1080" t="str">
            <v>Programar</v>
          </cell>
        </row>
        <row r="1081">
          <cell r="A1081" t="str">
            <v>FIT-121902</v>
          </cell>
          <cell r="BG1081" t="str">
            <v>Programar</v>
          </cell>
        </row>
        <row r="1082">
          <cell r="A1082" t="str">
            <v>FIT-121903</v>
          </cell>
          <cell r="BG1082" t="str">
            <v>Não Montado</v>
          </cell>
        </row>
        <row r="1083">
          <cell r="A1083" t="str">
            <v>FO-120096A</v>
          </cell>
          <cell r="BG1083" t="str">
            <v>Não Montado</v>
          </cell>
        </row>
        <row r="1084">
          <cell r="A1084" t="str">
            <v>FO-120424</v>
          </cell>
          <cell r="BG1084" t="str">
            <v>Programar</v>
          </cell>
        </row>
        <row r="1085">
          <cell r="A1085" t="str">
            <v>FO-120602</v>
          </cell>
          <cell r="BG1085" t="str">
            <v>Não Montado</v>
          </cell>
        </row>
        <row r="1086">
          <cell r="A1086" t="str">
            <v>FO-120603</v>
          </cell>
          <cell r="BG1086" t="str">
            <v>Não Montado</v>
          </cell>
        </row>
        <row r="1087">
          <cell r="A1087" t="str">
            <v>FO-120605</v>
          </cell>
          <cell r="BG1087" t="str">
            <v>Não Montado</v>
          </cell>
        </row>
        <row r="1088">
          <cell r="A1088" t="str">
            <v>FO-120702</v>
          </cell>
          <cell r="BG1088" t="str">
            <v>Não Montado</v>
          </cell>
        </row>
        <row r="1089">
          <cell r="A1089" t="str">
            <v>FO-120703</v>
          </cell>
          <cell r="BG1089" t="str">
            <v>Não Montado</v>
          </cell>
        </row>
        <row r="1090">
          <cell r="A1090" t="str">
            <v>FO-120705</v>
          </cell>
          <cell r="BG1090" t="str">
            <v>Não Montado</v>
          </cell>
        </row>
        <row r="1091">
          <cell r="A1091" t="str">
            <v>FO-120951</v>
          </cell>
          <cell r="BG1091" t="str">
            <v>Não Montado</v>
          </cell>
        </row>
        <row r="1092">
          <cell r="A1092" t="str">
            <v>FO-120952</v>
          </cell>
          <cell r="BG1092" t="str">
            <v>Não Montado</v>
          </cell>
        </row>
        <row r="1093">
          <cell r="A1093" t="str">
            <v>FO-120953</v>
          </cell>
          <cell r="BG1093" t="str">
            <v>Não Montado</v>
          </cell>
        </row>
        <row r="1094">
          <cell r="A1094" t="str">
            <v>FO-120954</v>
          </cell>
          <cell r="BG1094" t="str">
            <v>Não Montado</v>
          </cell>
        </row>
        <row r="1095">
          <cell r="A1095" t="str">
            <v>FO-120955</v>
          </cell>
          <cell r="BG1095" t="str">
            <v>Não Montado</v>
          </cell>
        </row>
        <row r="1096">
          <cell r="A1096" t="str">
            <v>FO-120956</v>
          </cell>
          <cell r="BG1096" t="str">
            <v>Não Montado</v>
          </cell>
        </row>
        <row r="1097">
          <cell r="A1097" t="str">
            <v>FO-120957</v>
          </cell>
          <cell r="BG1097" t="str">
            <v>Não Montado</v>
          </cell>
        </row>
        <row r="1098">
          <cell r="A1098" t="str">
            <v>FO-120958</v>
          </cell>
          <cell r="BG1098" t="str">
            <v>Não Montado</v>
          </cell>
        </row>
        <row r="1099">
          <cell r="A1099" t="str">
            <v>FO-120959</v>
          </cell>
          <cell r="BG1099" t="str">
            <v>Não Montado</v>
          </cell>
        </row>
        <row r="1100">
          <cell r="A1100" t="str">
            <v>FO-120960</v>
          </cell>
          <cell r="BG1100" t="str">
            <v>Não Montado</v>
          </cell>
        </row>
        <row r="1101">
          <cell r="A1101" t="str">
            <v>FO-120961</v>
          </cell>
          <cell r="BG1101" t="str">
            <v>Não Montado</v>
          </cell>
        </row>
        <row r="1102">
          <cell r="A1102" t="str">
            <v>FO-120962</v>
          </cell>
          <cell r="BG1102" t="str">
            <v>Não Montado</v>
          </cell>
        </row>
        <row r="1103">
          <cell r="A1103" t="str">
            <v>FO-120963</v>
          </cell>
          <cell r="BG1103" t="str">
            <v>Não Montado</v>
          </cell>
        </row>
        <row r="1104">
          <cell r="A1104" t="str">
            <v>FO-120964</v>
          </cell>
          <cell r="BG1104" t="str">
            <v>Não Montado</v>
          </cell>
        </row>
        <row r="1105">
          <cell r="A1105" t="str">
            <v>FO-120965</v>
          </cell>
          <cell r="BG1105" t="str">
            <v>Não Montado</v>
          </cell>
        </row>
        <row r="1106">
          <cell r="A1106" t="str">
            <v>FO-120966</v>
          </cell>
          <cell r="BG1106" t="str">
            <v>Não Montado</v>
          </cell>
        </row>
        <row r="1107">
          <cell r="A1107" t="str">
            <v>FO-120967</v>
          </cell>
          <cell r="BG1107" t="str">
            <v>Não Montado</v>
          </cell>
        </row>
        <row r="1108">
          <cell r="A1108" t="str">
            <v>FO-120968</v>
          </cell>
          <cell r="BG1108" t="str">
            <v>Não Montado</v>
          </cell>
        </row>
        <row r="1109">
          <cell r="A1109" t="str">
            <v>FO-120969</v>
          </cell>
          <cell r="BG1109" t="str">
            <v>Não Montado</v>
          </cell>
        </row>
        <row r="1110">
          <cell r="A1110" t="str">
            <v>FO-120970</v>
          </cell>
          <cell r="BG1110" t="str">
            <v>Não Montado</v>
          </cell>
        </row>
        <row r="1111">
          <cell r="A1111" t="str">
            <v>FO-120971</v>
          </cell>
          <cell r="BG1111" t="str">
            <v>Não Montado</v>
          </cell>
        </row>
        <row r="1112">
          <cell r="A1112" t="str">
            <v>FO-120972</v>
          </cell>
          <cell r="BG1112" t="str">
            <v>Não Montado</v>
          </cell>
        </row>
        <row r="1113">
          <cell r="A1113" t="str">
            <v>FO-120973</v>
          </cell>
          <cell r="BG1113" t="str">
            <v>Não Montado</v>
          </cell>
        </row>
        <row r="1114">
          <cell r="A1114" t="str">
            <v>FO-120974</v>
          </cell>
          <cell r="BG1114" t="str">
            <v>Não Montado</v>
          </cell>
        </row>
        <row r="1115">
          <cell r="A1115" t="str">
            <v>FO-120975</v>
          </cell>
          <cell r="BG1115" t="str">
            <v>Não Montado</v>
          </cell>
        </row>
        <row r="1116">
          <cell r="A1116" t="str">
            <v>FO-120976</v>
          </cell>
          <cell r="BG1116" t="str">
            <v>Não Montado</v>
          </cell>
        </row>
        <row r="1117">
          <cell r="A1117" t="str">
            <v>FO-120977</v>
          </cell>
          <cell r="BG1117" t="str">
            <v>Não Montado</v>
          </cell>
        </row>
        <row r="1118">
          <cell r="A1118" t="str">
            <v>FO-120978</v>
          </cell>
          <cell r="BG1118" t="str">
            <v>Não Montado</v>
          </cell>
        </row>
        <row r="1119">
          <cell r="A1119" t="str">
            <v>FO-120979</v>
          </cell>
          <cell r="BG1119" t="str">
            <v>Não Montado</v>
          </cell>
        </row>
        <row r="1120">
          <cell r="A1120" t="str">
            <v>FO-120980</v>
          </cell>
          <cell r="BG1120" t="str">
            <v>Não Montado</v>
          </cell>
        </row>
        <row r="1121">
          <cell r="A1121" t="str">
            <v>FO-120985</v>
          </cell>
          <cell r="BG1121" t="str">
            <v>Não Montado</v>
          </cell>
        </row>
        <row r="1122">
          <cell r="A1122" t="str">
            <v>FO-120986</v>
          </cell>
          <cell r="BG1122" t="str">
            <v>Não Montado</v>
          </cell>
        </row>
        <row r="1123">
          <cell r="A1123" t="str">
            <v>FO-120987</v>
          </cell>
          <cell r="BG1123" t="str">
            <v>Não Montado</v>
          </cell>
        </row>
        <row r="1124">
          <cell r="A1124" t="str">
            <v>FO-120988</v>
          </cell>
          <cell r="BG1124" t="str">
            <v>Não Montado</v>
          </cell>
        </row>
        <row r="1125">
          <cell r="A1125" t="str">
            <v>FO-120991</v>
          </cell>
          <cell r="BG1125" t="str">
            <v>Não Montado</v>
          </cell>
        </row>
        <row r="1126">
          <cell r="A1126" t="str">
            <v>FO-120992</v>
          </cell>
          <cell r="BG1126" t="str">
            <v>Não Montado</v>
          </cell>
        </row>
        <row r="1127">
          <cell r="A1127" t="str">
            <v>FO-120993</v>
          </cell>
          <cell r="BG1127" t="str">
            <v>Não Montado</v>
          </cell>
        </row>
        <row r="1128">
          <cell r="A1128" t="str">
            <v>FO-120994</v>
          </cell>
          <cell r="BG1128" t="str">
            <v>Não Montado</v>
          </cell>
        </row>
        <row r="1129">
          <cell r="A1129" t="str">
            <v>FO-120995</v>
          </cell>
          <cell r="BG1129" t="str">
            <v>Não Montado</v>
          </cell>
        </row>
        <row r="1130">
          <cell r="A1130" t="str">
            <v>FO-120995B</v>
          </cell>
          <cell r="BG1130" t="str">
            <v>Não Montado</v>
          </cell>
        </row>
        <row r="1131">
          <cell r="A1131" t="str">
            <v>FO-120996</v>
          </cell>
          <cell r="BG1131" t="str">
            <v>Não Montado</v>
          </cell>
        </row>
        <row r="1132">
          <cell r="A1132" t="str">
            <v>FO-120996B</v>
          </cell>
          <cell r="BG1132" t="str">
            <v>Não Montado</v>
          </cell>
        </row>
        <row r="1133">
          <cell r="A1133" t="str">
            <v>FO-120997A</v>
          </cell>
          <cell r="BG1133" t="str">
            <v>Não Montado</v>
          </cell>
        </row>
        <row r="1134">
          <cell r="A1134" t="str">
            <v>FO-120997B</v>
          </cell>
          <cell r="BG1134" t="str">
            <v>Não Montado</v>
          </cell>
        </row>
        <row r="1135">
          <cell r="A1135" t="str">
            <v>FO-120998A</v>
          </cell>
          <cell r="BG1135" t="str">
            <v>Não Montado</v>
          </cell>
        </row>
        <row r="1136">
          <cell r="A1136" t="str">
            <v>FO-120998B</v>
          </cell>
          <cell r="BG1136" t="str">
            <v>Não Montado</v>
          </cell>
        </row>
        <row r="1137">
          <cell r="A1137" t="str">
            <v>FO-122022</v>
          </cell>
          <cell r="BG1137" t="str">
            <v>Não Montado</v>
          </cell>
        </row>
        <row r="1138">
          <cell r="A1138" t="str">
            <v>FSL-121000</v>
          </cell>
          <cell r="BG1138" t="str">
            <v>Não Montado</v>
          </cell>
        </row>
        <row r="1139">
          <cell r="A1139" t="str">
            <v>FSL-121001</v>
          </cell>
          <cell r="BG1139" t="str">
            <v>Montado</v>
          </cell>
        </row>
        <row r="1140">
          <cell r="A1140" t="str">
            <v>FSL-121002</v>
          </cell>
          <cell r="BG1140" t="str">
            <v>Montado</v>
          </cell>
        </row>
        <row r="1141">
          <cell r="A1141" t="str">
            <v>FSL-121003</v>
          </cell>
          <cell r="BG1141" t="str">
            <v>Montado</v>
          </cell>
        </row>
        <row r="1142">
          <cell r="A1142" t="str">
            <v>FSL-121004</v>
          </cell>
          <cell r="BG1142" t="str">
            <v>Montado</v>
          </cell>
        </row>
        <row r="1143">
          <cell r="A1143" t="str">
            <v>FSL-121005</v>
          </cell>
          <cell r="BG1143" t="str">
            <v>Montado</v>
          </cell>
        </row>
        <row r="1144">
          <cell r="A1144" t="str">
            <v>FSL-121006</v>
          </cell>
          <cell r="BG1144" t="str">
            <v>Montado</v>
          </cell>
        </row>
        <row r="1145">
          <cell r="A1145" t="str">
            <v>FSL-121007</v>
          </cell>
          <cell r="BG1145" t="str">
            <v>Montado</v>
          </cell>
        </row>
        <row r="1146">
          <cell r="A1146" t="str">
            <v>FSL-121008</v>
          </cell>
          <cell r="BG1146" t="str">
            <v>Não Montado</v>
          </cell>
        </row>
        <row r="1147">
          <cell r="A1147" t="str">
            <v>FSL-121009</v>
          </cell>
          <cell r="BG1147" t="str">
            <v>Montado</v>
          </cell>
        </row>
        <row r="1148">
          <cell r="A1148" t="str">
            <v>FSL-121010</v>
          </cell>
          <cell r="BG1148" t="str">
            <v>Não Montado</v>
          </cell>
        </row>
        <row r="1149">
          <cell r="A1149" t="str">
            <v>FSL-121011</v>
          </cell>
          <cell r="BG1149" t="str">
            <v>Não Montado</v>
          </cell>
        </row>
        <row r="1150">
          <cell r="A1150" t="str">
            <v>FSL-121012</v>
          </cell>
          <cell r="BG1150" t="str">
            <v>Não Montado</v>
          </cell>
        </row>
        <row r="1151">
          <cell r="A1151" t="str">
            <v>FSL-121013</v>
          </cell>
          <cell r="BG1151" t="str">
            <v>Não Montado</v>
          </cell>
        </row>
        <row r="1152">
          <cell r="A1152" t="str">
            <v>FSL-121014</v>
          </cell>
          <cell r="BG1152" t="str">
            <v>Não Montado</v>
          </cell>
        </row>
        <row r="1153">
          <cell r="A1153" t="str">
            <v>FSL-121015A</v>
          </cell>
          <cell r="BG1153" t="str">
            <v>Montado</v>
          </cell>
        </row>
        <row r="1154">
          <cell r="A1154" t="str">
            <v>FSL-121015B</v>
          </cell>
          <cell r="BG1154" t="str">
            <v>Montado</v>
          </cell>
        </row>
        <row r="1155">
          <cell r="A1155" t="str">
            <v>FSL-121016A</v>
          </cell>
          <cell r="BG1155" t="str">
            <v>Montado</v>
          </cell>
        </row>
        <row r="1156">
          <cell r="A1156" t="str">
            <v>FSL-121016B</v>
          </cell>
          <cell r="BG1156" t="str">
            <v>Montado</v>
          </cell>
        </row>
        <row r="1157">
          <cell r="A1157" t="str">
            <v>FSL-121016C</v>
          </cell>
          <cell r="BG1157" t="str">
            <v>Montado</v>
          </cell>
        </row>
        <row r="1158">
          <cell r="A1158" t="str">
            <v>FSL-121017</v>
          </cell>
          <cell r="BG1158" t="str">
            <v>Montado</v>
          </cell>
        </row>
        <row r="1159">
          <cell r="A1159" t="str">
            <v>FSL-121018</v>
          </cell>
          <cell r="BG1159" t="str">
            <v>Montado</v>
          </cell>
        </row>
        <row r="1160">
          <cell r="A1160" t="str">
            <v>FSL-121019</v>
          </cell>
          <cell r="BG1160" t="str">
            <v>Não Montado</v>
          </cell>
        </row>
        <row r="1161">
          <cell r="A1161" t="str">
            <v>FSL-121020</v>
          </cell>
          <cell r="BG1161" t="str">
            <v>Montado</v>
          </cell>
        </row>
        <row r="1162">
          <cell r="A1162" t="str">
            <v>FSL-121021</v>
          </cell>
          <cell r="BG1162" t="str">
            <v>Não Montado</v>
          </cell>
        </row>
        <row r="1163">
          <cell r="A1163" t="str">
            <v>FSL-121022</v>
          </cell>
          <cell r="BG1163" t="str">
            <v>Não Montado</v>
          </cell>
        </row>
        <row r="1164">
          <cell r="A1164" t="str">
            <v>FSL-121023</v>
          </cell>
          <cell r="BG1164" t="str">
            <v>Não Montado</v>
          </cell>
        </row>
        <row r="1165">
          <cell r="A1165" t="str">
            <v>FSL-121024</v>
          </cell>
          <cell r="BG1165" t="str">
            <v>Não Montado</v>
          </cell>
        </row>
        <row r="1166">
          <cell r="A1166" t="str">
            <v>FSL-121025</v>
          </cell>
          <cell r="BG1166" t="str">
            <v>Não Montado</v>
          </cell>
        </row>
        <row r="1167">
          <cell r="A1167" t="str">
            <v>FSL-121026</v>
          </cell>
          <cell r="BG1167" t="str">
            <v>Não Montado</v>
          </cell>
        </row>
        <row r="1168">
          <cell r="A1168" t="str">
            <v>FSL-121521</v>
          </cell>
          <cell r="BG1168" t="str">
            <v>Não Montado</v>
          </cell>
        </row>
        <row r="1169">
          <cell r="A1169" t="str">
            <v>FSL-121522</v>
          </cell>
          <cell r="BG1169" t="str">
            <v>Não Montado</v>
          </cell>
        </row>
        <row r="1170">
          <cell r="A1170" t="str">
            <v>FSL-121523</v>
          </cell>
          <cell r="BG1170" t="str">
            <v>Não Montado</v>
          </cell>
        </row>
        <row r="1171">
          <cell r="A1171" t="str">
            <v>FSL-121524</v>
          </cell>
          <cell r="BG1171" t="str">
            <v>Não Montado</v>
          </cell>
        </row>
        <row r="1172">
          <cell r="A1172" t="str">
            <v>FSL-121525</v>
          </cell>
          <cell r="BG1172" t="str">
            <v>Não Montado</v>
          </cell>
        </row>
        <row r="1173">
          <cell r="A1173" t="str">
            <v>FT-121009</v>
          </cell>
          <cell r="BG1173" t="str">
            <v>Não Montado</v>
          </cell>
        </row>
        <row r="1174">
          <cell r="A1174" t="str">
            <v>FV-120003</v>
          </cell>
          <cell r="BG1174" t="str">
            <v>Não Montado</v>
          </cell>
        </row>
        <row r="1175">
          <cell r="A1175" t="str">
            <v>FV-120004</v>
          </cell>
          <cell r="BG1175" t="str">
            <v>Não Montado</v>
          </cell>
        </row>
        <row r="1176">
          <cell r="A1176" t="str">
            <v>FV-120005</v>
          </cell>
          <cell r="BG1176" t="str">
            <v>Não Montado</v>
          </cell>
        </row>
        <row r="1177">
          <cell r="A1177" t="str">
            <v>FV-120007A</v>
          </cell>
          <cell r="BG1177" t="str">
            <v>Não Montado</v>
          </cell>
        </row>
        <row r="1178">
          <cell r="A1178" t="str">
            <v>FV-120007B</v>
          </cell>
          <cell r="BG1178" t="str">
            <v>Não Montado</v>
          </cell>
        </row>
        <row r="1179">
          <cell r="A1179" t="str">
            <v>FV-120008A</v>
          </cell>
          <cell r="BG1179" t="str">
            <v>Não Montado</v>
          </cell>
        </row>
        <row r="1180">
          <cell r="A1180" t="str">
            <v>FV-120008B</v>
          </cell>
          <cell r="BG1180" t="str">
            <v>Não Montado</v>
          </cell>
        </row>
        <row r="1181">
          <cell r="A1181" t="str">
            <v>FV-120009</v>
          </cell>
          <cell r="BG1181" t="str">
            <v>Não Montado</v>
          </cell>
        </row>
        <row r="1182">
          <cell r="A1182" t="str">
            <v>FV-120010</v>
          </cell>
          <cell r="BG1182" t="str">
            <v>Não Montado</v>
          </cell>
        </row>
        <row r="1183">
          <cell r="A1183" t="str">
            <v>FV-120011</v>
          </cell>
          <cell r="BG1183" t="str">
            <v>Não Montado</v>
          </cell>
        </row>
        <row r="1184">
          <cell r="A1184" t="str">
            <v>FV-120012</v>
          </cell>
          <cell r="BG1184" t="str">
            <v>Não Montado</v>
          </cell>
        </row>
        <row r="1185">
          <cell r="A1185" t="str">
            <v>FV-120013</v>
          </cell>
          <cell r="BG1185" t="str">
            <v>Não Montado</v>
          </cell>
        </row>
        <row r="1186">
          <cell r="A1186" t="str">
            <v>FV-120014</v>
          </cell>
          <cell r="BG1186" t="str">
            <v>Não Montado</v>
          </cell>
        </row>
        <row r="1187">
          <cell r="A1187" t="str">
            <v>FV-120015</v>
          </cell>
          <cell r="BG1187" t="str">
            <v>Não Montado</v>
          </cell>
        </row>
        <row r="1188">
          <cell r="A1188" t="str">
            <v>FV-120016</v>
          </cell>
          <cell r="BG1188" t="str">
            <v>Não Montado</v>
          </cell>
        </row>
        <row r="1189">
          <cell r="A1189" t="str">
            <v>FV-120017</v>
          </cell>
          <cell r="BG1189" t="str">
            <v>Não Montado</v>
          </cell>
        </row>
        <row r="1190">
          <cell r="A1190" t="str">
            <v>FV-120018</v>
          </cell>
          <cell r="BG1190" t="str">
            <v>Não Montado</v>
          </cell>
        </row>
        <row r="1191">
          <cell r="A1191" t="str">
            <v>FV-120019</v>
          </cell>
          <cell r="BG1191" t="str">
            <v>Não Montado</v>
          </cell>
        </row>
        <row r="1192">
          <cell r="A1192" t="str">
            <v>FV-120020</v>
          </cell>
          <cell r="BG1192" t="str">
            <v>Não Montado</v>
          </cell>
        </row>
        <row r="1193">
          <cell r="A1193" t="str">
            <v>FV-120021</v>
          </cell>
          <cell r="BG1193" t="str">
            <v>Não Montado</v>
          </cell>
        </row>
        <row r="1194">
          <cell r="A1194" t="str">
            <v>FV-120022</v>
          </cell>
          <cell r="BG1194" t="str">
            <v>Não Montado</v>
          </cell>
        </row>
        <row r="1195">
          <cell r="A1195" t="str">
            <v>FV-120023</v>
          </cell>
          <cell r="BG1195" t="str">
            <v>Não Montado</v>
          </cell>
        </row>
        <row r="1196">
          <cell r="A1196" t="str">
            <v>FV-120024</v>
          </cell>
          <cell r="BG1196" t="str">
            <v>Não Montado</v>
          </cell>
        </row>
        <row r="1197">
          <cell r="A1197" t="str">
            <v>FV-120025</v>
          </cell>
          <cell r="BG1197" t="str">
            <v>Não Montado</v>
          </cell>
        </row>
        <row r="1198">
          <cell r="A1198" t="str">
            <v>FV-120026</v>
          </cell>
          <cell r="BG1198" t="str">
            <v>Não Montado</v>
          </cell>
        </row>
        <row r="1199">
          <cell r="A1199" t="str">
            <v>FV-120027</v>
          </cell>
          <cell r="BG1199" t="str">
            <v>Não Montado</v>
          </cell>
        </row>
        <row r="1200">
          <cell r="A1200" t="str">
            <v>FV-120028</v>
          </cell>
          <cell r="BG1200" t="str">
            <v>Não Montado</v>
          </cell>
        </row>
        <row r="1201">
          <cell r="A1201" t="str">
            <v>FV-120029</v>
          </cell>
          <cell r="BG1201" t="str">
            <v>Não Montado</v>
          </cell>
        </row>
        <row r="1202">
          <cell r="A1202" t="str">
            <v>FV-120030</v>
          </cell>
          <cell r="BG1202" t="str">
            <v>Não Montado</v>
          </cell>
        </row>
        <row r="1203">
          <cell r="A1203" t="str">
            <v>FV-120031</v>
          </cell>
          <cell r="BG1203" t="str">
            <v>Não Montado</v>
          </cell>
        </row>
        <row r="1204">
          <cell r="A1204" t="str">
            <v>FV-120032</v>
          </cell>
          <cell r="BG1204" t="str">
            <v>Não Montado</v>
          </cell>
        </row>
        <row r="1205">
          <cell r="A1205" t="str">
            <v>FV-120033A</v>
          </cell>
          <cell r="BG1205" t="str">
            <v>Não Montado</v>
          </cell>
        </row>
        <row r="1206">
          <cell r="A1206" t="str">
            <v>FV-120033B</v>
          </cell>
          <cell r="BG1206" t="str">
            <v>Não Montado</v>
          </cell>
        </row>
        <row r="1207">
          <cell r="A1207" t="str">
            <v>FV-120034</v>
          </cell>
          <cell r="BG1207" t="str">
            <v>Não Montado</v>
          </cell>
        </row>
        <row r="1208">
          <cell r="A1208" t="str">
            <v>FV-120035</v>
          </cell>
          <cell r="BG1208" t="str">
            <v>Não Montado</v>
          </cell>
        </row>
        <row r="1209">
          <cell r="A1209" t="str">
            <v>FV-120039</v>
          </cell>
          <cell r="BG1209" t="str">
            <v>Não Montado</v>
          </cell>
        </row>
        <row r="1210">
          <cell r="A1210" t="str">
            <v>FV-120040A</v>
          </cell>
          <cell r="BG1210" t="str">
            <v>Não Montado</v>
          </cell>
        </row>
        <row r="1211">
          <cell r="A1211" t="str">
            <v>FV-120040B</v>
          </cell>
          <cell r="BG1211" t="str">
            <v>Não Montado</v>
          </cell>
        </row>
        <row r="1212">
          <cell r="A1212" t="str">
            <v>FV-120041A</v>
          </cell>
          <cell r="BG1212" t="str">
            <v>Não Montado</v>
          </cell>
        </row>
        <row r="1213">
          <cell r="A1213" t="str">
            <v>FV-120041B</v>
          </cell>
          <cell r="BG1213" t="str">
            <v>Não Montado</v>
          </cell>
        </row>
        <row r="1214">
          <cell r="A1214" t="str">
            <v>FV-120042A</v>
          </cell>
          <cell r="BG1214" t="str">
            <v>Não Montado</v>
          </cell>
        </row>
        <row r="1215">
          <cell r="A1215" t="str">
            <v>FV-120042B</v>
          </cell>
          <cell r="BG1215" t="str">
            <v>Não Montado</v>
          </cell>
        </row>
        <row r="1216">
          <cell r="A1216" t="str">
            <v>FV-120055</v>
          </cell>
          <cell r="BG1216" t="str">
            <v>Não Montado</v>
          </cell>
        </row>
        <row r="1217">
          <cell r="A1217" t="str">
            <v>FV-120058A</v>
          </cell>
          <cell r="BG1217" t="str">
            <v>Não Montado</v>
          </cell>
        </row>
        <row r="1218">
          <cell r="A1218" t="str">
            <v>FV-120058B</v>
          </cell>
          <cell r="BG1218" t="str">
            <v>Não Montado</v>
          </cell>
        </row>
        <row r="1219">
          <cell r="A1219" t="str">
            <v>FV-120067</v>
          </cell>
          <cell r="BG1219" t="str">
            <v>Não Montado</v>
          </cell>
        </row>
        <row r="1220">
          <cell r="A1220" t="str">
            <v>FV-120093C</v>
          </cell>
          <cell r="BG1220" t="str">
            <v>Não Montado</v>
          </cell>
        </row>
        <row r="1221">
          <cell r="A1221" t="str">
            <v>FV-120095</v>
          </cell>
          <cell r="BG1221" t="str">
            <v>Não Montado</v>
          </cell>
        </row>
        <row r="1222">
          <cell r="A1222" t="str">
            <v>FV-120096</v>
          </cell>
          <cell r="BG1222" t="str">
            <v>Não Montado</v>
          </cell>
        </row>
        <row r="1223">
          <cell r="A1223" t="str">
            <v>FV-120208B</v>
          </cell>
          <cell r="BG1223" t="str">
            <v>Não Montado</v>
          </cell>
        </row>
        <row r="1224">
          <cell r="A1224" t="str">
            <v>FV-120251</v>
          </cell>
          <cell r="BG1224" t="str">
            <v>Não Montado</v>
          </cell>
        </row>
        <row r="1225">
          <cell r="A1225" t="str">
            <v>FV-120600</v>
          </cell>
          <cell r="BG1225" t="str">
            <v>Não Montado</v>
          </cell>
        </row>
        <row r="1226">
          <cell r="A1226" t="str">
            <v>FV-120700</v>
          </cell>
          <cell r="BG1226" t="str">
            <v>Não Montado</v>
          </cell>
        </row>
        <row r="1227">
          <cell r="A1227" t="str">
            <v>FV-120951</v>
          </cell>
          <cell r="BG1227" t="str">
            <v>Não Montado</v>
          </cell>
        </row>
        <row r="1228">
          <cell r="A1228" t="str">
            <v>FV-120952</v>
          </cell>
          <cell r="BG1228" t="str">
            <v>Não Montado</v>
          </cell>
        </row>
        <row r="1229">
          <cell r="A1229" t="str">
            <v>FV-120953</v>
          </cell>
          <cell r="BG1229" t="str">
            <v>Não Montado</v>
          </cell>
        </row>
        <row r="1230">
          <cell r="A1230" t="str">
            <v>FY-120175</v>
          </cell>
          <cell r="BG1230" t="str">
            <v>Não Montado</v>
          </cell>
        </row>
        <row r="1231">
          <cell r="A1231" t="str">
            <v>FY-120176</v>
          </cell>
          <cell r="BG1231" t="str">
            <v>Não Montado</v>
          </cell>
        </row>
        <row r="1232">
          <cell r="A1232" t="str">
            <v>FY-120177</v>
          </cell>
          <cell r="BG1232" t="str">
            <v>Não Montado</v>
          </cell>
        </row>
        <row r="1233">
          <cell r="A1233" t="str">
            <v>FY-120179</v>
          </cell>
          <cell r="BG1233" t="str">
            <v>Não Montado</v>
          </cell>
        </row>
        <row r="1234">
          <cell r="A1234" t="str">
            <v>FY-120180</v>
          </cell>
          <cell r="BG1234" t="str">
            <v>Não Montado</v>
          </cell>
        </row>
        <row r="1235">
          <cell r="A1235" t="str">
            <v>FY-120182</v>
          </cell>
          <cell r="BG1235" t="str">
            <v>Não Montado</v>
          </cell>
        </row>
        <row r="1236">
          <cell r="A1236" t="str">
            <v>FY-120183</v>
          </cell>
          <cell r="BG1236" t="str">
            <v>Não Montado</v>
          </cell>
        </row>
        <row r="1237">
          <cell r="A1237" t="str">
            <v>FY-120185</v>
          </cell>
          <cell r="BG1237" t="str">
            <v>Não Montado</v>
          </cell>
        </row>
        <row r="1238">
          <cell r="A1238" t="str">
            <v>FZ-120003</v>
          </cell>
          <cell r="BG1238" t="str">
            <v>Não Montado</v>
          </cell>
        </row>
        <row r="1239">
          <cell r="A1239" t="str">
            <v>FZ-120004</v>
          </cell>
          <cell r="BG1239" t="str">
            <v>Não Montado</v>
          </cell>
        </row>
        <row r="1240">
          <cell r="A1240" t="str">
            <v>FZ-120005</v>
          </cell>
          <cell r="BG1240" t="str">
            <v>Não Montado</v>
          </cell>
        </row>
        <row r="1241">
          <cell r="A1241" t="str">
            <v>FZ-120007A</v>
          </cell>
          <cell r="BG1241" t="str">
            <v>Não Montado</v>
          </cell>
        </row>
        <row r="1242">
          <cell r="A1242" t="str">
            <v>FZ-120007B</v>
          </cell>
          <cell r="BG1242" t="str">
            <v>Não Montado</v>
          </cell>
        </row>
        <row r="1243">
          <cell r="A1243" t="str">
            <v>FZ-120008A</v>
          </cell>
          <cell r="BG1243" t="str">
            <v>Não Montado</v>
          </cell>
        </row>
        <row r="1244">
          <cell r="A1244" t="str">
            <v>FZ-120008B</v>
          </cell>
          <cell r="BG1244" t="str">
            <v>Não Montado</v>
          </cell>
        </row>
        <row r="1245">
          <cell r="A1245" t="str">
            <v>FZ-120009</v>
          </cell>
          <cell r="BG1245" t="str">
            <v>Não Montado</v>
          </cell>
        </row>
        <row r="1246">
          <cell r="A1246" t="str">
            <v>FZ-120010</v>
          </cell>
          <cell r="BG1246" t="str">
            <v>Não Montado</v>
          </cell>
        </row>
        <row r="1247">
          <cell r="A1247" t="str">
            <v>FZ-120011</v>
          </cell>
          <cell r="BG1247" t="str">
            <v>Não Montado</v>
          </cell>
        </row>
        <row r="1248">
          <cell r="A1248" t="str">
            <v>FZ-120012</v>
          </cell>
          <cell r="BG1248" t="str">
            <v>Não Montado</v>
          </cell>
        </row>
        <row r="1249">
          <cell r="A1249" t="str">
            <v>FZ-120013</v>
          </cell>
          <cell r="BG1249" t="str">
            <v>Não Montado</v>
          </cell>
        </row>
        <row r="1250">
          <cell r="A1250" t="str">
            <v>FZ-120014</v>
          </cell>
          <cell r="BG1250" t="str">
            <v>Não Montado</v>
          </cell>
        </row>
        <row r="1251">
          <cell r="A1251" t="str">
            <v>FZ-120015</v>
          </cell>
          <cell r="BG1251" t="str">
            <v>Não Montado</v>
          </cell>
        </row>
        <row r="1252">
          <cell r="A1252" t="str">
            <v>FZ-120016</v>
          </cell>
          <cell r="BG1252" t="str">
            <v>Não Montado</v>
          </cell>
        </row>
        <row r="1253">
          <cell r="A1253" t="str">
            <v>FZ-120017</v>
          </cell>
          <cell r="BG1253" t="str">
            <v>Não Montado</v>
          </cell>
        </row>
        <row r="1254">
          <cell r="A1254" t="str">
            <v>FZ-120018</v>
          </cell>
          <cell r="BG1254" t="str">
            <v>Não Montado</v>
          </cell>
        </row>
        <row r="1255">
          <cell r="A1255" t="str">
            <v>FZ-120020</v>
          </cell>
          <cell r="BG1255" t="str">
            <v>Não Montado</v>
          </cell>
        </row>
        <row r="1256">
          <cell r="A1256" t="str">
            <v>FZ-120021</v>
          </cell>
          <cell r="BG1256" t="str">
            <v>Não Montado</v>
          </cell>
        </row>
        <row r="1257">
          <cell r="A1257" t="str">
            <v>FZ-120022</v>
          </cell>
          <cell r="BG1257" t="str">
            <v>Não Montado</v>
          </cell>
        </row>
        <row r="1258">
          <cell r="A1258" t="str">
            <v>FZ-120023</v>
          </cell>
          <cell r="BG1258" t="str">
            <v>Não Montado</v>
          </cell>
        </row>
        <row r="1259">
          <cell r="A1259" t="str">
            <v>FZ-120024</v>
          </cell>
          <cell r="BG1259" t="str">
            <v>Não Montado</v>
          </cell>
        </row>
        <row r="1260">
          <cell r="A1260" t="str">
            <v>FZ-120025</v>
          </cell>
          <cell r="BG1260" t="str">
            <v>Não Montado</v>
          </cell>
        </row>
        <row r="1261">
          <cell r="A1261" t="str">
            <v>FZ-120026</v>
          </cell>
          <cell r="BG1261" t="str">
            <v>Não Montado</v>
          </cell>
        </row>
        <row r="1262">
          <cell r="A1262" t="str">
            <v>FZ-120027</v>
          </cell>
          <cell r="BG1262" t="str">
            <v>Não Montado</v>
          </cell>
        </row>
        <row r="1263">
          <cell r="A1263" t="str">
            <v>FZ-120028</v>
          </cell>
          <cell r="BG1263" t="str">
            <v>Não Montado</v>
          </cell>
        </row>
        <row r="1264">
          <cell r="A1264" t="str">
            <v>FZ-120029</v>
          </cell>
          <cell r="BG1264" t="str">
            <v>Não Montado</v>
          </cell>
        </row>
        <row r="1265">
          <cell r="A1265" t="str">
            <v>FZ-120030</v>
          </cell>
          <cell r="BG1265" t="str">
            <v>Não Montado</v>
          </cell>
        </row>
        <row r="1266">
          <cell r="A1266" t="str">
            <v>FZ-120031</v>
          </cell>
          <cell r="BG1266" t="str">
            <v>Não Montado</v>
          </cell>
        </row>
        <row r="1267">
          <cell r="A1267" t="str">
            <v>FZ-120032</v>
          </cell>
          <cell r="BG1267" t="str">
            <v>Não Montado</v>
          </cell>
        </row>
        <row r="1268">
          <cell r="A1268" t="str">
            <v>FZ-120033A</v>
          </cell>
          <cell r="BG1268" t="str">
            <v>Não Montado</v>
          </cell>
        </row>
        <row r="1269">
          <cell r="A1269" t="str">
            <v>FZ-120033B</v>
          </cell>
          <cell r="BG1269" t="str">
            <v>Não Montado</v>
          </cell>
        </row>
        <row r="1270">
          <cell r="A1270" t="str">
            <v>FZ-120035</v>
          </cell>
          <cell r="BG1270" t="str">
            <v>Não Montado</v>
          </cell>
        </row>
        <row r="1271">
          <cell r="A1271" t="str">
            <v>FZ-120039</v>
          </cell>
          <cell r="BG1271" t="str">
            <v>Não Montado</v>
          </cell>
        </row>
        <row r="1272">
          <cell r="A1272" t="str">
            <v>FZ-120040A</v>
          </cell>
          <cell r="BG1272" t="str">
            <v>Não Montado</v>
          </cell>
        </row>
        <row r="1273">
          <cell r="A1273" t="str">
            <v>FZ-120040B</v>
          </cell>
          <cell r="BG1273" t="str">
            <v>Não Montado</v>
          </cell>
        </row>
        <row r="1274">
          <cell r="A1274" t="str">
            <v>FZ-120041A</v>
          </cell>
          <cell r="BG1274" t="str">
            <v>Não Montado</v>
          </cell>
        </row>
        <row r="1275">
          <cell r="A1275" t="str">
            <v>FZ-120041B</v>
          </cell>
          <cell r="BG1275" t="str">
            <v>Não Montado</v>
          </cell>
        </row>
        <row r="1276">
          <cell r="A1276" t="str">
            <v>FZ-120042A</v>
          </cell>
          <cell r="BG1276" t="str">
            <v>Não Montado</v>
          </cell>
        </row>
        <row r="1277">
          <cell r="A1277" t="str">
            <v>FZ-120042B</v>
          </cell>
          <cell r="BG1277" t="str">
            <v>Não Montado</v>
          </cell>
        </row>
        <row r="1278">
          <cell r="A1278" t="str">
            <v>FZ-120055</v>
          </cell>
          <cell r="BG1278" t="str">
            <v>Não Montado</v>
          </cell>
        </row>
        <row r="1279">
          <cell r="A1279" t="str">
            <v>FZ-120058A</v>
          </cell>
          <cell r="BG1279" t="str">
            <v>Não Montado</v>
          </cell>
        </row>
        <row r="1280">
          <cell r="A1280" t="str">
            <v>FZ-120067</v>
          </cell>
          <cell r="BG1280" t="str">
            <v>Não Montado</v>
          </cell>
        </row>
        <row r="1281">
          <cell r="A1281" t="str">
            <v>FZ-120095</v>
          </cell>
          <cell r="BG1281" t="str">
            <v>Não Montado</v>
          </cell>
        </row>
        <row r="1282">
          <cell r="A1282" t="str">
            <v>FZ-120096</v>
          </cell>
          <cell r="BG1282" t="str">
            <v>Não Montado</v>
          </cell>
        </row>
        <row r="1283">
          <cell r="A1283" t="str">
            <v>HS-120006B</v>
          </cell>
          <cell r="BG1283" t="str">
            <v>Montado</v>
          </cell>
        </row>
        <row r="1284">
          <cell r="A1284" t="str">
            <v>HS-120006C</v>
          </cell>
          <cell r="BG1284" t="str">
            <v>Montado</v>
          </cell>
        </row>
        <row r="1285">
          <cell r="A1285" t="str">
            <v>HS-120008B</v>
          </cell>
          <cell r="BG1285" t="str">
            <v>Montado</v>
          </cell>
        </row>
        <row r="1286">
          <cell r="A1286" t="str">
            <v>HS-120008C</v>
          </cell>
          <cell r="BG1286" t="str">
            <v>Não Montado</v>
          </cell>
        </row>
        <row r="1287">
          <cell r="A1287" t="str">
            <v>HS-120016B</v>
          </cell>
          <cell r="BG1287" t="str">
            <v>Não Montado</v>
          </cell>
        </row>
        <row r="1288">
          <cell r="A1288" t="str">
            <v>HS-120016C</v>
          </cell>
          <cell r="BG1288" t="str">
            <v>Não Montado</v>
          </cell>
        </row>
        <row r="1289">
          <cell r="A1289" t="str">
            <v>HS-120050B</v>
          </cell>
          <cell r="BG1289" t="str">
            <v>Montado</v>
          </cell>
        </row>
        <row r="1290">
          <cell r="A1290" t="str">
            <v>HS-120050C</v>
          </cell>
          <cell r="BG1290" t="str">
            <v>Montado</v>
          </cell>
        </row>
        <row r="1291">
          <cell r="A1291" t="str">
            <v>HS-120056L</v>
          </cell>
          <cell r="BG1291" t="str">
            <v>Não Montado</v>
          </cell>
        </row>
        <row r="1292">
          <cell r="A1292" t="str">
            <v>HS-120056M</v>
          </cell>
          <cell r="BG1292" t="str">
            <v>Não Montado</v>
          </cell>
        </row>
        <row r="1293">
          <cell r="A1293" t="str">
            <v>HS-120056N</v>
          </cell>
          <cell r="BG1293" t="str">
            <v>Não Montado</v>
          </cell>
        </row>
        <row r="1294">
          <cell r="A1294" t="str">
            <v>HS-120056O</v>
          </cell>
          <cell r="BG1294" t="str">
            <v>Não Montado</v>
          </cell>
        </row>
        <row r="1295">
          <cell r="A1295" t="str">
            <v>HS-120057L</v>
          </cell>
          <cell r="BG1295" t="str">
            <v>Não Montado</v>
          </cell>
        </row>
        <row r="1296">
          <cell r="A1296" t="str">
            <v>HS-120057M</v>
          </cell>
          <cell r="BG1296" t="str">
            <v>Não Montado</v>
          </cell>
        </row>
        <row r="1297">
          <cell r="A1297" t="str">
            <v>HS-120057N</v>
          </cell>
          <cell r="BG1297" t="str">
            <v>Não Montado</v>
          </cell>
        </row>
        <row r="1298">
          <cell r="A1298" t="str">
            <v>HS-120057O</v>
          </cell>
          <cell r="BG1298" t="str">
            <v>Não Montado</v>
          </cell>
        </row>
        <row r="1299">
          <cell r="A1299" t="str">
            <v>HS-120058L</v>
          </cell>
          <cell r="BG1299" t="str">
            <v>Não Montado</v>
          </cell>
        </row>
        <row r="1300">
          <cell r="A1300" t="str">
            <v>HS-120058M</v>
          </cell>
          <cell r="BG1300" t="str">
            <v>Não Montado</v>
          </cell>
        </row>
        <row r="1301">
          <cell r="A1301" t="str">
            <v>HS-120058N</v>
          </cell>
          <cell r="BG1301" t="str">
            <v>Não Montado</v>
          </cell>
        </row>
        <row r="1302">
          <cell r="A1302" t="str">
            <v>HS-120058O</v>
          </cell>
          <cell r="BG1302" t="str">
            <v>Não Montado</v>
          </cell>
        </row>
        <row r="1303">
          <cell r="A1303" t="str">
            <v>HS-120060L</v>
          </cell>
          <cell r="BG1303" t="str">
            <v>Não Montado</v>
          </cell>
        </row>
        <row r="1304">
          <cell r="A1304" t="str">
            <v>HS-120060M</v>
          </cell>
          <cell r="BG1304" t="str">
            <v>Não Montado</v>
          </cell>
        </row>
        <row r="1305">
          <cell r="A1305" t="str">
            <v>HS-120060N</v>
          </cell>
          <cell r="BG1305" t="str">
            <v>Não Montado</v>
          </cell>
        </row>
        <row r="1306">
          <cell r="A1306" t="str">
            <v>HS-120060O</v>
          </cell>
          <cell r="BG1306" t="str">
            <v>Não Montado</v>
          </cell>
        </row>
        <row r="1307">
          <cell r="A1307" t="str">
            <v>HS-120061L</v>
          </cell>
          <cell r="BG1307" t="str">
            <v>Não Montado</v>
          </cell>
        </row>
        <row r="1308">
          <cell r="A1308" t="str">
            <v>HS-120061M</v>
          </cell>
          <cell r="BG1308" t="str">
            <v>Não Montado</v>
          </cell>
        </row>
        <row r="1309">
          <cell r="A1309" t="str">
            <v>HS-120061N</v>
          </cell>
          <cell r="BG1309" t="str">
            <v>Não Montado</v>
          </cell>
        </row>
        <row r="1310">
          <cell r="A1310" t="str">
            <v>HS-120061O</v>
          </cell>
          <cell r="BG1310" t="str">
            <v>Não Montado</v>
          </cell>
        </row>
        <row r="1311">
          <cell r="A1311" t="str">
            <v>HS-120065L</v>
          </cell>
          <cell r="BG1311" t="str">
            <v>Não Montado</v>
          </cell>
        </row>
        <row r="1312">
          <cell r="A1312" t="str">
            <v>HS-120065M</v>
          </cell>
          <cell r="BG1312" t="str">
            <v>Não Montado</v>
          </cell>
        </row>
        <row r="1313">
          <cell r="A1313" t="str">
            <v>HS-120065N</v>
          </cell>
          <cell r="BG1313" t="str">
            <v>Não Montado</v>
          </cell>
        </row>
        <row r="1314">
          <cell r="A1314" t="str">
            <v>HS-120065O</v>
          </cell>
          <cell r="BG1314" t="str">
            <v>Não Montado</v>
          </cell>
        </row>
        <row r="1315">
          <cell r="A1315" t="str">
            <v>HS-120068L</v>
          </cell>
          <cell r="BG1315" t="str">
            <v>Não Montado</v>
          </cell>
        </row>
        <row r="1316">
          <cell r="A1316" t="str">
            <v>HS-120068M</v>
          </cell>
          <cell r="BG1316" t="str">
            <v>Não Montado</v>
          </cell>
        </row>
        <row r="1317">
          <cell r="A1317" t="str">
            <v>HS-120068N</v>
          </cell>
          <cell r="BG1317" t="str">
            <v>Não Montado</v>
          </cell>
        </row>
        <row r="1318">
          <cell r="A1318" t="str">
            <v>HS-120068O</v>
          </cell>
          <cell r="BG1318" t="str">
            <v>Não Montado</v>
          </cell>
        </row>
        <row r="1319">
          <cell r="A1319" t="str">
            <v>HS-120069L</v>
          </cell>
          <cell r="BG1319" t="str">
            <v>Não Montado</v>
          </cell>
        </row>
        <row r="1320">
          <cell r="A1320" t="str">
            <v>HS-120069M</v>
          </cell>
          <cell r="BG1320" t="str">
            <v>Não Montado</v>
          </cell>
        </row>
        <row r="1321">
          <cell r="A1321" t="str">
            <v>HS-120069N</v>
          </cell>
          <cell r="BG1321" t="str">
            <v>Não Montado</v>
          </cell>
        </row>
        <row r="1322">
          <cell r="A1322" t="str">
            <v>HS-120069O</v>
          </cell>
          <cell r="BG1322" t="str">
            <v>Não Montado</v>
          </cell>
        </row>
        <row r="1323">
          <cell r="A1323" t="str">
            <v>HS-120070L</v>
          </cell>
          <cell r="BG1323" t="str">
            <v>Não Montado</v>
          </cell>
        </row>
        <row r="1324">
          <cell r="A1324" t="str">
            <v>HS-120070M</v>
          </cell>
          <cell r="BG1324" t="str">
            <v>Não Montado</v>
          </cell>
        </row>
        <row r="1325">
          <cell r="A1325" t="str">
            <v>HS-120070N</v>
          </cell>
          <cell r="BG1325" t="str">
            <v>Não Montado</v>
          </cell>
        </row>
        <row r="1326">
          <cell r="A1326" t="str">
            <v>HS-120070O</v>
          </cell>
          <cell r="BG1326" t="str">
            <v>Não Montado</v>
          </cell>
        </row>
        <row r="1327">
          <cell r="A1327" t="str">
            <v>HS-120071L</v>
          </cell>
          <cell r="BG1327" t="str">
            <v>Não Montado</v>
          </cell>
        </row>
        <row r="1328">
          <cell r="A1328" t="str">
            <v>HS-120071M</v>
          </cell>
          <cell r="BG1328" t="str">
            <v>Não Montado</v>
          </cell>
        </row>
        <row r="1329">
          <cell r="A1329" t="str">
            <v>HS-120071N</v>
          </cell>
          <cell r="BG1329" t="str">
            <v>Não Montado</v>
          </cell>
        </row>
        <row r="1330">
          <cell r="A1330" t="str">
            <v>HS-120071O</v>
          </cell>
          <cell r="BG1330" t="str">
            <v>Não Montado</v>
          </cell>
        </row>
        <row r="1331">
          <cell r="A1331" t="str">
            <v>HS-120077L</v>
          </cell>
          <cell r="BG1331" t="str">
            <v>Não Montado</v>
          </cell>
        </row>
        <row r="1332">
          <cell r="A1332" t="str">
            <v>HS-120077M</v>
          </cell>
          <cell r="BG1332" t="str">
            <v>Não Montado</v>
          </cell>
        </row>
        <row r="1333">
          <cell r="A1333" t="str">
            <v>HS-120077N</v>
          </cell>
          <cell r="BG1333" t="str">
            <v>Não Montado</v>
          </cell>
        </row>
        <row r="1334">
          <cell r="A1334" t="str">
            <v>HS-120077O</v>
          </cell>
          <cell r="BG1334" t="str">
            <v>Não Montado</v>
          </cell>
        </row>
        <row r="1335">
          <cell r="A1335" t="str">
            <v>HS-120078L</v>
          </cell>
          <cell r="BG1335" t="str">
            <v>Não Montado</v>
          </cell>
        </row>
        <row r="1336">
          <cell r="A1336" t="str">
            <v>HS-120078M</v>
          </cell>
          <cell r="BG1336" t="str">
            <v>Não Montado</v>
          </cell>
        </row>
        <row r="1337">
          <cell r="A1337" t="str">
            <v>HS-120078N</v>
          </cell>
          <cell r="BG1337" t="str">
            <v>Não Montado</v>
          </cell>
        </row>
        <row r="1338">
          <cell r="A1338" t="str">
            <v>HS-120078O</v>
          </cell>
          <cell r="BG1338" t="str">
            <v>Não Montado</v>
          </cell>
        </row>
        <row r="1339">
          <cell r="A1339" t="str">
            <v>HS-120082L</v>
          </cell>
          <cell r="BG1339" t="str">
            <v>Não Montado</v>
          </cell>
        </row>
        <row r="1340">
          <cell r="A1340" t="str">
            <v>HS-120082M</v>
          </cell>
          <cell r="BG1340" t="str">
            <v>Não Montado</v>
          </cell>
        </row>
        <row r="1341">
          <cell r="A1341" t="str">
            <v>HS-120082N</v>
          </cell>
          <cell r="BG1341" t="str">
            <v>Não Montado</v>
          </cell>
        </row>
        <row r="1342">
          <cell r="A1342" t="str">
            <v>HS-120082O</v>
          </cell>
          <cell r="BG1342" t="str">
            <v>Não Montado</v>
          </cell>
        </row>
        <row r="1343">
          <cell r="A1343" t="str">
            <v>HS-120083L</v>
          </cell>
          <cell r="BG1343" t="str">
            <v>Não Montado</v>
          </cell>
        </row>
        <row r="1344">
          <cell r="A1344" t="str">
            <v>HS-120083M</v>
          </cell>
          <cell r="BG1344" t="str">
            <v>Não Montado</v>
          </cell>
        </row>
        <row r="1345">
          <cell r="A1345" t="str">
            <v>HS-120083N</v>
          </cell>
          <cell r="BG1345" t="str">
            <v>Não Montado</v>
          </cell>
        </row>
        <row r="1346">
          <cell r="A1346" t="str">
            <v>HS-120083O</v>
          </cell>
          <cell r="BG1346" t="str">
            <v>Não Montado</v>
          </cell>
        </row>
        <row r="1347">
          <cell r="A1347" t="str">
            <v>HS-120084L</v>
          </cell>
          <cell r="BG1347" t="str">
            <v>Não Montado</v>
          </cell>
        </row>
        <row r="1348">
          <cell r="A1348" t="str">
            <v>HS-120084M</v>
          </cell>
          <cell r="BG1348" t="str">
            <v>Não Montado</v>
          </cell>
        </row>
        <row r="1349">
          <cell r="A1349" t="str">
            <v>HS-120084N</v>
          </cell>
          <cell r="BG1349" t="str">
            <v>Não Montado</v>
          </cell>
        </row>
        <row r="1350">
          <cell r="A1350" t="str">
            <v>HS-120084O</v>
          </cell>
          <cell r="BG1350" t="str">
            <v>Não Montado</v>
          </cell>
        </row>
        <row r="1351">
          <cell r="A1351" t="str">
            <v>HS-120085L</v>
          </cell>
          <cell r="BG1351" t="str">
            <v>Não Montado</v>
          </cell>
        </row>
        <row r="1352">
          <cell r="A1352" t="str">
            <v>HS-120085M</v>
          </cell>
          <cell r="BG1352" t="str">
            <v>Não Montado</v>
          </cell>
        </row>
        <row r="1353">
          <cell r="A1353" t="str">
            <v>HS-120085N</v>
          </cell>
          <cell r="BG1353" t="str">
            <v>Não Montado</v>
          </cell>
        </row>
        <row r="1354">
          <cell r="A1354" t="str">
            <v>HS-120085O</v>
          </cell>
          <cell r="BG1354" t="str">
            <v>Não Montado</v>
          </cell>
        </row>
        <row r="1355">
          <cell r="A1355" t="str">
            <v>HS-120250</v>
          </cell>
          <cell r="BG1355" t="str">
            <v>Não Montado</v>
          </cell>
        </row>
        <row r="1356">
          <cell r="A1356" t="str">
            <v>HS-120610A1/A2</v>
          </cell>
          <cell r="BG1356" t="str">
            <v>Não Montado</v>
          </cell>
        </row>
        <row r="1357">
          <cell r="A1357" t="str">
            <v>HS-120610B1/B2</v>
          </cell>
          <cell r="BG1357" t="str">
            <v>Não Montado</v>
          </cell>
        </row>
        <row r="1358">
          <cell r="A1358" t="str">
            <v>HS-120610C1/C2</v>
          </cell>
          <cell r="BG1358" t="str">
            <v>Não Montado</v>
          </cell>
        </row>
        <row r="1359">
          <cell r="A1359" t="str">
            <v>HS-120610D1/D2</v>
          </cell>
          <cell r="BG1359" t="str">
            <v>Não Montado</v>
          </cell>
        </row>
        <row r="1360">
          <cell r="A1360" t="str">
            <v>HS-120610E1/E2</v>
          </cell>
          <cell r="BG1360" t="str">
            <v>Não Montado</v>
          </cell>
        </row>
        <row r="1361">
          <cell r="A1361" t="str">
            <v>HS-120610F1/F2</v>
          </cell>
          <cell r="BG1361" t="str">
            <v>Não Montado</v>
          </cell>
        </row>
        <row r="1362">
          <cell r="A1362" t="str">
            <v>HS-120610G1/G2</v>
          </cell>
          <cell r="BG1362" t="str">
            <v>Não Montado</v>
          </cell>
        </row>
        <row r="1363">
          <cell r="A1363" t="str">
            <v>HS-120610H1/H2</v>
          </cell>
          <cell r="BG1363" t="str">
            <v>Não Montado</v>
          </cell>
        </row>
        <row r="1364">
          <cell r="A1364" t="str">
            <v>HS-120610J1/J2</v>
          </cell>
          <cell r="BG1364" t="str">
            <v>Não Montado</v>
          </cell>
        </row>
        <row r="1365">
          <cell r="A1365" t="str">
            <v>HS-120610K1/K2</v>
          </cell>
          <cell r="BG1365" t="str">
            <v>Não Montado</v>
          </cell>
        </row>
        <row r="1366">
          <cell r="A1366" t="str">
            <v>HS-120610L1/L2</v>
          </cell>
          <cell r="BG1366" t="str">
            <v>Não Montado</v>
          </cell>
        </row>
        <row r="1367">
          <cell r="A1367" t="str">
            <v>HS-120610M1/M2</v>
          </cell>
          <cell r="BG1367" t="str">
            <v>Não Montado</v>
          </cell>
        </row>
        <row r="1368">
          <cell r="A1368" t="str">
            <v>HS-120610N1/N2</v>
          </cell>
          <cell r="BG1368" t="str">
            <v>Não Montado</v>
          </cell>
        </row>
        <row r="1369">
          <cell r="A1369" t="str">
            <v>HS-120610P1/P2</v>
          </cell>
          <cell r="BG1369" t="str">
            <v>Não Montado</v>
          </cell>
        </row>
        <row r="1370">
          <cell r="A1370" t="str">
            <v>HS-120610Q1/Q2</v>
          </cell>
          <cell r="BG1370" t="str">
            <v>Não Montado</v>
          </cell>
        </row>
        <row r="1371">
          <cell r="A1371" t="str">
            <v>HS-120610U1/U2</v>
          </cell>
          <cell r="BG1371" t="str">
            <v>Não Montado</v>
          </cell>
        </row>
        <row r="1372">
          <cell r="A1372" t="str">
            <v>HS-120612A1/A2</v>
          </cell>
          <cell r="BG1372" t="str">
            <v>Não Montado</v>
          </cell>
        </row>
        <row r="1373">
          <cell r="A1373" t="str">
            <v>HS-120612B1/B2</v>
          </cell>
          <cell r="BG1373" t="str">
            <v>Não Montado</v>
          </cell>
        </row>
        <row r="1374">
          <cell r="A1374" t="str">
            <v>HS-120612C1/C2</v>
          </cell>
          <cell r="BG1374" t="str">
            <v>Não Montado</v>
          </cell>
        </row>
        <row r="1375">
          <cell r="A1375" t="str">
            <v>HS-120612D1/D2</v>
          </cell>
          <cell r="BG1375" t="str">
            <v>Não Montado</v>
          </cell>
        </row>
        <row r="1376">
          <cell r="A1376" t="str">
            <v>HS-120612E1/E2</v>
          </cell>
          <cell r="BG1376" t="str">
            <v>Não Montado</v>
          </cell>
        </row>
        <row r="1377">
          <cell r="A1377" t="str">
            <v>HS-120612F1/F2</v>
          </cell>
          <cell r="BG1377" t="str">
            <v>Não Montado</v>
          </cell>
        </row>
        <row r="1378">
          <cell r="A1378" t="str">
            <v>HS-120612G1/G2</v>
          </cell>
          <cell r="BG1378" t="str">
            <v>Não Montado</v>
          </cell>
        </row>
        <row r="1379">
          <cell r="A1379" t="str">
            <v>HS-120612H1/H2</v>
          </cell>
          <cell r="BG1379" t="str">
            <v>Não Montado</v>
          </cell>
        </row>
        <row r="1380">
          <cell r="A1380" t="str">
            <v>HS-120612J1/J2</v>
          </cell>
          <cell r="BG1380" t="str">
            <v>Não Montado</v>
          </cell>
        </row>
        <row r="1381">
          <cell r="A1381" t="str">
            <v>HS-120612K1/K2</v>
          </cell>
          <cell r="BG1381" t="str">
            <v>Não Montado</v>
          </cell>
        </row>
        <row r="1382">
          <cell r="A1382" t="str">
            <v>HS-120612L1/L2</v>
          </cell>
          <cell r="BG1382" t="str">
            <v>Não Montado</v>
          </cell>
        </row>
        <row r="1383">
          <cell r="A1383" t="str">
            <v>HS-120612M1/M2</v>
          </cell>
          <cell r="BG1383" t="str">
            <v>Não Montado</v>
          </cell>
        </row>
        <row r="1384">
          <cell r="A1384" t="str">
            <v>HS-120612N1/N2</v>
          </cell>
          <cell r="BG1384" t="str">
            <v>Não Montado</v>
          </cell>
        </row>
        <row r="1385">
          <cell r="A1385" t="str">
            <v>HS-120612P1/P2</v>
          </cell>
          <cell r="BG1385" t="str">
            <v>Não Montado</v>
          </cell>
        </row>
        <row r="1386">
          <cell r="A1386" t="str">
            <v>HS-120612Q1/Q2</v>
          </cell>
          <cell r="BG1386" t="str">
            <v>Não Montado</v>
          </cell>
        </row>
        <row r="1387">
          <cell r="A1387" t="str">
            <v>HS-120612U1/U2</v>
          </cell>
          <cell r="BG1387" t="str">
            <v>Não Montado</v>
          </cell>
        </row>
        <row r="1388">
          <cell r="A1388" t="str">
            <v>HS-120613A1/A2</v>
          </cell>
          <cell r="BG1388" t="str">
            <v>Não Montado</v>
          </cell>
        </row>
        <row r="1389">
          <cell r="A1389" t="str">
            <v>HS-120613B1/B2</v>
          </cell>
          <cell r="BG1389" t="str">
            <v>Não Montado</v>
          </cell>
        </row>
        <row r="1390">
          <cell r="A1390" t="str">
            <v>HS-120613C1/C2</v>
          </cell>
          <cell r="BG1390" t="str">
            <v>Não Montado</v>
          </cell>
        </row>
        <row r="1391">
          <cell r="A1391" t="str">
            <v>HS-120613D1/D2</v>
          </cell>
          <cell r="BG1391" t="str">
            <v>Não Montado</v>
          </cell>
        </row>
        <row r="1392">
          <cell r="A1392" t="str">
            <v>HS-120613E1/E2</v>
          </cell>
          <cell r="BG1392" t="str">
            <v>Não Montado</v>
          </cell>
        </row>
        <row r="1393">
          <cell r="A1393" t="str">
            <v>HS-120613F1/F2</v>
          </cell>
          <cell r="BG1393" t="str">
            <v>Não Montado</v>
          </cell>
        </row>
        <row r="1394">
          <cell r="A1394" t="str">
            <v>HS-120613G1/G2</v>
          </cell>
          <cell r="BG1394" t="str">
            <v>Não Montado</v>
          </cell>
        </row>
        <row r="1395">
          <cell r="A1395" t="str">
            <v>HS-120613H1/H2</v>
          </cell>
          <cell r="BG1395" t="str">
            <v>Não Montado</v>
          </cell>
        </row>
        <row r="1396">
          <cell r="A1396" t="str">
            <v>HS-120613J1/J2</v>
          </cell>
          <cell r="BG1396" t="str">
            <v>Não Montado</v>
          </cell>
        </row>
        <row r="1397">
          <cell r="A1397" t="str">
            <v>HS-120613K1/K2</v>
          </cell>
          <cell r="BG1397" t="str">
            <v>Não Montado</v>
          </cell>
        </row>
        <row r="1398">
          <cell r="A1398" t="str">
            <v>HS-120613L1/L2</v>
          </cell>
          <cell r="BG1398" t="str">
            <v>Não Montado</v>
          </cell>
        </row>
        <row r="1399">
          <cell r="A1399" t="str">
            <v>HS-120613M1/M2</v>
          </cell>
          <cell r="BG1399" t="str">
            <v>Não Montado</v>
          </cell>
        </row>
        <row r="1400">
          <cell r="A1400" t="str">
            <v>HS-120613N1/N2</v>
          </cell>
          <cell r="BG1400" t="str">
            <v>Não Montado</v>
          </cell>
        </row>
        <row r="1401">
          <cell r="A1401" t="str">
            <v>HS-120613P1/P2</v>
          </cell>
          <cell r="BG1401" t="str">
            <v>Não Montado</v>
          </cell>
        </row>
        <row r="1402">
          <cell r="A1402" t="str">
            <v>HS-120613Q1/Q2</v>
          </cell>
          <cell r="BG1402" t="str">
            <v>Não Montado</v>
          </cell>
        </row>
        <row r="1403">
          <cell r="A1403" t="str">
            <v>HS-120613U1/U2</v>
          </cell>
          <cell r="BG1403" t="str">
            <v>Não Montado</v>
          </cell>
        </row>
        <row r="1404">
          <cell r="A1404" t="str">
            <v>HS-120689A</v>
          </cell>
          <cell r="BG1404" t="str">
            <v>Não Montado</v>
          </cell>
        </row>
        <row r="1405">
          <cell r="A1405" t="str">
            <v>HS-120689B</v>
          </cell>
          <cell r="BG1405" t="str">
            <v>Não Montado</v>
          </cell>
        </row>
        <row r="1406">
          <cell r="A1406" t="str">
            <v>HS-120690A</v>
          </cell>
          <cell r="BG1406" t="str">
            <v>Não Montado</v>
          </cell>
        </row>
        <row r="1407">
          <cell r="A1407" t="str">
            <v>HS-120690B</v>
          </cell>
          <cell r="BG1407" t="str">
            <v>Não Montado</v>
          </cell>
        </row>
        <row r="1408">
          <cell r="A1408" t="str">
            <v>HS-120710A1/A2</v>
          </cell>
          <cell r="BG1408" t="str">
            <v>Não Montado</v>
          </cell>
        </row>
        <row r="1409">
          <cell r="A1409" t="str">
            <v>HS-120710B1/B2</v>
          </cell>
          <cell r="BG1409" t="str">
            <v>Não Montado</v>
          </cell>
        </row>
        <row r="1410">
          <cell r="A1410" t="str">
            <v>HS-120710C1/C2</v>
          </cell>
          <cell r="BG1410" t="str">
            <v>Não Montado</v>
          </cell>
        </row>
        <row r="1411">
          <cell r="A1411" t="str">
            <v>HS-120710D1/D2</v>
          </cell>
          <cell r="BG1411" t="str">
            <v>Não Montado</v>
          </cell>
        </row>
        <row r="1412">
          <cell r="A1412" t="str">
            <v>HS-120710E1/E2</v>
          </cell>
          <cell r="BG1412" t="str">
            <v>Não Montado</v>
          </cell>
        </row>
        <row r="1413">
          <cell r="A1413" t="str">
            <v>HS-120710F1/F2</v>
          </cell>
          <cell r="BG1413" t="str">
            <v>Não Montado</v>
          </cell>
        </row>
        <row r="1414">
          <cell r="A1414" t="str">
            <v>HS-120710G1/G2</v>
          </cell>
          <cell r="BG1414" t="str">
            <v>Não Montado</v>
          </cell>
        </row>
        <row r="1415">
          <cell r="A1415" t="str">
            <v>HS-120710H1/H2</v>
          </cell>
          <cell r="BG1415" t="str">
            <v>Não Montado</v>
          </cell>
        </row>
        <row r="1416">
          <cell r="A1416" t="str">
            <v>HS-120710J1/J2</v>
          </cell>
          <cell r="BG1416" t="str">
            <v>Não Montado</v>
          </cell>
        </row>
        <row r="1417">
          <cell r="A1417" t="str">
            <v>HS-120710K1/K2</v>
          </cell>
          <cell r="BG1417" t="str">
            <v>Não Montado</v>
          </cell>
        </row>
        <row r="1418">
          <cell r="A1418" t="str">
            <v>HS-120710L1/L2</v>
          </cell>
          <cell r="BG1418" t="str">
            <v>Não Montado</v>
          </cell>
        </row>
        <row r="1419">
          <cell r="A1419" t="str">
            <v>HS-120710M1/M2</v>
          </cell>
          <cell r="BG1419" t="str">
            <v>Não Montado</v>
          </cell>
        </row>
        <row r="1420">
          <cell r="A1420" t="str">
            <v>HS-120710N1/N2</v>
          </cell>
          <cell r="BG1420" t="str">
            <v>Não Montado</v>
          </cell>
        </row>
        <row r="1421">
          <cell r="A1421" t="str">
            <v>HS-120710P1/P2</v>
          </cell>
          <cell r="BG1421" t="str">
            <v>Não Montado</v>
          </cell>
        </row>
        <row r="1422">
          <cell r="A1422" t="str">
            <v>HS-120710Q1/Q2</v>
          </cell>
          <cell r="BG1422" t="str">
            <v>Não Montado</v>
          </cell>
        </row>
        <row r="1423">
          <cell r="A1423" t="str">
            <v>HS-120710U1/U2</v>
          </cell>
          <cell r="BG1423" t="str">
            <v>Não Montado</v>
          </cell>
        </row>
        <row r="1424">
          <cell r="A1424" t="str">
            <v>HS-120712A1/A2</v>
          </cell>
          <cell r="BG1424" t="str">
            <v>Não Montado</v>
          </cell>
        </row>
        <row r="1425">
          <cell r="A1425" t="str">
            <v>HS-120712B1/B2</v>
          </cell>
          <cell r="BG1425" t="str">
            <v>Não Montado</v>
          </cell>
        </row>
        <row r="1426">
          <cell r="A1426" t="str">
            <v>HS-120712C1/C2</v>
          </cell>
          <cell r="BG1426" t="str">
            <v>Não Montado</v>
          </cell>
        </row>
        <row r="1427">
          <cell r="A1427" t="str">
            <v>HS-120712D1/D2</v>
          </cell>
          <cell r="BG1427" t="str">
            <v>Não Montado</v>
          </cell>
        </row>
        <row r="1428">
          <cell r="A1428" t="str">
            <v>HS-120712E1/E2</v>
          </cell>
          <cell r="BG1428" t="str">
            <v>Não Montado</v>
          </cell>
        </row>
        <row r="1429">
          <cell r="A1429" t="str">
            <v>HS-120712F1/F2</v>
          </cell>
          <cell r="BG1429" t="str">
            <v>Não Montado</v>
          </cell>
        </row>
        <row r="1430">
          <cell r="A1430" t="str">
            <v>HS-120712G1/G2</v>
          </cell>
          <cell r="BG1430" t="str">
            <v>Não Montado</v>
          </cell>
        </row>
        <row r="1431">
          <cell r="A1431" t="str">
            <v>HS-120712H1/H2</v>
          </cell>
          <cell r="BG1431" t="str">
            <v>Não Montado</v>
          </cell>
        </row>
        <row r="1432">
          <cell r="A1432" t="str">
            <v>HS-120712J1/J2</v>
          </cell>
          <cell r="BG1432" t="str">
            <v>Não Montado</v>
          </cell>
        </row>
        <row r="1433">
          <cell r="A1433" t="str">
            <v>HS-120712K1/K2</v>
          </cell>
          <cell r="BG1433" t="str">
            <v>Não Montado</v>
          </cell>
        </row>
        <row r="1434">
          <cell r="A1434" t="str">
            <v>HS-120712L1/L2</v>
          </cell>
          <cell r="BG1434" t="str">
            <v>Não Montado</v>
          </cell>
        </row>
        <row r="1435">
          <cell r="A1435" t="str">
            <v>HS-120712M1/M2</v>
          </cell>
          <cell r="BG1435" t="str">
            <v>Não Montado</v>
          </cell>
        </row>
        <row r="1436">
          <cell r="A1436" t="str">
            <v>HS-120712N1/N2</v>
          </cell>
          <cell r="BG1436" t="str">
            <v>Não Montado</v>
          </cell>
        </row>
        <row r="1437">
          <cell r="A1437" t="str">
            <v>HS-120712P1/P2</v>
          </cell>
          <cell r="BG1437" t="str">
            <v>Não Montado</v>
          </cell>
        </row>
        <row r="1438">
          <cell r="A1438" t="str">
            <v>HS-120712Q1/Q2</v>
          </cell>
          <cell r="BG1438" t="str">
            <v>Não Montado</v>
          </cell>
        </row>
        <row r="1439">
          <cell r="A1439" t="str">
            <v>HS-120712U1/U2</v>
          </cell>
          <cell r="BG1439" t="str">
            <v>Não Montado</v>
          </cell>
        </row>
        <row r="1440">
          <cell r="A1440" t="str">
            <v>HS-120713A1/A2</v>
          </cell>
          <cell r="BG1440" t="str">
            <v>Não Montado</v>
          </cell>
        </row>
        <row r="1441">
          <cell r="A1441" t="str">
            <v>HS-120713B1/B2</v>
          </cell>
          <cell r="BG1441" t="str">
            <v>Não Montado</v>
          </cell>
        </row>
        <row r="1442">
          <cell r="A1442" t="str">
            <v>HS-120713C1/C2</v>
          </cell>
          <cell r="BG1442" t="str">
            <v>Não Montado</v>
          </cell>
        </row>
        <row r="1443">
          <cell r="A1443" t="str">
            <v>HS-120713D1/D2</v>
          </cell>
          <cell r="BG1443" t="str">
            <v>Não Montado</v>
          </cell>
        </row>
        <row r="1444">
          <cell r="A1444" t="str">
            <v>HS-120713E1/E2</v>
          </cell>
          <cell r="BG1444" t="str">
            <v>Não Montado</v>
          </cell>
        </row>
        <row r="1445">
          <cell r="A1445" t="str">
            <v>HS-120713F1/F2</v>
          </cell>
          <cell r="BG1445" t="str">
            <v>Não Montado</v>
          </cell>
        </row>
        <row r="1446">
          <cell r="A1446" t="str">
            <v>HS-120713G1/G2</v>
          </cell>
          <cell r="BG1446" t="str">
            <v>Não Montado</v>
          </cell>
        </row>
        <row r="1447">
          <cell r="A1447" t="str">
            <v>HS-120713H1/H2</v>
          </cell>
          <cell r="BG1447" t="str">
            <v>Não Montado</v>
          </cell>
        </row>
        <row r="1448">
          <cell r="A1448" t="str">
            <v>HS-120713J1/J2</v>
          </cell>
          <cell r="BG1448" t="str">
            <v>Não Montado</v>
          </cell>
        </row>
        <row r="1449">
          <cell r="A1449" t="str">
            <v>HS-120713K1/K2</v>
          </cell>
          <cell r="BG1449" t="str">
            <v>Não Montado</v>
          </cell>
        </row>
        <row r="1450">
          <cell r="A1450" t="str">
            <v>HS-120713L1/L2</v>
          </cell>
          <cell r="BG1450" t="str">
            <v>Não Montado</v>
          </cell>
        </row>
        <row r="1451">
          <cell r="A1451" t="str">
            <v>HS-120713M1/M2</v>
          </cell>
          <cell r="BG1451" t="str">
            <v>Não Montado</v>
          </cell>
        </row>
        <row r="1452">
          <cell r="A1452" t="str">
            <v>HS-120713N1/N2</v>
          </cell>
          <cell r="BG1452" t="str">
            <v>Não Montado</v>
          </cell>
        </row>
        <row r="1453">
          <cell r="A1453" t="str">
            <v>HS-120713O1/O2</v>
          </cell>
          <cell r="BG1453" t="str">
            <v>Não Montado</v>
          </cell>
        </row>
        <row r="1454">
          <cell r="A1454" t="str">
            <v>HS-120713P1/P2</v>
          </cell>
          <cell r="BG1454" t="str">
            <v>Não Montado</v>
          </cell>
        </row>
        <row r="1455">
          <cell r="A1455" t="str">
            <v>HS-120713Q1/Q2</v>
          </cell>
          <cell r="BG1455" t="str">
            <v>Não Montado</v>
          </cell>
        </row>
        <row r="1456">
          <cell r="A1456" t="str">
            <v>HS-120713U1/U2</v>
          </cell>
          <cell r="BG1456" t="str">
            <v>Não Montado</v>
          </cell>
        </row>
        <row r="1457">
          <cell r="A1457" t="str">
            <v>HS-120800</v>
          </cell>
          <cell r="BG1457" t="str">
            <v>Não Montado</v>
          </cell>
        </row>
        <row r="1458">
          <cell r="A1458" t="str">
            <v>HS-120801</v>
          </cell>
          <cell r="BG1458" t="str">
            <v>Não Montado</v>
          </cell>
        </row>
        <row r="1459">
          <cell r="A1459" t="str">
            <v>HS-120802</v>
          </cell>
          <cell r="BG1459" t="str">
            <v>Não Montado</v>
          </cell>
        </row>
        <row r="1460">
          <cell r="A1460" t="str">
            <v>HS-120803</v>
          </cell>
          <cell r="BG1460" t="str">
            <v>Não Montado</v>
          </cell>
        </row>
        <row r="1461">
          <cell r="A1461" t="str">
            <v>HS-120804</v>
          </cell>
          <cell r="BG1461" t="str">
            <v>Não Montado</v>
          </cell>
        </row>
        <row r="1462">
          <cell r="A1462" t="str">
            <v>HS-120805</v>
          </cell>
          <cell r="BG1462" t="str">
            <v>Não Montado</v>
          </cell>
        </row>
        <row r="1463">
          <cell r="A1463" t="str">
            <v>HS-120806</v>
          </cell>
          <cell r="BG1463" t="str">
            <v>Não Montado</v>
          </cell>
        </row>
        <row r="1464">
          <cell r="A1464" t="str">
            <v>HS-120807</v>
          </cell>
          <cell r="BG1464" t="str">
            <v>Não Montado</v>
          </cell>
        </row>
        <row r="1465">
          <cell r="A1465" t="str">
            <v>HS-120808</v>
          </cell>
          <cell r="BG1465" t="str">
            <v>Não Montado</v>
          </cell>
        </row>
        <row r="1466">
          <cell r="A1466" t="str">
            <v>HS-120809</v>
          </cell>
          <cell r="BG1466" t="str">
            <v>Não Montado</v>
          </cell>
        </row>
        <row r="1467">
          <cell r="A1467" t="str">
            <v>HS-120810</v>
          </cell>
          <cell r="BG1467" t="str">
            <v>Não Montado</v>
          </cell>
        </row>
        <row r="1468">
          <cell r="A1468" t="str">
            <v>HS-120811</v>
          </cell>
          <cell r="BG1468" t="str">
            <v>Não Montado</v>
          </cell>
        </row>
        <row r="1469">
          <cell r="A1469" t="str">
            <v>HS-120812</v>
          </cell>
          <cell r="BG1469" t="str">
            <v>Não Montado</v>
          </cell>
        </row>
        <row r="1470">
          <cell r="A1470" t="str">
            <v>HS-120813</v>
          </cell>
          <cell r="BG1470" t="str">
            <v>Não Montado</v>
          </cell>
        </row>
        <row r="1471">
          <cell r="A1471" t="str">
            <v>HS-120814</v>
          </cell>
          <cell r="BG1471" t="str">
            <v>Não Montado</v>
          </cell>
        </row>
        <row r="1472">
          <cell r="A1472" t="str">
            <v>HS-120815</v>
          </cell>
          <cell r="BG1472" t="str">
            <v>Não Montado</v>
          </cell>
        </row>
        <row r="1473">
          <cell r="A1473" t="str">
            <v>HS-120816</v>
          </cell>
          <cell r="BG1473" t="str">
            <v>Não Montado</v>
          </cell>
        </row>
        <row r="1474">
          <cell r="A1474" t="str">
            <v>HS-120817</v>
          </cell>
          <cell r="BG1474" t="str">
            <v>Não Montado</v>
          </cell>
        </row>
        <row r="1475">
          <cell r="A1475" t="str">
            <v>HS-120818</v>
          </cell>
          <cell r="BG1475" t="str">
            <v>Não Montado</v>
          </cell>
        </row>
        <row r="1476">
          <cell r="A1476" t="str">
            <v>HS-120819</v>
          </cell>
          <cell r="BG1476" t="str">
            <v>Não Montado</v>
          </cell>
        </row>
        <row r="1477">
          <cell r="A1477" t="str">
            <v>HS-120820</v>
          </cell>
          <cell r="BG1477" t="str">
            <v>Não Montado</v>
          </cell>
        </row>
        <row r="1478">
          <cell r="A1478" t="str">
            <v>HS-120821</v>
          </cell>
          <cell r="BG1478" t="str">
            <v>Não Montado</v>
          </cell>
        </row>
        <row r="1479">
          <cell r="A1479" t="str">
            <v>HS-120822</v>
          </cell>
          <cell r="BG1479" t="str">
            <v>Não Montado</v>
          </cell>
        </row>
        <row r="1480">
          <cell r="A1480" t="str">
            <v>HS-120823</v>
          </cell>
          <cell r="BG1480" t="str">
            <v>Não Montado</v>
          </cell>
        </row>
        <row r="1481">
          <cell r="A1481" t="str">
            <v>HS-120951</v>
          </cell>
          <cell r="BG1481" t="str">
            <v>Não Montado</v>
          </cell>
        </row>
        <row r="1482">
          <cell r="A1482" t="str">
            <v>HS-120952</v>
          </cell>
          <cell r="BG1482" t="str">
            <v>Não Montado</v>
          </cell>
        </row>
        <row r="1483">
          <cell r="A1483" t="str">
            <v>HS-120953</v>
          </cell>
          <cell r="BG1483" t="str">
            <v>Não Montado</v>
          </cell>
        </row>
        <row r="1484">
          <cell r="A1484" t="str">
            <v>HS-120958</v>
          </cell>
          <cell r="BG1484" t="str">
            <v>Não Montado</v>
          </cell>
        </row>
        <row r="1485">
          <cell r="A1485" t="str">
            <v>HS-120961</v>
          </cell>
          <cell r="BG1485" t="str">
            <v>Não Montado</v>
          </cell>
        </row>
        <row r="1486">
          <cell r="A1486" t="str">
            <v>HS-120962</v>
          </cell>
          <cell r="BG1486" t="str">
            <v>Não Montado</v>
          </cell>
        </row>
        <row r="1487">
          <cell r="A1487" t="str">
            <v>HS-121301A</v>
          </cell>
          <cell r="BG1487" t="str">
            <v>Não Montado</v>
          </cell>
        </row>
        <row r="1488">
          <cell r="A1488" t="str">
            <v>HS-121301B</v>
          </cell>
          <cell r="BG1488" t="str">
            <v>Não Montado</v>
          </cell>
        </row>
        <row r="1489">
          <cell r="A1489" t="str">
            <v>HS-121301D</v>
          </cell>
          <cell r="BG1489" t="str">
            <v>Não Montado</v>
          </cell>
        </row>
        <row r="1490">
          <cell r="A1490" t="str">
            <v>HS-121315A2</v>
          </cell>
          <cell r="BG1490" t="str">
            <v>Não Montado</v>
          </cell>
        </row>
        <row r="1491">
          <cell r="A1491" t="str">
            <v>HS-121315B2</v>
          </cell>
          <cell r="BG1491" t="str">
            <v>Não Montado</v>
          </cell>
        </row>
        <row r="1492">
          <cell r="A1492" t="str">
            <v>HS-121315C2</v>
          </cell>
          <cell r="BG1492" t="str">
            <v>Não Montado</v>
          </cell>
        </row>
        <row r="1493">
          <cell r="A1493" t="str">
            <v>HS-121315E</v>
          </cell>
          <cell r="BG1493" t="str">
            <v>Não Montado</v>
          </cell>
        </row>
        <row r="1494">
          <cell r="A1494" t="str">
            <v>HS-121317</v>
          </cell>
          <cell r="BG1494" t="str">
            <v>Não Montado</v>
          </cell>
        </row>
        <row r="1495">
          <cell r="A1495" t="str">
            <v>HS-121318</v>
          </cell>
          <cell r="BG1495" t="str">
            <v>Não Montado</v>
          </cell>
        </row>
        <row r="1496">
          <cell r="A1496" t="str">
            <v>HS-121319</v>
          </cell>
          <cell r="BG1496" t="str">
            <v>Não Montado</v>
          </cell>
        </row>
        <row r="1497">
          <cell r="A1497" t="str">
            <v>HS-121321A</v>
          </cell>
          <cell r="BG1497" t="str">
            <v>Não Montado</v>
          </cell>
        </row>
        <row r="1498">
          <cell r="A1498" t="str">
            <v>HS-121321B</v>
          </cell>
          <cell r="BG1498" t="str">
            <v>Não Montado</v>
          </cell>
        </row>
        <row r="1499">
          <cell r="A1499" t="str">
            <v>HS-121321D</v>
          </cell>
          <cell r="BG1499" t="str">
            <v>Não Montado</v>
          </cell>
        </row>
        <row r="1500">
          <cell r="A1500" t="str">
            <v>HS-121322A</v>
          </cell>
          <cell r="BG1500" t="str">
            <v>Não Montado</v>
          </cell>
        </row>
        <row r="1501">
          <cell r="A1501" t="str">
            <v>HS-121322B</v>
          </cell>
          <cell r="BG1501" t="str">
            <v>Não Montado</v>
          </cell>
        </row>
        <row r="1502">
          <cell r="A1502" t="str">
            <v>HS-121322D</v>
          </cell>
          <cell r="BG1502" t="str">
            <v>Não Montado</v>
          </cell>
        </row>
        <row r="1503">
          <cell r="A1503" t="str">
            <v>HS-121401A</v>
          </cell>
          <cell r="BG1503" t="str">
            <v>Não Montado</v>
          </cell>
        </row>
        <row r="1504">
          <cell r="A1504" t="str">
            <v>HS-121401B</v>
          </cell>
          <cell r="BG1504" t="str">
            <v>Não Montado</v>
          </cell>
        </row>
        <row r="1505">
          <cell r="A1505" t="str">
            <v>HS-121401D</v>
          </cell>
          <cell r="BG1505" t="str">
            <v>Não Montado</v>
          </cell>
        </row>
        <row r="1506">
          <cell r="A1506" t="str">
            <v>HS-121415A2</v>
          </cell>
          <cell r="BG1506" t="str">
            <v>Não Montado</v>
          </cell>
        </row>
        <row r="1507">
          <cell r="A1507" t="str">
            <v>HS-121415B2</v>
          </cell>
          <cell r="BG1507" t="str">
            <v>Não Montado</v>
          </cell>
        </row>
        <row r="1508">
          <cell r="A1508" t="str">
            <v>HS-121415C2</v>
          </cell>
          <cell r="BG1508" t="str">
            <v>Não Montado</v>
          </cell>
        </row>
        <row r="1509">
          <cell r="A1509" t="str">
            <v>HS-121415E</v>
          </cell>
          <cell r="BG1509" t="str">
            <v>Não Montado</v>
          </cell>
        </row>
        <row r="1510">
          <cell r="A1510" t="str">
            <v>HS-121417</v>
          </cell>
          <cell r="BG1510" t="str">
            <v>Não Montado</v>
          </cell>
        </row>
        <row r="1511">
          <cell r="A1511" t="str">
            <v>HS-121418</v>
          </cell>
          <cell r="BG1511" t="str">
            <v>Não Montado</v>
          </cell>
        </row>
        <row r="1512">
          <cell r="A1512" t="str">
            <v>HS-121419</v>
          </cell>
          <cell r="BG1512" t="str">
            <v>Não Montado</v>
          </cell>
        </row>
        <row r="1513">
          <cell r="A1513" t="str">
            <v>HS-121421A</v>
          </cell>
          <cell r="BG1513" t="str">
            <v>Não Montado</v>
          </cell>
        </row>
        <row r="1514">
          <cell r="A1514" t="str">
            <v>HS-121421B</v>
          </cell>
          <cell r="BG1514" t="str">
            <v>Não Montado</v>
          </cell>
        </row>
        <row r="1515">
          <cell r="A1515" t="str">
            <v>HS-121421D</v>
          </cell>
          <cell r="BG1515" t="str">
            <v>Não Montado</v>
          </cell>
        </row>
        <row r="1516">
          <cell r="A1516" t="str">
            <v>HS-121422A</v>
          </cell>
          <cell r="BG1516" t="str">
            <v>Não Montado</v>
          </cell>
        </row>
        <row r="1517">
          <cell r="A1517" t="str">
            <v>HS-121422B</v>
          </cell>
          <cell r="BG1517" t="str">
            <v>Não Montado</v>
          </cell>
        </row>
        <row r="1518">
          <cell r="A1518" t="str">
            <v>HS-121422D</v>
          </cell>
          <cell r="BG1518" t="str">
            <v>Não Montado</v>
          </cell>
        </row>
        <row r="1519">
          <cell r="A1519" t="str">
            <v>HS-122002</v>
          </cell>
          <cell r="BG1519" t="str">
            <v>Não Montado</v>
          </cell>
        </row>
        <row r="1520">
          <cell r="A1520" t="str">
            <v>HS-122003</v>
          </cell>
          <cell r="BG1520" t="str">
            <v>Não Montado</v>
          </cell>
        </row>
        <row r="1521">
          <cell r="A1521" t="str">
            <v>HS-122025A</v>
          </cell>
          <cell r="BG1521" t="str">
            <v>Não Montado</v>
          </cell>
        </row>
        <row r="1522">
          <cell r="A1522" t="str">
            <v>HS-122025B</v>
          </cell>
          <cell r="BG1522" t="str">
            <v>Não Montado</v>
          </cell>
        </row>
        <row r="1523">
          <cell r="A1523" t="str">
            <v>HS-122025C</v>
          </cell>
          <cell r="BG1523" t="str">
            <v>Não Montado</v>
          </cell>
        </row>
        <row r="1524">
          <cell r="A1524" t="str">
            <v>HS-122025D</v>
          </cell>
          <cell r="BG1524" t="str">
            <v>Não Montado</v>
          </cell>
        </row>
        <row r="1525">
          <cell r="A1525" t="str">
            <v>HS-122039</v>
          </cell>
          <cell r="BG1525" t="str">
            <v>Não Montado</v>
          </cell>
        </row>
        <row r="1526">
          <cell r="A1526" t="str">
            <v>HSS-120001</v>
          </cell>
          <cell r="BG1526" t="str">
            <v>Montado</v>
          </cell>
        </row>
        <row r="1527">
          <cell r="A1527" t="str">
            <v>HSS-120002</v>
          </cell>
          <cell r="BG1527" t="str">
            <v>Montado</v>
          </cell>
        </row>
        <row r="1528">
          <cell r="A1528" t="str">
            <v>HSS-120003</v>
          </cell>
          <cell r="BG1528" t="str">
            <v>Montado</v>
          </cell>
        </row>
        <row r="1529">
          <cell r="A1529" t="str">
            <v>HSS-120004</v>
          </cell>
          <cell r="BG1529" t="str">
            <v>Montado</v>
          </cell>
        </row>
        <row r="1530">
          <cell r="A1530" t="str">
            <v>HSS-120005</v>
          </cell>
          <cell r="BG1530" t="str">
            <v>Montado</v>
          </cell>
        </row>
        <row r="1531">
          <cell r="A1531" t="str">
            <v>HSS-120006</v>
          </cell>
          <cell r="BG1531" t="str">
            <v>Montado</v>
          </cell>
        </row>
        <row r="1532">
          <cell r="A1532" t="str">
            <v>HSS-120007</v>
          </cell>
          <cell r="BG1532" t="str">
            <v>Não Montado</v>
          </cell>
        </row>
        <row r="1533">
          <cell r="A1533" t="str">
            <v>HSS-120008</v>
          </cell>
          <cell r="BG1533" t="str">
            <v>Montado</v>
          </cell>
        </row>
        <row r="1534">
          <cell r="A1534" t="str">
            <v>HSS-120009</v>
          </cell>
          <cell r="BG1534" t="str">
            <v>Montado</v>
          </cell>
        </row>
        <row r="1535">
          <cell r="A1535" t="str">
            <v>HSS-120010</v>
          </cell>
          <cell r="BG1535" t="str">
            <v>Montado</v>
          </cell>
        </row>
        <row r="1536">
          <cell r="A1536" t="str">
            <v>HSS-120011</v>
          </cell>
          <cell r="BG1536" t="str">
            <v>Montado</v>
          </cell>
        </row>
        <row r="1537">
          <cell r="A1537" t="str">
            <v>HSS-120012</v>
          </cell>
          <cell r="BG1537" t="str">
            <v>Montado</v>
          </cell>
        </row>
        <row r="1538">
          <cell r="A1538" t="str">
            <v>HSS-120013</v>
          </cell>
          <cell r="BG1538" t="str">
            <v>Montado</v>
          </cell>
        </row>
        <row r="1539">
          <cell r="A1539" t="str">
            <v>HSS-120014</v>
          </cell>
          <cell r="BG1539" t="str">
            <v>Montado</v>
          </cell>
        </row>
        <row r="1540">
          <cell r="A1540" t="str">
            <v>HSS-120015</v>
          </cell>
          <cell r="BG1540" t="str">
            <v>Montado</v>
          </cell>
        </row>
        <row r="1541">
          <cell r="A1541" t="str">
            <v>HSS-120016</v>
          </cell>
          <cell r="BG1541" t="str">
            <v>Não Montado</v>
          </cell>
        </row>
        <row r="1542">
          <cell r="A1542" t="str">
            <v>HSS-120017</v>
          </cell>
          <cell r="BG1542" t="str">
            <v>Montado</v>
          </cell>
        </row>
        <row r="1543">
          <cell r="A1543" t="str">
            <v>HSS-120018</v>
          </cell>
          <cell r="BG1543" t="str">
            <v>Montado</v>
          </cell>
        </row>
        <row r="1544">
          <cell r="A1544" t="str">
            <v>HSS-120019</v>
          </cell>
          <cell r="BG1544" t="str">
            <v>Não Montado</v>
          </cell>
        </row>
        <row r="1545">
          <cell r="A1545" t="str">
            <v>HSS-120020</v>
          </cell>
          <cell r="BG1545" t="str">
            <v>Não Montado</v>
          </cell>
        </row>
        <row r="1546">
          <cell r="A1546" t="str">
            <v>HSS-120021</v>
          </cell>
          <cell r="BG1546" t="str">
            <v>Não Montado</v>
          </cell>
        </row>
        <row r="1547">
          <cell r="A1547" t="str">
            <v>HSS-120022</v>
          </cell>
          <cell r="BG1547" t="str">
            <v>Não Montado</v>
          </cell>
        </row>
        <row r="1548">
          <cell r="A1548" t="str">
            <v>HSS-120023</v>
          </cell>
          <cell r="BG1548" t="str">
            <v>Não Montado</v>
          </cell>
        </row>
        <row r="1549">
          <cell r="A1549" t="str">
            <v>HSS-120024</v>
          </cell>
          <cell r="BG1549" t="str">
            <v>Não Montado</v>
          </cell>
        </row>
        <row r="1550">
          <cell r="A1550" t="str">
            <v>HSS-120100</v>
          </cell>
          <cell r="BG1550" t="str">
            <v>Não Montado</v>
          </cell>
        </row>
        <row r="1551">
          <cell r="A1551" t="str">
            <v>HSS-120101</v>
          </cell>
          <cell r="BG1551" t="str">
            <v>Não Montado</v>
          </cell>
        </row>
        <row r="1552">
          <cell r="A1552" t="str">
            <v>HSS-120102</v>
          </cell>
          <cell r="BG1552" t="str">
            <v>Não Montado</v>
          </cell>
        </row>
        <row r="1553">
          <cell r="A1553" t="str">
            <v>HSS-120103</v>
          </cell>
          <cell r="BG1553" t="str">
            <v>Não Montado</v>
          </cell>
        </row>
        <row r="1554">
          <cell r="A1554" t="str">
            <v>HSS-120104</v>
          </cell>
          <cell r="BG1554" t="str">
            <v>Não Montado</v>
          </cell>
        </row>
        <row r="1555">
          <cell r="A1555" t="str">
            <v>HSS-120105</v>
          </cell>
          <cell r="BG1555" t="str">
            <v>Não Montado</v>
          </cell>
        </row>
        <row r="1556">
          <cell r="A1556" t="str">
            <v>HSS-120106</v>
          </cell>
          <cell r="BG1556" t="str">
            <v>Não Montado</v>
          </cell>
        </row>
        <row r="1557">
          <cell r="A1557" t="str">
            <v>HSS-120107</v>
          </cell>
          <cell r="BG1557" t="str">
            <v>Não Montado</v>
          </cell>
        </row>
        <row r="1558">
          <cell r="A1558" t="str">
            <v>HSS-120108</v>
          </cell>
          <cell r="BG1558" t="str">
            <v>Não Montado</v>
          </cell>
        </row>
        <row r="1559">
          <cell r="A1559" t="str">
            <v>HSS-120109</v>
          </cell>
          <cell r="BG1559" t="str">
            <v>Não Montado</v>
          </cell>
        </row>
        <row r="1560">
          <cell r="A1560" t="str">
            <v>HSS-120110</v>
          </cell>
          <cell r="BG1560" t="str">
            <v>Não Montado</v>
          </cell>
        </row>
        <row r="1561">
          <cell r="A1561" t="str">
            <v>HSS-120111</v>
          </cell>
          <cell r="BG1561" t="str">
            <v>Não Montado</v>
          </cell>
        </row>
        <row r="1562">
          <cell r="A1562" t="str">
            <v>HSS-120112</v>
          </cell>
          <cell r="BG1562" t="str">
            <v>Não Montado</v>
          </cell>
        </row>
        <row r="1563">
          <cell r="A1563" t="str">
            <v>HSS-120113</v>
          </cell>
          <cell r="BG1563" t="str">
            <v>Não Montado</v>
          </cell>
        </row>
        <row r="1564">
          <cell r="A1564" t="str">
            <v>HSS-120114</v>
          </cell>
          <cell r="BG1564" t="str">
            <v>Não Montado</v>
          </cell>
        </row>
        <row r="1565">
          <cell r="A1565" t="str">
            <v>HSS-120115</v>
          </cell>
          <cell r="BG1565" t="str">
            <v>Não Montado</v>
          </cell>
        </row>
        <row r="1566">
          <cell r="A1566" t="str">
            <v>HSS-120116</v>
          </cell>
          <cell r="BG1566" t="str">
            <v>Não Montado</v>
          </cell>
        </row>
        <row r="1567">
          <cell r="A1567" t="str">
            <v>HSS-120117</v>
          </cell>
          <cell r="BG1567" t="str">
            <v>Não Montado</v>
          </cell>
        </row>
        <row r="1568">
          <cell r="A1568" t="str">
            <v>HSS-120118</v>
          </cell>
          <cell r="BG1568" t="str">
            <v>Não Montado</v>
          </cell>
        </row>
        <row r="1569">
          <cell r="A1569" t="str">
            <v>HV-120001</v>
          </cell>
          <cell r="BG1569" t="str">
            <v>Não Montado</v>
          </cell>
        </row>
        <row r="1570">
          <cell r="A1570" t="str">
            <v>HV-120002</v>
          </cell>
          <cell r="BG1570" t="str">
            <v>Não Montado</v>
          </cell>
        </row>
        <row r="1571">
          <cell r="A1571" t="str">
            <v>HV-120003</v>
          </cell>
          <cell r="BG1571" t="str">
            <v>Não Montado</v>
          </cell>
        </row>
        <row r="1572">
          <cell r="A1572" t="str">
            <v>HV-120004</v>
          </cell>
          <cell r="BG1572" t="str">
            <v>Não Montado</v>
          </cell>
        </row>
        <row r="1573">
          <cell r="A1573" t="str">
            <v>HV-120005</v>
          </cell>
          <cell r="BG1573" t="str">
            <v>Não Montado</v>
          </cell>
        </row>
        <row r="1574">
          <cell r="A1574" t="str">
            <v>HV-120006</v>
          </cell>
          <cell r="BG1574" t="str">
            <v>Não Montado</v>
          </cell>
        </row>
        <row r="1575">
          <cell r="A1575" t="str">
            <v>HV-120008</v>
          </cell>
          <cell r="BG1575" t="str">
            <v>Não Montado</v>
          </cell>
        </row>
        <row r="1576">
          <cell r="A1576" t="str">
            <v>HV-120016</v>
          </cell>
          <cell r="BG1576" t="str">
            <v>Não Montado</v>
          </cell>
        </row>
        <row r="1577">
          <cell r="A1577" t="str">
            <v>HV-120020</v>
          </cell>
          <cell r="BG1577" t="str">
            <v>Não Montado</v>
          </cell>
        </row>
        <row r="1578">
          <cell r="A1578" t="str">
            <v>HV-120021</v>
          </cell>
          <cell r="BG1578" t="str">
            <v>Não Montado</v>
          </cell>
        </row>
        <row r="1579">
          <cell r="A1579" t="str">
            <v>HV-120023</v>
          </cell>
          <cell r="BG1579" t="str">
            <v>Não Montado</v>
          </cell>
        </row>
        <row r="1580">
          <cell r="A1580" t="str">
            <v>HV-120024</v>
          </cell>
          <cell r="BG1580" t="str">
            <v>Não Montado</v>
          </cell>
        </row>
        <row r="1581">
          <cell r="A1581" t="str">
            <v>HV-120025</v>
          </cell>
          <cell r="BG1581" t="str">
            <v>Não Montado</v>
          </cell>
        </row>
        <row r="1582">
          <cell r="A1582" t="str">
            <v>HV-120027</v>
          </cell>
          <cell r="BG1582" t="str">
            <v>Não Montado</v>
          </cell>
        </row>
        <row r="1583">
          <cell r="A1583" t="str">
            <v>HV-120028</v>
          </cell>
          <cell r="BG1583" t="str">
            <v>Não Montado</v>
          </cell>
        </row>
        <row r="1584">
          <cell r="A1584" t="str">
            <v>HV-120050</v>
          </cell>
          <cell r="BG1584" t="str">
            <v>Não Montado</v>
          </cell>
        </row>
        <row r="1585">
          <cell r="A1585" t="str">
            <v>HV-120053</v>
          </cell>
          <cell r="BG1585" t="str">
            <v>Não Montado</v>
          </cell>
        </row>
        <row r="1586">
          <cell r="A1586" t="str">
            <v>HV-120054</v>
          </cell>
          <cell r="BG1586" t="str">
            <v>Não Montado</v>
          </cell>
        </row>
        <row r="1587">
          <cell r="A1587" t="str">
            <v>HV-120055</v>
          </cell>
          <cell r="BG1587" t="str">
            <v>Não Montado</v>
          </cell>
        </row>
        <row r="1588">
          <cell r="A1588" t="str">
            <v>HV-120056</v>
          </cell>
          <cell r="BG1588" t="str">
            <v>Não Montado</v>
          </cell>
        </row>
        <row r="1589">
          <cell r="A1589" t="str">
            <v>HV-120057</v>
          </cell>
          <cell r="BG1589" t="str">
            <v>Não Montado</v>
          </cell>
        </row>
        <row r="1590">
          <cell r="A1590" t="str">
            <v>HV-120058</v>
          </cell>
          <cell r="BG1590" t="str">
            <v>Não Montado</v>
          </cell>
        </row>
        <row r="1591">
          <cell r="A1591" t="str">
            <v>HV-120059</v>
          </cell>
          <cell r="BG1591" t="str">
            <v>Não Montado</v>
          </cell>
        </row>
        <row r="1592">
          <cell r="A1592" t="str">
            <v>HV-120060</v>
          </cell>
          <cell r="BG1592" t="str">
            <v>Não Montado</v>
          </cell>
        </row>
        <row r="1593">
          <cell r="A1593" t="str">
            <v>HV-120061</v>
          </cell>
          <cell r="BG1593" t="str">
            <v>Não Montado</v>
          </cell>
        </row>
        <row r="1594">
          <cell r="A1594" t="str">
            <v>HV-120062</v>
          </cell>
          <cell r="BG1594" t="str">
            <v>Não Montado</v>
          </cell>
        </row>
        <row r="1595">
          <cell r="A1595" t="str">
            <v>HV-120065</v>
          </cell>
          <cell r="BG1595" t="str">
            <v>Não Montado</v>
          </cell>
        </row>
        <row r="1596">
          <cell r="A1596" t="str">
            <v>HV-120068</v>
          </cell>
          <cell r="BG1596" t="str">
            <v>Não Montado</v>
          </cell>
        </row>
        <row r="1597">
          <cell r="A1597" t="str">
            <v>HV-120069</v>
          </cell>
          <cell r="BG1597" t="str">
            <v>Não Montado</v>
          </cell>
        </row>
        <row r="1598">
          <cell r="A1598" t="str">
            <v>HV-120070</v>
          </cell>
          <cell r="BG1598" t="str">
            <v>Não Montado</v>
          </cell>
        </row>
        <row r="1599">
          <cell r="A1599" t="str">
            <v>HV-120071</v>
          </cell>
          <cell r="BG1599" t="str">
            <v>Não Montado</v>
          </cell>
        </row>
        <row r="1600">
          <cell r="A1600" t="str">
            <v>HV-120077</v>
          </cell>
          <cell r="BG1600" t="str">
            <v>Não Montado</v>
          </cell>
        </row>
        <row r="1601">
          <cell r="A1601" t="str">
            <v>HV-120078</v>
          </cell>
          <cell r="BG1601" t="str">
            <v>Não Montado</v>
          </cell>
        </row>
        <row r="1602">
          <cell r="A1602" t="str">
            <v>HV-120082</v>
          </cell>
          <cell r="BG1602" t="str">
            <v>Não Montado</v>
          </cell>
        </row>
        <row r="1603">
          <cell r="A1603" t="str">
            <v>HV-120083</v>
          </cell>
          <cell r="BG1603" t="str">
            <v>Não Montado</v>
          </cell>
        </row>
        <row r="1604">
          <cell r="A1604" t="str">
            <v>HV-120084</v>
          </cell>
          <cell r="BG1604" t="str">
            <v>Não Montado</v>
          </cell>
        </row>
        <row r="1605">
          <cell r="A1605" t="str">
            <v>HV-120085</v>
          </cell>
          <cell r="BG1605" t="str">
            <v>Não Montado</v>
          </cell>
        </row>
        <row r="1606">
          <cell r="A1606" t="str">
            <v>HV-120500</v>
          </cell>
          <cell r="BG1606" t="str">
            <v>Não Montado</v>
          </cell>
        </row>
        <row r="1607">
          <cell r="A1607" t="str">
            <v>HV-120501</v>
          </cell>
          <cell r="BG1607" t="str">
            <v>Não Montado</v>
          </cell>
        </row>
        <row r="1608">
          <cell r="A1608" t="str">
            <v>HV-120502</v>
          </cell>
          <cell r="BG1608" t="str">
            <v>Não Montado</v>
          </cell>
        </row>
        <row r="1609">
          <cell r="A1609" t="str">
            <v>HV-120503</v>
          </cell>
          <cell r="BG1609" t="str">
            <v>Não Montado</v>
          </cell>
        </row>
        <row r="1610">
          <cell r="A1610" t="str">
            <v>HV-120504</v>
          </cell>
          <cell r="BG1610" t="str">
            <v>Não Montado</v>
          </cell>
        </row>
        <row r="1611">
          <cell r="A1611" t="str">
            <v>HV-120506</v>
          </cell>
          <cell r="BG1611" t="str">
            <v>Não Montado</v>
          </cell>
        </row>
        <row r="1612">
          <cell r="A1612" t="str">
            <v>HV-120507</v>
          </cell>
          <cell r="BG1612" t="str">
            <v>Não Montado</v>
          </cell>
        </row>
        <row r="1613">
          <cell r="A1613" t="str">
            <v>HV-120508</v>
          </cell>
          <cell r="BG1613" t="str">
            <v>Não Montado</v>
          </cell>
        </row>
        <row r="1614">
          <cell r="A1614" t="str">
            <v>HV-120600</v>
          </cell>
          <cell r="BG1614" t="str">
            <v>Não Montado</v>
          </cell>
        </row>
        <row r="1615">
          <cell r="A1615" t="str">
            <v>HV-120601</v>
          </cell>
          <cell r="BG1615" t="str">
            <v>Não Montado</v>
          </cell>
        </row>
        <row r="1616">
          <cell r="A1616" t="str">
            <v>HV-120604</v>
          </cell>
          <cell r="BG1616" t="str">
            <v>Não Montado</v>
          </cell>
        </row>
        <row r="1617">
          <cell r="A1617" t="str">
            <v>HV-120605A</v>
          </cell>
          <cell r="BG1617" t="str">
            <v>Não Montado</v>
          </cell>
        </row>
        <row r="1618">
          <cell r="A1618" t="str">
            <v>HV-120605B</v>
          </cell>
          <cell r="BG1618" t="str">
            <v>Não Montado</v>
          </cell>
        </row>
        <row r="1619">
          <cell r="A1619" t="str">
            <v>HV-120605C</v>
          </cell>
          <cell r="BG1619" t="str">
            <v>Não Montado</v>
          </cell>
        </row>
        <row r="1620">
          <cell r="A1620" t="str">
            <v>HV-120605D</v>
          </cell>
          <cell r="BG1620" t="str">
            <v>Não Montado</v>
          </cell>
        </row>
        <row r="1621">
          <cell r="A1621" t="str">
            <v>HV-120618</v>
          </cell>
          <cell r="BG1621" t="str">
            <v>Não Montado</v>
          </cell>
        </row>
        <row r="1622">
          <cell r="A1622" t="str">
            <v>HV-120700</v>
          </cell>
          <cell r="BG1622" t="str">
            <v>Não Montado</v>
          </cell>
        </row>
        <row r="1623">
          <cell r="A1623" t="str">
            <v>HV-120701</v>
          </cell>
          <cell r="BG1623" t="str">
            <v>Não Montado</v>
          </cell>
        </row>
        <row r="1624">
          <cell r="A1624" t="str">
            <v>HV-120704</v>
          </cell>
          <cell r="BG1624" t="str">
            <v>Não Montado</v>
          </cell>
        </row>
        <row r="1625">
          <cell r="A1625" t="str">
            <v>HV-120705A</v>
          </cell>
          <cell r="BG1625" t="str">
            <v>Não Montado</v>
          </cell>
        </row>
        <row r="1626">
          <cell r="A1626" t="str">
            <v>HV-120705B</v>
          </cell>
          <cell r="BG1626" t="str">
            <v>Não Montado</v>
          </cell>
        </row>
        <row r="1627">
          <cell r="A1627" t="str">
            <v>HV-120705C</v>
          </cell>
          <cell r="BG1627" t="str">
            <v>Não Montado</v>
          </cell>
        </row>
        <row r="1628">
          <cell r="A1628" t="str">
            <v>HV-120705D</v>
          </cell>
          <cell r="BG1628" t="str">
            <v>Não Montado</v>
          </cell>
        </row>
        <row r="1629">
          <cell r="A1629" t="str">
            <v>HV-120718</v>
          </cell>
          <cell r="BG1629" t="str">
            <v>Não Montado</v>
          </cell>
        </row>
        <row r="1630">
          <cell r="A1630" t="str">
            <v>HY-120500A</v>
          </cell>
          <cell r="BG1630" t="str">
            <v>Não Montado</v>
          </cell>
        </row>
        <row r="1631">
          <cell r="A1631" t="str">
            <v>HY-120501A</v>
          </cell>
          <cell r="BG1631" t="str">
            <v>Não Montado</v>
          </cell>
        </row>
        <row r="1632">
          <cell r="A1632" t="str">
            <v>HY-120502A</v>
          </cell>
          <cell r="BG1632" t="str">
            <v>Não Montado</v>
          </cell>
        </row>
        <row r="1633">
          <cell r="A1633" t="str">
            <v>HY-120503A</v>
          </cell>
          <cell r="BG1633" t="str">
            <v>Não Montado</v>
          </cell>
        </row>
        <row r="1634">
          <cell r="A1634" t="str">
            <v>HY-120504A</v>
          </cell>
          <cell r="BG1634" t="str">
            <v>Não Montado</v>
          </cell>
        </row>
        <row r="1635">
          <cell r="A1635" t="str">
            <v>HY-120600</v>
          </cell>
          <cell r="BG1635" t="str">
            <v>Não Montado</v>
          </cell>
        </row>
        <row r="1636">
          <cell r="A1636" t="str">
            <v>HY-120601</v>
          </cell>
          <cell r="BG1636" t="str">
            <v>Não Montado</v>
          </cell>
        </row>
        <row r="1637">
          <cell r="A1637" t="str">
            <v>HY-120618</v>
          </cell>
          <cell r="BG1637" t="str">
            <v>Não Montado</v>
          </cell>
        </row>
        <row r="1638">
          <cell r="A1638" t="str">
            <v>HY-120700</v>
          </cell>
          <cell r="BG1638" t="str">
            <v>Não Montado</v>
          </cell>
        </row>
        <row r="1639">
          <cell r="A1639" t="str">
            <v>HY-120701</v>
          </cell>
          <cell r="BG1639" t="str">
            <v>Não Montado</v>
          </cell>
        </row>
        <row r="1640">
          <cell r="A1640" t="str">
            <v>HY-120718</v>
          </cell>
          <cell r="BG1640" t="str">
            <v>Não Montado</v>
          </cell>
        </row>
        <row r="1641">
          <cell r="A1641" t="str">
            <v>HZ-120001</v>
          </cell>
          <cell r="BG1641" t="str">
            <v>Não Montado</v>
          </cell>
        </row>
        <row r="1642">
          <cell r="A1642" t="str">
            <v>HZ-120002</v>
          </cell>
          <cell r="BG1642" t="str">
            <v>Não Montado</v>
          </cell>
        </row>
        <row r="1643">
          <cell r="A1643" t="str">
            <v>HZ-120003</v>
          </cell>
          <cell r="BG1643" t="str">
            <v>Não Montado</v>
          </cell>
        </row>
        <row r="1644">
          <cell r="A1644" t="str">
            <v>HZ-120004</v>
          </cell>
          <cell r="BG1644" t="str">
            <v>Não Montado</v>
          </cell>
        </row>
        <row r="1645">
          <cell r="A1645" t="str">
            <v>HZ-120005</v>
          </cell>
          <cell r="BG1645" t="str">
            <v>Não Montado</v>
          </cell>
        </row>
        <row r="1646">
          <cell r="A1646" t="str">
            <v>HZ-120020</v>
          </cell>
          <cell r="BG1646" t="str">
            <v>Não Montado</v>
          </cell>
        </row>
        <row r="1647">
          <cell r="A1647" t="str">
            <v>HZ-120021</v>
          </cell>
          <cell r="BG1647" t="str">
            <v>Não Montado</v>
          </cell>
        </row>
        <row r="1648">
          <cell r="A1648" t="str">
            <v>HZ-120023</v>
          </cell>
          <cell r="BG1648" t="str">
            <v>Não Montado</v>
          </cell>
        </row>
        <row r="1649">
          <cell r="A1649" t="str">
            <v>HZ-120024</v>
          </cell>
          <cell r="BG1649" t="str">
            <v>Não Montado</v>
          </cell>
        </row>
        <row r="1650">
          <cell r="A1650" t="str">
            <v>HZ-120025</v>
          </cell>
          <cell r="BG1650" t="str">
            <v>Não Montado</v>
          </cell>
        </row>
        <row r="1651">
          <cell r="A1651" t="str">
            <v>HZ-120027</v>
          </cell>
          <cell r="BG1651" t="str">
            <v>Não Montado</v>
          </cell>
        </row>
        <row r="1652">
          <cell r="A1652" t="str">
            <v>HZ-120028</v>
          </cell>
          <cell r="BG1652" t="str">
            <v>Não Montado</v>
          </cell>
        </row>
        <row r="1653">
          <cell r="A1653" t="str">
            <v>HZ-120053</v>
          </cell>
          <cell r="BG1653" t="str">
            <v>Não Montado</v>
          </cell>
        </row>
        <row r="1654">
          <cell r="A1654" t="str">
            <v>HZ-120054</v>
          </cell>
          <cell r="BG1654" t="str">
            <v>Não Montado</v>
          </cell>
        </row>
        <row r="1655">
          <cell r="A1655" t="str">
            <v>HZ-120055</v>
          </cell>
          <cell r="BG1655" t="str">
            <v>Não Montado</v>
          </cell>
        </row>
        <row r="1656">
          <cell r="A1656" t="str">
            <v>HZ-120605A</v>
          </cell>
          <cell r="BG1656" t="str">
            <v>Não Montado</v>
          </cell>
        </row>
        <row r="1657">
          <cell r="A1657" t="str">
            <v>HZ-120605B</v>
          </cell>
          <cell r="BG1657" t="str">
            <v>Não Montado</v>
          </cell>
        </row>
        <row r="1658">
          <cell r="A1658" t="str">
            <v>HZ-120605C</v>
          </cell>
          <cell r="BG1658" t="str">
            <v>Não Montado</v>
          </cell>
        </row>
        <row r="1659">
          <cell r="A1659" t="str">
            <v>HZ-120605D</v>
          </cell>
          <cell r="BG1659" t="str">
            <v>Não Montado</v>
          </cell>
        </row>
        <row r="1660">
          <cell r="A1660" t="str">
            <v>HZ-120618</v>
          </cell>
          <cell r="BG1660" t="str">
            <v>Não Montado</v>
          </cell>
        </row>
        <row r="1661">
          <cell r="A1661" t="str">
            <v>HZ-120705A</v>
          </cell>
          <cell r="BG1661" t="str">
            <v>Não Montado</v>
          </cell>
        </row>
        <row r="1662">
          <cell r="A1662" t="str">
            <v>HZ-120705B</v>
          </cell>
          <cell r="BG1662" t="str">
            <v>Não Montado</v>
          </cell>
        </row>
        <row r="1663">
          <cell r="A1663" t="str">
            <v>HZ-120705D</v>
          </cell>
          <cell r="BG1663" t="str">
            <v>Não Montado</v>
          </cell>
        </row>
        <row r="1664">
          <cell r="A1664" t="str">
            <v>HZ-120718</v>
          </cell>
          <cell r="BG1664" t="str">
            <v>Não Montado</v>
          </cell>
        </row>
        <row r="1665">
          <cell r="A1665" t="str">
            <v>IIT-120800</v>
          </cell>
          <cell r="BG1665" t="str">
            <v>Não Montado</v>
          </cell>
        </row>
        <row r="1666">
          <cell r="A1666" t="str">
            <v>IIT-120801</v>
          </cell>
          <cell r="BG1666" t="str">
            <v>Não Montado</v>
          </cell>
        </row>
        <row r="1667">
          <cell r="A1667" t="str">
            <v>IIT-120802</v>
          </cell>
          <cell r="BG1667" t="str">
            <v>Não Montado</v>
          </cell>
        </row>
        <row r="1668">
          <cell r="A1668" t="str">
            <v>IIT-120803</v>
          </cell>
          <cell r="BG1668" t="str">
            <v>Não Montado</v>
          </cell>
        </row>
        <row r="1669">
          <cell r="A1669" t="str">
            <v>IIT-120804</v>
          </cell>
          <cell r="BG1669" t="str">
            <v>Não Montado</v>
          </cell>
        </row>
        <row r="1670">
          <cell r="A1670" t="str">
            <v>IIT-120805</v>
          </cell>
          <cell r="BG1670" t="str">
            <v>Não Montado</v>
          </cell>
        </row>
        <row r="1671">
          <cell r="A1671" t="str">
            <v>IIT-120806</v>
          </cell>
          <cell r="BG1671" t="str">
            <v>Não Montado</v>
          </cell>
        </row>
        <row r="1672">
          <cell r="A1672" t="str">
            <v>IIT-120807</v>
          </cell>
          <cell r="BG1672" t="str">
            <v>Não Montado</v>
          </cell>
        </row>
        <row r="1673">
          <cell r="A1673" t="str">
            <v>IIT-120808</v>
          </cell>
          <cell r="BG1673" t="str">
            <v>Não Montado</v>
          </cell>
        </row>
        <row r="1674">
          <cell r="A1674" t="str">
            <v>IIT-120809</v>
          </cell>
          <cell r="BG1674" t="str">
            <v>Não Montado</v>
          </cell>
        </row>
        <row r="1675">
          <cell r="A1675" t="str">
            <v>IIT-120810</v>
          </cell>
          <cell r="BG1675" t="str">
            <v>Não Montado</v>
          </cell>
        </row>
        <row r="1676">
          <cell r="A1676" t="str">
            <v>IIT-120811</v>
          </cell>
          <cell r="BG1676" t="str">
            <v>Não Montado</v>
          </cell>
        </row>
        <row r="1677">
          <cell r="A1677" t="str">
            <v>LG-120096A</v>
          </cell>
          <cell r="BG1677" t="str">
            <v>Não Montado</v>
          </cell>
        </row>
        <row r="1678">
          <cell r="A1678" t="str">
            <v>LG-120109A</v>
          </cell>
          <cell r="BG1678" t="str">
            <v>Não Montado</v>
          </cell>
        </row>
        <row r="1679">
          <cell r="A1679" t="str">
            <v>LG-120109B</v>
          </cell>
          <cell r="BG1679" t="str">
            <v>Não Montado</v>
          </cell>
        </row>
        <row r="1680">
          <cell r="A1680" t="str">
            <v>LG-120109C</v>
          </cell>
          <cell r="BG1680" t="str">
            <v>Não Montado</v>
          </cell>
        </row>
        <row r="1681">
          <cell r="A1681" t="str">
            <v>LG-120109D</v>
          </cell>
          <cell r="BG1681" t="str">
            <v>Não Montado</v>
          </cell>
        </row>
        <row r="1682">
          <cell r="A1682" t="str">
            <v>LG-120109E</v>
          </cell>
          <cell r="BG1682" t="str">
            <v>Não Montado</v>
          </cell>
        </row>
        <row r="1683">
          <cell r="A1683" t="str">
            <v>LG-120110</v>
          </cell>
          <cell r="BG1683" t="str">
            <v>Não Montado</v>
          </cell>
        </row>
        <row r="1684">
          <cell r="A1684" t="str">
            <v>LG-120111</v>
          </cell>
          <cell r="BG1684" t="str">
            <v>Não Montado</v>
          </cell>
        </row>
        <row r="1685">
          <cell r="A1685" t="str">
            <v>LG-120112</v>
          </cell>
          <cell r="BG1685" t="str">
            <v>Não Montado</v>
          </cell>
        </row>
        <row r="1686">
          <cell r="A1686" t="str">
            <v>LG-120113</v>
          </cell>
          <cell r="BG1686" t="str">
            <v>Não Montado</v>
          </cell>
        </row>
        <row r="1687">
          <cell r="A1687" t="str">
            <v>LG-120114</v>
          </cell>
          <cell r="BG1687" t="str">
            <v>Não Montado</v>
          </cell>
        </row>
        <row r="1688">
          <cell r="A1688" t="str">
            <v>LG-120115</v>
          </cell>
          <cell r="BG1688" t="str">
            <v>Não Montado</v>
          </cell>
        </row>
        <row r="1689">
          <cell r="A1689" t="str">
            <v>LG-120116</v>
          </cell>
          <cell r="BG1689" t="str">
            <v>Não Montado</v>
          </cell>
        </row>
        <row r="1690">
          <cell r="A1690" t="str">
            <v>LG-120117</v>
          </cell>
          <cell r="BG1690" t="str">
            <v>Não Montado</v>
          </cell>
        </row>
        <row r="1691">
          <cell r="A1691" t="str">
            <v>LG-120118</v>
          </cell>
          <cell r="BG1691" t="str">
            <v>Não Montado</v>
          </cell>
        </row>
        <row r="1692">
          <cell r="A1692" t="str">
            <v>LG-120119A</v>
          </cell>
          <cell r="BG1692" t="str">
            <v>Não Montado</v>
          </cell>
        </row>
        <row r="1693">
          <cell r="A1693" t="str">
            <v>LG-120119B</v>
          </cell>
          <cell r="BG1693" t="str">
            <v>Não Montado</v>
          </cell>
        </row>
        <row r="1694">
          <cell r="A1694" t="str">
            <v>LG-120119C</v>
          </cell>
          <cell r="BG1694" t="str">
            <v>Não Montado</v>
          </cell>
        </row>
        <row r="1695">
          <cell r="A1695" t="str">
            <v>LG-120120A</v>
          </cell>
          <cell r="BG1695" t="str">
            <v>Não Montado</v>
          </cell>
        </row>
        <row r="1696">
          <cell r="A1696" t="str">
            <v>LG-120120B</v>
          </cell>
          <cell r="BG1696" t="str">
            <v>Não Montado</v>
          </cell>
        </row>
        <row r="1697">
          <cell r="A1697" t="str">
            <v>LG-120121</v>
          </cell>
          <cell r="BG1697" t="str">
            <v>Não Montado</v>
          </cell>
        </row>
        <row r="1698">
          <cell r="A1698" t="str">
            <v>LG-120123</v>
          </cell>
          <cell r="BG1698" t="str">
            <v>Não Montado</v>
          </cell>
        </row>
        <row r="1699">
          <cell r="A1699" t="str">
            <v>LG-120124A</v>
          </cell>
          <cell r="BG1699" t="str">
            <v>Não Montado</v>
          </cell>
        </row>
        <row r="1700">
          <cell r="A1700" t="str">
            <v>LG-120124B</v>
          </cell>
          <cell r="BG1700" t="str">
            <v>Não Montado</v>
          </cell>
        </row>
        <row r="1701">
          <cell r="A1701" t="str">
            <v>LG-120125</v>
          </cell>
          <cell r="BG1701" t="str">
            <v>Não Montado</v>
          </cell>
        </row>
        <row r="1702">
          <cell r="A1702" t="str">
            <v>LG-120126</v>
          </cell>
          <cell r="BG1702" t="str">
            <v>Programar</v>
          </cell>
        </row>
        <row r="1703">
          <cell r="A1703" t="str">
            <v>LG-120126A</v>
          </cell>
          <cell r="BG1703" t="str">
            <v>Não Montado</v>
          </cell>
        </row>
        <row r="1704">
          <cell r="A1704" t="str">
            <v>LG-120126B</v>
          </cell>
          <cell r="BG1704" t="str">
            <v>Não Montado</v>
          </cell>
        </row>
        <row r="1705">
          <cell r="A1705" t="str">
            <v>LG-120127A</v>
          </cell>
          <cell r="BG1705" t="str">
            <v>Não Montado</v>
          </cell>
        </row>
        <row r="1706">
          <cell r="A1706" t="str">
            <v>LG-120127B</v>
          </cell>
          <cell r="BG1706" t="str">
            <v>Não Montado</v>
          </cell>
        </row>
        <row r="1707">
          <cell r="A1707" t="str">
            <v>LG-120128A</v>
          </cell>
          <cell r="BG1707" t="str">
            <v>Não Montado</v>
          </cell>
        </row>
        <row r="1708">
          <cell r="A1708" t="str">
            <v>LG-120128B</v>
          </cell>
          <cell r="BG1708" t="str">
            <v>Não Montado</v>
          </cell>
        </row>
        <row r="1709">
          <cell r="A1709" t="str">
            <v>LG-120129</v>
          </cell>
          <cell r="BG1709" t="str">
            <v>Não Montado</v>
          </cell>
        </row>
        <row r="1710">
          <cell r="A1710" t="str">
            <v>LG-120129A</v>
          </cell>
          <cell r="BG1710" t="str">
            <v>Não Montado</v>
          </cell>
        </row>
        <row r="1711">
          <cell r="A1711" t="str">
            <v>LG-120129B</v>
          </cell>
          <cell r="BG1711" t="str">
            <v>Não Montado</v>
          </cell>
        </row>
        <row r="1712">
          <cell r="A1712" t="str">
            <v>LG-120130</v>
          </cell>
          <cell r="BG1712" t="str">
            <v>Não Montado</v>
          </cell>
        </row>
        <row r="1713">
          <cell r="A1713" t="str">
            <v>LG-120131</v>
          </cell>
          <cell r="BG1713" t="str">
            <v>Não Montado</v>
          </cell>
        </row>
        <row r="1714">
          <cell r="A1714" t="str">
            <v>LG-120132A</v>
          </cell>
          <cell r="BG1714" t="str">
            <v>Não Montado</v>
          </cell>
        </row>
        <row r="1715">
          <cell r="A1715" t="str">
            <v>LG-120132B</v>
          </cell>
          <cell r="BG1715" t="str">
            <v>Não Montado</v>
          </cell>
        </row>
        <row r="1716">
          <cell r="A1716" t="str">
            <v>LG-120200</v>
          </cell>
          <cell r="BG1716" t="str">
            <v>Não Montado</v>
          </cell>
        </row>
        <row r="1717">
          <cell r="A1717" t="str">
            <v>LG-120201</v>
          </cell>
          <cell r="BG1717" t="str">
            <v>Não Montado</v>
          </cell>
        </row>
        <row r="1718">
          <cell r="A1718" t="str">
            <v>LG-120203</v>
          </cell>
          <cell r="BG1718" t="str">
            <v>Não Montado</v>
          </cell>
        </row>
        <row r="1719">
          <cell r="A1719" t="str">
            <v>LG-120601</v>
          </cell>
          <cell r="BG1719" t="str">
            <v>Não Montado</v>
          </cell>
        </row>
        <row r="1720">
          <cell r="A1720" t="str">
            <v>LG-120604</v>
          </cell>
          <cell r="BG1720" t="str">
            <v>Não Montado</v>
          </cell>
        </row>
        <row r="1721">
          <cell r="A1721" t="str">
            <v>LG-120606</v>
          </cell>
          <cell r="BG1721" t="str">
            <v>Não Montado</v>
          </cell>
        </row>
        <row r="1722">
          <cell r="A1722" t="str">
            <v>LG-120901</v>
          </cell>
          <cell r="BG1722" t="str">
            <v>Não Montado</v>
          </cell>
        </row>
        <row r="1723">
          <cell r="A1723" t="str">
            <v>LG-120902</v>
          </cell>
          <cell r="BG1723" t="str">
            <v>Não Montado</v>
          </cell>
        </row>
        <row r="1724">
          <cell r="A1724" t="str">
            <v>LG-120903</v>
          </cell>
          <cell r="BG1724" t="str">
            <v>Não Montado</v>
          </cell>
        </row>
        <row r="1725">
          <cell r="A1725" t="str">
            <v>LG-120951</v>
          </cell>
          <cell r="BG1725" t="str">
            <v>Não Montado</v>
          </cell>
        </row>
        <row r="1726">
          <cell r="A1726" t="str">
            <v>LG-120952</v>
          </cell>
          <cell r="BG1726" t="str">
            <v>Não Montado</v>
          </cell>
        </row>
        <row r="1727">
          <cell r="A1727" t="str">
            <v>LG-120953</v>
          </cell>
          <cell r="BG1727" t="str">
            <v>Não Montado</v>
          </cell>
        </row>
        <row r="1728">
          <cell r="A1728" t="str">
            <v>LG-120954</v>
          </cell>
          <cell r="BG1728" t="str">
            <v>Não Montado</v>
          </cell>
        </row>
        <row r="1729">
          <cell r="A1729" t="str">
            <v>LG-120954A</v>
          </cell>
          <cell r="BG1729" t="str">
            <v>Não Montado</v>
          </cell>
        </row>
        <row r="1730">
          <cell r="A1730" t="str">
            <v>LG-120954B</v>
          </cell>
          <cell r="BG1730" t="str">
            <v>Não Montado</v>
          </cell>
        </row>
        <row r="1731">
          <cell r="A1731" t="str">
            <v>LG-120955</v>
          </cell>
          <cell r="BG1731" t="str">
            <v>Não Montado</v>
          </cell>
        </row>
        <row r="1732">
          <cell r="A1732" t="str">
            <v>LG-120955A</v>
          </cell>
          <cell r="BG1732" t="str">
            <v>Não Montado</v>
          </cell>
        </row>
        <row r="1733">
          <cell r="A1733" t="str">
            <v>LG-120955B</v>
          </cell>
          <cell r="BG1733" t="str">
            <v>Não Montado</v>
          </cell>
        </row>
        <row r="1734">
          <cell r="A1734" t="str">
            <v>LG-120956</v>
          </cell>
          <cell r="BG1734" t="str">
            <v>Não Montado</v>
          </cell>
        </row>
        <row r="1735">
          <cell r="A1735" t="str">
            <v>LG-120956B</v>
          </cell>
          <cell r="BG1735" t="str">
            <v>Não Montado</v>
          </cell>
        </row>
        <row r="1736">
          <cell r="A1736" t="str">
            <v>LG-120957</v>
          </cell>
          <cell r="BG1736" t="str">
            <v>Não Montado</v>
          </cell>
        </row>
        <row r="1737">
          <cell r="A1737" t="str">
            <v>LG-120957B</v>
          </cell>
          <cell r="BG1737" t="str">
            <v>Não Montado</v>
          </cell>
        </row>
        <row r="1738">
          <cell r="A1738" t="str">
            <v>LG-120958</v>
          </cell>
          <cell r="BG1738" t="str">
            <v>Não Montado</v>
          </cell>
        </row>
        <row r="1739">
          <cell r="A1739" t="str">
            <v>LG-120959</v>
          </cell>
          <cell r="BG1739" t="str">
            <v>Não Montado</v>
          </cell>
        </row>
        <row r="1740">
          <cell r="A1740" t="str">
            <v>LG-120959A</v>
          </cell>
          <cell r="BG1740" t="str">
            <v>Não Montado</v>
          </cell>
        </row>
        <row r="1741">
          <cell r="A1741" t="str">
            <v>LG-120959B</v>
          </cell>
          <cell r="BG1741" t="str">
            <v>Não Montado</v>
          </cell>
        </row>
        <row r="1742">
          <cell r="A1742" t="str">
            <v>LG-120960</v>
          </cell>
          <cell r="BG1742" t="str">
            <v>Não Montado</v>
          </cell>
        </row>
        <row r="1743">
          <cell r="A1743" t="str">
            <v>LG-120961</v>
          </cell>
          <cell r="BG1743" t="str">
            <v>Não Montado</v>
          </cell>
        </row>
        <row r="1744">
          <cell r="A1744" t="str">
            <v>LG-120962</v>
          </cell>
          <cell r="BG1744" t="str">
            <v>Não Montado</v>
          </cell>
        </row>
        <row r="1745">
          <cell r="A1745" t="str">
            <v>LG-120963</v>
          </cell>
          <cell r="BG1745" t="str">
            <v>Não Montado</v>
          </cell>
        </row>
        <row r="1746">
          <cell r="A1746" t="str">
            <v>LG-121300</v>
          </cell>
          <cell r="BG1746" t="str">
            <v>Não Montado</v>
          </cell>
        </row>
        <row r="1747">
          <cell r="A1747" t="str">
            <v>LG-121301</v>
          </cell>
          <cell r="BG1747" t="str">
            <v>Não Montado</v>
          </cell>
        </row>
        <row r="1748">
          <cell r="A1748" t="str">
            <v>LG-121302</v>
          </cell>
          <cell r="BG1748" t="str">
            <v>Não Montado</v>
          </cell>
        </row>
        <row r="1749">
          <cell r="A1749" t="str">
            <v>LG-121304</v>
          </cell>
          <cell r="BG1749" t="str">
            <v>Não Montado</v>
          </cell>
        </row>
        <row r="1750">
          <cell r="A1750" t="str">
            <v>LG-121305</v>
          </cell>
          <cell r="BG1750" t="str">
            <v>Não Montado</v>
          </cell>
        </row>
        <row r="1751">
          <cell r="A1751" t="str">
            <v>LG-121306</v>
          </cell>
          <cell r="BG1751" t="str">
            <v>Não Montado</v>
          </cell>
        </row>
        <row r="1752">
          <cell r="A1752" t="str">
            <v>LG-121400</v>
          </cell>
          <cell r="BG1752" t="str">
            <v>Não Montado</v>
          </cell>
        </row>
        <row r="1753">
          <cell r="A1753" t="str">
            <v>LG-121401</v>
          </cell>
          <cell r="BG1753" t="str">
            <v>Não Montado</v>
          </cell>
        </row>
        <row r="1754">
          <cell r="A1754" t="str">
            <v>LG-121402</v>
          </cell>
          <cell r="BG1754" t="str">
            <v>Não Montado</v>
          </cell>
        </row>
        <row r="1755">
          <cell r="A1755" t="str">
            <v>LG-121404</v>
          </cell>
          <cell r="BG1755" t="str">
            <v>Não Montado</v>
          </cell>
        </row>
        <row r="1756">
          <cell r="A1756" t="str">
            <v>LG-121405</v>
          </cell>
          <cell r="BG1756" t="str">
            <v>Não Montado</v>
          </cell>
        </row>
        <row r="1757">
          <cell r="A1757" t="str">
            <v>LG-121406</v>
          </cell>
          <cell r="BG1757" t="str">
            <v>Não Montado</v>
          </cell>
        </row>
        <row r="1758">
          <cell r="A1758" t="str">
            <v>LG-121500</v>
          </cell>
          <cell r="BG1758" t="str">
            <v>Não Montado</v>
          </cell>
        </row>
        <row r="1759">
          <cell r="A1759" t="str">
            <v>LG-121501</v>
          </cell>
          <cell r="BG1759" t="str">
            <v>Não Montado</v>
          </cell>
        </row>
        <row r="1760">
          <cell r="A1760" t="str">
            <v>LG-121502</v>
          </cell>
          <cell r="BG1760" t="str">
            <v>Não Montado</v>
          </cell>
        </row>
        <row r="1761">
          <cell r="A1761" t="str">
            <v>LG-121520</v>
          </cell>
          <cell r="BG1761" t="str">
            <v>Não Montado</v>
          </cell>
        </row>
        <row r="1762">
          <cell r="A1762" t="str">
            <v>LG-121521</v>
          </cell>
          <cell r="BG1762" t="str">
            <v>Não Montado</v>
          </cell>
        </row>
        <row r="1763">
          <cell r="A1763" t="str">
            <v>LG-121522</v>
          </cell>
          <cell r="BG1763" t="str">
            <v>Não Montado</v>
          </cell>
        </row>
        <row r="1764">
          <cell r="A1764" t="str">
            <v>LG-122046</v>
          </cell>
          <cell r="BG1764" t="str">
            <v>Não Montado</v>
          </cell>
        </row>
        <row r="1765">
          <cell r="A1765" t="str">
            <v>LIT-120001A</v>
          </cell>
          <cell r="BG1765" t="str">
            <v>Não Montado</v>
          </cell>
        </row>
        <row r="1766">
          <cell r="A1766" t="str">
            <v>LIT-120001B</v>
          </cell>
          <cell r="BG1766" t="str">
            <v>Não Montado</v>
          </cell>
        </row>
        <row r="1767">
          <cell r="A1767" t="str">
            <v>LIT-120002A</v>
          </cell>
          <cell r="BG1767" t="str">
            <v>Não Montado</v>
          </cell>
        </row>
        <row r="1768">
          <cell r="A1768" t="str">
            <v>LIT-120002B</v>
          </cell>
          <cell r="BG1768" t="str">
            <v>Programar</v>
          </cell>
        </row>
        <row r="1769">
          <cell r="A1769" t="str">
            <v>LIT-120003A</v>
          </cell>
          <cell r="BG1769" t="str">
            <v>Não Montado</v>
          </cell>
        </row>
        <row r="1770">
          <cell r="A1770" t="str">
            <v>LIT-120003B</v>
          </cell>
          <cell r="BG1770" t="str">
            <v>Não Montado</v>
          </cell>
        </row>
        <row r="1771">
          <cell r="A1771" t="str">
            <v>LIT-120004A</v>
          </cell>
          <cell r="BG1771" t="str">
            <v>Não Montado</v>
          </cell>
        </row>
        <row r="1772">
          <cell r="A1772" t="str">
            <v>LIT-120004B</v>
          </cell>
          <cell r="BG1772" t="str">
            <v>Programar</v>
          </cell>
        </row>
        <row r="1773">
          <cell r="A1773" t="str">
            <v>LIT-120005</v>
          </cell>
          <cell r="BG1773" t="str">
            <v>Não Montado</v>
          </cell>
        </row>
        <row r="1774">
          <cell r="A1774" t="str">
            <v>LIT-120006</v>
          </cell>
          <cell r="BG1774" t="str">
            <v>Não Montado</v>
          </cell>
        </row>
        <row r="1775">
          <cell r="A1775" t="str">
            <v>LIT-120007</v>
          </cell>
          <cell r="BG1775" t="str">
            <v>Não Montado</v>
          </cell>
        </row>
        <row r="1776">
          <cell r="A1776" t="str">
            <v>LIT-120008</v>
          </cell>
          <cell r="BG1776" t="str">
            <v>Não Montado</v>
          </cell>
        </row>
        <row r="1777">
          <cell r="A1777" t="str">
            <v>LIT-120009A</v>
          </cell>
          <cell r="BG1777" t="str">
            <v>Não Montado</v>
          </cell>
        </row>
        <row r="1778">
          <cell r="A1778" t="str">
            <v>LIT-120009B</v>
          </cell>
          <cell r="BG1778" t="str">
            <v>Não Montado</v>
          </cell>
        </row>
        <row r="1779">
          <cell r="A1779" t="str">
            <v>LIT-120010</v>
          </cell>
          <cell r="BG1779" t="str">
            <v>Montado</v>
          </cell>
        </row>
        <row r="1780">
          <cell r="A1780" t="str">
            <v>LIT-120011</v>
          </cell>
          <cell r="BG1780" t="str">
            <v>Não Montado</v>
          </cell>
        </row>
        <row r="1781">
          <cell r="A1781" t="str">
            <v>LIT-120012</v>
          </cell>
          <cell r="BG1781" t="str">
            <v>Montado</v>
          </cell>
        </row>
        <row r="1782">
          <cell r="A1782" t="str">
            <v>LIT-120013</v>
          </cell>
          <cell r="BG1782" t="str">
            <v>Programar</v>
          </cell>
        </row>
        <row r="1783">
          <cell r="A1783" t="str">
            <v>LIT-120014</v>
          </cell>
          <cell r="BG1783" t="str">
            <v>Não Montado</v>
          </cell>
        </row>
        <row r="1784">
          <cell r="A1784" t="str">
            <v>LIT-120015</v>
          </cell>
          <cell r="BG1784" t="str">
            <v>Não Montado</v>
          </cell>
        </row>
        <row r="1785">
          <cell r="A1785" t="str">
            <v>LIT-120016</v>
          </cell>
          <cell r="BG1785" t="str">
            <v>Não Montado</v>
          </cell>
        </row>
        <row r="1786">
          <cell r="A1786" t="str">
            <v>LIT-120017</v>
          </cell>
          <cell r="BG1786" t="str">
            <v>Não Montado</v>
          </cell>
        </row>
        <row r="1787">
          <cell r="A1787" t="str">
            <v>LIT-120018</v>
          </cell>
          <cell r="BG1787" t="str">
            <v>Não Montado</v>
          </cell>
        </row>
        <row r="1788">
          <cell r="A1788" t="str">
            <v>LIT-120019A</v>
          </cell>
          <cell r="BG1788" t="str">
            <v>Não Montado</v>
          </cell>
        </row>
        <row r="1789">
          <cell r="A1789" t="str">
            <v>LIT-120019B</v>
          </cell>
          <cell r="BG1789" t="str">
            <v>Não Montado</v>
          </cell>
        </row>
        <row r="1790">
          <cell r="A1790" t="str">
            <v>LIT-120020</v>
          </cell>
          <cell r="BG1790" t="str">
            <v>Não Montado</v>
          </cell>
        </row>
        <row r="1791">
          <cell r="A1791" t="str">
            <v>LIT-120021</v>
          </cell>
          <cell r="BG1791" t="str">
            <v>Não Montado</v>
          </cell>
        </row>
        <row r="1792">
          <cell r="A1792" t="str">
            <v>LIT-120022</v>
          </cell>
          <cell r="BG1792" t="str">
            <v>Não Montado</v>
          </cell>
        </row>
        <row r="1793">
          <cell r="A1793" t="str">
            <v>LIT-120023</v>
          </cell>
          <cell r="BG1793" t="str">
            <v>Montado</v>
          </cell>
        </row>
        <row r="1794">
          <cell r="A1794" t="str">
            <v>LIT-120024</v>
          </cell>
          <cell r="BG1794" t="str">
            <v>Montado</v>
          </cell>
        </row>
        <row r="1795">
          <cell r="A1795" t="str">
            <v>LIT-120025</v>
          </cell>
          <cell r="BG1795" t="str">
            <v>Programar</v>
          </cell>
        </row>
        <row r="1796">
          <cell r="A1796" t="str">
            <v>LIT-120026</v>
          </cell>
          <cell r="BG1796" t="str">
            <v>Não Montado</v>
          </cell>
        </row>
        <row r="1797">
          <cell r="A1797" t="str">
            <v>LIT-120027</v>
          </cell>
          <cell r="BG1797" t="str">
            <v>Montado</v>
          </cell>
        </row>
        <row r="1798">
          <cell r="A1798" t="str">
            <v>LIT-120028</v>
          </cell>
          <cell r="BG1798" t="str">
            <v>Não Montado</v>
          </cell>
        </row>
        <row r="1799">
          <cell r="A1799" t="str">
            <v>LIT-120029</v>
          </cell>
          <cell r="BG1799" t="str">
            <v>Não Montado</v>
          </cell>
        </row>
        <row r="1800">
          <cell r="A1800" t="str">
            <v>LIT-120030</v>
          </cell>
          <cell r="BG1800" t="str">
            <v>Montado</v>
          </cell>
        </row>
        <row r="1801">
          <cell r="A1801" t="str">
            <v>LIT-120031</v>
          </cell>
          <cell r="BG1801" t="str">
            <v>Montado</v>
          </cell>
        </row>
        <row r="1802">
          <cell r="A1802" t="str">
            <v>LIT-120032</v>
          </cell>
          <cell r="BG1802" t="str">
            <v>Montado</v>
          </cell>
        </row>
        <row r="1803">
          <cell r="A1803" t="str">
            <v>LIT-120100</v>
          </cell>
          <cell r="BG1803" t="str">
            <v>Montado</v>
          </cell>
        </row>
        <row r="1804">
          <cell r="A1804" t="str">
            <v>LIT-120101</v>
          </cell>
          <cell r="BG1804" t="str">
            <v>Montado</v>
          </cell>
        </row>
        <row r="1805">
          <cell r="A1805" t="str">
            <v>LIT-120102</v>
          </cell>
          <cell r="BG1805" t="str">
            <v>Montado</v>
          </cell>
        </row>
        <row r="1806">
          <cell r="A1806" t="str">
            <v>LIT-120103</v>
          </cell>
          <cell r="BG1806" t="str">
            <v>Montado</v>
          </cell>
        </row>
        <row r="1807">
          <cell r="A1807" t="str">
            <v>LIT-120252</v>
          </cell>
          <cell r="BG1807" t="str">
            <v>Não Montado</v>
          </cell>
        </row>
        <row r="1808">
          <cell r="A1808" t="str">
            <v>LIT-120602A</v>
          </cell>
          <cell r="BG1808" t="str">
            <v>Não Montado</v>
          </cell>
        </row>
        <row r="1809">
          <cell r="A1809" t="str">
            <v>LIT-120602B</v>
          </cell>
          <cell r="BG1809" t="str">
            <v>Não Montado</v>
          </cell>
        </row>
        <row r="1810">
          <cell r="A1810" t="str">
            <v>LIT-120615</v>
          </cell>
          <cell r="BG1810" t="str">
            <v>Não Montado</v>
          </cell>
        </row>
        <row r="1811">
          <cell r="A1811" t="str">
            <v>LIT-120616</v>
          </cell>
          <cell r="BG1811" t="str">
            <v>Montado</v>
          </cell>
        </row>
        <row r="1812">
          <cell r="A1812" t="str">
            <v>LIT-120617A</v>
          </cell>
          <cell r="BG1812" t="str">
            <v>Montado</v>
          </cell>
        </row>
        <row r="1813">
          <cell r="A1813" t="str">
            <v>LIT-120617B</v>
          </cell>
          <cell r="BG1813" t="str">
            <v>Não Montado</v>
          </cell>
        </row>
        <row r="1814">
          <cell r="A1814" t="str">
            <v>LIT-120677A</v>
          </cell>
          <cell r="BG1814" t="str">
            <v>Não Montado</v>
          </cell>
        </row>
        <row r="1815">
          <cell r="A1815" t="str">
            <v>LIT-120901</v>
          </cell>
          <cell r="BG1815" t="str">
            <v>Programar</v>
          </cell>
        </row>
        <row r="1816">
          <cell r="A1816" t="str">
            <v>LIT-120902</v>
          </cell>
          <cell r="BG1816" t="str">
            <v>Não Montado</v>
          </cell>
        </row>
        <row r="1817">
          <cell r="A1817" t="str">
            <v>LIT-120903</v>
          </cell>
          <cell r="BG1817" t="str">
            <v>Programar</v>
          </cell>
        </row>
        <row r="1818">
          <cell r="A1818" t="str">
            <v>LIT-120951</v>
          </cell>
          <cell r="BG1818" t="str">
            <v>Não Montado</v>
          </cell>
        </row>
        <row r="1819">
          <cell r="A1819" t="str">
            <v>LIT-120952</v>
          </cell>
          <cell r="BG1819" t="str">
            <v>Programar</v>
          </cell>
        </row>
        <row r="1820">
          <cell r="A1820" t="str">
            <v>LIT-120953</v>
          </cell>
          <cell r="BG1820" t="str">
            <v>Não Montado</v>
          </cell>
        </row>
        <row r="1821">
          <cell r="A1821" t="str">
            <v>LIT-120954</v>
          </cell>
          <cell r="BG1821" t="str">
            <v>Não Montado</v>
          </cell>
        </row>
        <row r="1822">
          <cell r="A1822" t="str">
            <v>LIT-120955</v>
          </cell>
          <cell r="BG1822" t="str">
            <v>Não Montado</v>
          </cell>
        </row>
        <row r="1823">
          <cell r="A1823" t="str">
            <v>LIT-120956</v>
          </cell>
          <cell r="BG1823" t="str">
            <v>Não Montado</v>
          </cell>
        </row>
        <row r="1824">
          <cell r="A1824" t="str">
            <v>LIT-120957</v>
          </cell>
          <cell r="BG1824" t="str">
            <v>Programar</v>
          </cell>
        </row>
        <row r="1825">
          <cell r="A1825" t="str">
            <v>LIT-120958</v>
          </cell>
          <cell r="BG1825" t="str">
            <v>Não Montado</v>
          </cell>
        </row>
        <row r="1826">
          <cell r="A1826" t="str">
            <v>LIT-120959</v>
          </cell>
          <cell r="BG1826" t="str">
            <v>Não Montado</v>
          </cell>
        </row>
        <row r="1827">
          <cell r="A1827" t="str">
            <v>LIT-120960</v>
          </cell>
          <cell r="BG1827" t="str">
            <v>Não Montado</v>
          </cell>
        </row>
        <row r="1828">
          <cell r="A1828" t="str">
            <v>LIT-120961</v>
          </cell>
          <cell r="BG1828" t="str">
            <v>Não Montado</v>
          </cell>
        </row>
        <row r="1829">
          <cell r="A1829" t="str">
            <v>LIT-120962</v>
          </cell>
          <cell r="BG1829" t="str">
            <v>Programar</v>
          </cell>
        </row>
        <row r="1830">
          <cell r="A1830" t="str">
            <v>LIT-120963</v>
          </cell>
          <cell r="BG1830" t="str">
            <v>Programar</v>
          </cell>
        </row>
        <row r="1831">
          <cell r="A1831" t="str">
            <v>LIT-120964</v>
          </cell>
          <cell r="BG1831" t="str">
            <v>Montado</v>
          </cell>
        </row>
        <row r="1832">
          <cell r="A1832" t="str">
            <v>LIT-120964B</v>
          </cell>
          <cell r="BG1832" t="str">
            <v>Não Montado</v>
          </cell>
        </row>
        <row r="1833">
          <cell r="A1833" t="str">
            <v>LIT-120965</v>
          </cell>
          <cell r="BG1833" t="str">
            <v>Não Montado</v>
          </cell>
        </row>
        <row r="1834">
          <cell r="A1834" t="str">
            <v>LIT-120966</v>
          </cell>
          <cell r="BG1834" t="str">
            <v>Não Montado</v>
          </cell>
        </row>
        <row r="1835">
          <cell r="A1835" t="str">
            <v>LIT-120967</v>
          </cell>
          <cell r="BG1835" t="str">
            <v>Não Montado</v>
          </cell>
        </row>
        <row r="1836">
          <cell r="A1836" t="str">
            <v>LIT-121308</v>
          </cell>
          <cell r="BG1836" t="str">
            <v>Programar</v>
          </cell>
        </row>
        <row r="1837">
          <cell r="A1837" t="str">
            <v>LIT-121310</v>
          </cell>
          <cell r="BG1837" t="str">
            <v>Programar</v>
          </cell>
        </row>
        <row r="1838">
          <cell r="A1838" t="str">
            <v>LIT-121311</v>
          </cell>
          <cell r="BG1838" t="str">
            <v>Programar</v>
          </cell>
        </row>
        <row r="1839">
          <cell r="A1839" t="str">
            <v>LIT-121408</v>
          </cell>
          <cell r="BG1839" t="str">
            <v>Programar</v>
          </cell>
        </row>
        <row r="1840">
          <cell r="A1840" t="str">
            <v>LIT-121410</v>
          </cell>
          <cell r="BG1840" t="str">
            <v>Programar</v>
          </cell>
        </row>
        <row r="1841">
          <cell r="A1841" t="str">
            <v>LIT-121411</v>
          </cell>
          <cell r="BG1841" t="str">
            <v>Programar</v>
          </cell>
        </row>
        <row r="1842">
          <cell r="A1842" t="str">
            <v>LIT-122047</v>
          </cell>
          <cell r="BG1842" t="str">
            <v>Não Montado</v>
          </cell>
        </row>
        <row r="1843">
          <cell r="A1843" t="str">
            <v>LSL-121000</v>
          </cell>
          <cell r="BG1843" t="str">
            <v>Não Montado</v>
          </cell>
        </row>
        <row r="1844">
          <cell r="A1844" t="str">
            <v>LSL-121001</v>
          </cell>
          <cell r="BG1844" t="str">
            <v>Não Montado</v>
          </cell>
        </row>
        <row r="1845">
          <cell r="A1845" t="str">
            <v>LSL-121002</v>
          </cell>
          <cell r="BG1845" t="str">
            <v>Não Montado</v>
          </cell>
        </row>
        <row r="1846">
          <cell r="A1846" t="str">
            <v>LSL-121003</v>
          </cell>
          <cell r="BG1846" t="str">
            <v>Não Montado</v>
          </cell>
        </row>
        <row r="1847">
          <cell r="A1847" t="str">
            <v>LSL-121004</v>
          </cell>
          <cell r="BG1847" t="str">
            <v>Não Montado</v>
          </cell>
        </row>
        <row r="1848">
          <cell r="A1848" t="str">
            <v>LSL-121005</v>
          </cell>
          <cell r="BG1848" t="str">
            <v>Não Montado</v>
          </cell>
        </row>
        <row r="1849">
          <cell r="A1849" t="str">
            <v>LSL-121309</v>
          </cell>
          <cell r="BG1849" t="str">
            <v>Não Montado</v>
          </cell>
        </row>
        <row r="1850">
          <cell r="A1850" t="str">
            <v>LSL-121409</v>
          </cell>
          <cell r="BG1850" t="str">
            <v>Não Montado</v>
          </cell>
        </row>
        <row r="1851">
          <cell r="A1851" t="str">
            <v>LSL-121500</v>
          </cell>
          <cell r="BG1851" t="str">
            <v>Não Montado</v>
          </cell>
        </row>
        <row r="1852">
          <cell r="A1852" t="str">
            <v>LSL-121520</v>
          </cell>
          <cell r="BG1852" t="str">
            <v>Não Montado</v>
          </cell>
        </row>
        <row r="1853">
          <cell r="A1853" t="str">
            <v>LSL-121521</v>
          </cell>
          <cell r="BG1853" t="str">
            <v>Não Montado</v>
          </cell>
        </row>
        <row r="1854">
          <cell r="A1854" t="str">
            <v>LSL-121522</v>
          </cell>
          <cell r="BG1854" t="str">
            <v>Não Montado</v>
          </cell>
        </row>
        <row r="1855">
          <cell r="A1855" t="str">
            <v>LSL-121523</v>
          </cell>
          <cell r="BG1855" t="str">
            <v>Não Montado</v>
          </cell>
        </row>
        <row r="1856">
          <cell r="A1856" t="str">
            <v>LSL-121524</v>
          </cell>
          <cell r="BG1856" t="str">
            <v>Não Montado</v>
          </cell>
        </row>
        <row r="1857">
          <cell r="A1857" t="str">
            <v>LSL-121525</v>
          </cell>
          <cell r="BG1857" t="str">
            <v>Não Montado</v>
          </cell>
        </row>
        <row r="1858">
          <cell r="A1858" t="str">
            <v>LSLL-121004</v>
          </cell>
          <cell r="BG1858" t="str">
            <v>Não Montado</v>
          </cell>
        </row>
        <row r="1859">
          <cell r="A1859" t="str">
            <v>LT-121500</v>
          </cell>
          <cell r="BG1859" t="str">
            <v>Não Montado</v>
          </cell>
        </row>
        <row r="1860">
          <cell r="A1860" t="str">
            <v>LT-121520</v>
          </cell>
          <cell r="BG1860" t="str">
            <v>Não Montado</v>
          </cell>
        </row>
        <row r="1861">
          <cell r="A1861" t="str">
            <v>LV-120001</v>
          </cell>
          <cell r="BG1861" t="str">
            <v>Não Montado</v>
          </cell>
        </row>
        <row r="1862">
          <cell r="A1862" t="str">
            <v>LV-120002</v>
          </cell>
          <cell r="BG1862" t="str">
            <v>Não Montado</v>
          </cell>
        </row>
        <row r="1863">
          <cell r="A1863" t="str">
            <v>LV-120003</v>
          </cell>
          <cell r="BG1863" t="str">
            <v>Não Montado</v>
          </cell>
        </row>
        <row r="1864">
          <cell r="A1864" t="str">
            <v>LV-120004</v>
          </cell>
          <cell r="BG1864" t="str">
            <v>Não Montado</v>
          </cell>
        </row>
        <row r="1865">
          <cell r="A1865" t="str">
            <v>LV-120013</v>
          </cell>
          <cell r="BG1865" t="str">
            <v>Não Montado</v>
          </cell>
        </row>
        <row r="1866">
          <cell r="A1866" t="str">
            <v>LV-120020</v>
          </cell>
          <cell r="BG1866" t="str">
            <v>Não Montado</v>
          </cell>
        </row>
        <row r="1867">
          <cell r="A1867" t="str">
            <v>LV-120025</v>
          </cell>
          <cell r="BG1867" t="str">
            <v>Não Montado</v>
          </cell>
        </row>
        <row r="1868">
          <cell r="A1868" t="str">
            <v>LV-120027</v>
          </cell>
          <cell r="BG1868" t="str">
            <v>Não Montado</v>
          </cell>
        </row>
        <row r="1869">
          <cell r="A1869" t="str">
            <v>LV-120100</v>
          </cell>
          <cell r="BG1869" t="str">
            <v>Não Montado</v>
          </cell>
        </row>
        <row r="1870">
          <cell r="A1870" t="str">
            <v>LV-120101</v>
          </cell>
          <cell r="BG1870" t="str">
            <v>Não Montado</v>
          </cell>
        </row>
        <row r="1871">
          <cell r="A1871" t="str">
            <v>LV-120615</v>
          </cell>
          <cell r="BG1871" t="str">
            <v>Não Montado</v>
          </cell>
        </row>
        <row r="1872">
          <cell r="A1872" t="str">
            <v>LV-120616</v>
          </cell>
          <cell r="BG1872" t="str">
            <v>Não Montado</v>
          </cell>
        </row>
        <row r="1873">
          <cell r="A1873" t="str">
            <v>LV-120617</v>
          </cell>
          <cell r="BG1873" t="str">
            <v>Não Montado</v>
          </cell>
        </row>
        <row r="1874">
          <cell r="A1874" t="str">
            <v>LV-120617A</v>
          </cell>
          <cell r="BG1874" t="str">
            <v>Não Montado</v>
          </cell>
        </row>
        <row r="1875">
          <cell r="A1875" t="str">
            <v>LV-120901</v>
          </cell>
          <cell r="BG1875" t="str">
            <v>Não Montado</v>
          </cell>
        </row>
        <row r="1876">
          <cell r="A1876" t="str">
            <v>LY-120616</v>
          </cell>
          <cell r="BG1876" t="str">
            <v>Não Montado</v>
          </cell>
        </row>
        <row r="1877">
          <cell r="A1877" t="str">
            <v>LY-120617A</v>
          </cell>
          <cell r="BG1877" t="str">
            <v>Não Montado</v>
          </cell>
        </row>
        <row r="1878">
          <cell r="A1878" t="str">
            <v>LZ-120001</v>
          </cell>
          <cell r="BG1878" t="str">
            <v>Não Montado</v>
          </cell>
        </row>
        <row r="1879">
          <cell r="A1879" t="str">
            <v>LZ-120002</v>
          </cell>
          <cell r="BG1879" t="str">
            <v>Não Montado</v>
          </cell>
        </row>
        <row r="1880">
          <cell r="A1880" t="str">
            <v>LZ-120003</v>
          </cell>
          <cell r="BG1880" t="str">
            <v>Não Montado</v>
          </cell>
        </row>
        <row r="1881">
          <cell r="A1881" t="str">
            <v>LZ-120004</v>
          </cell>
          <cell r="BG1881" t="str">
            <v>Não Montado</v>
          </cell>
        </row>
        <row r="1882">
          <cell r="A1882" t="str">
            <v>LZ-120013</v>
          </cell>
          <cell r="BG1882" t="str">
            <v>Não Montado</v>
          </cell>
        </row>
        <row r="1883">
          <cell r="A1883" t="str">
            <v>LZ-120020</v>
          </cell>
          <cell r="BG1883" t="str">
            <v>Não Montado</v>
          </cell>
        </row>
        <row r="1884">
          <cell r="A1884" t="str">
            <v>LZ-120025</v>
          </cell>
          <cell r="BG1884" t="str">
            <v>Não Montado</v>
          </cell>
        </row>
        <row r="1885">
          <cell r="A1885" t="str">
            <v>LZ-120027</v>
          </cell>
          <cell r="BG1885" t="str">
            <v>Não Montado</v>
          </cell>
        </row>
        <row r="1886">
          <cell r="A1886" t="str">
            <v>LZ-120100</v>
          </cell>
          <cell r="BG1886" t="str">
            <v>Não Montado</v>
          </cell>
        </row>
        <row r="1887">
          <cell r="A1887" t="str">
            <v>LZ-120101</v>
          </cell>
          <cell r="BG1887" t="str">
            <v>Não Montado</v>
          </cell>
        </row>
        <row r="1888">
          <cell r="A1888" t="str">
            <v>OST-120001</v>
          </cell>
          <cell r="BG1888" t="str">
            <v>Montado</v>
          </cell>
        </row>
        <row r="1889">
          <cell r="A1889" t="str">
            <v>OST-120002</v>
          </cell>
          <cell r="BG1889" t="str">
            <v>Montado</v>
          </cell>
        </row>
        <row r="1890">
          <cell r="A1890" t="str">
            <v>OST-120003</v>
          </cell>
          <cell r="BG1890" t="str">
            <v>Montado</v>
          </cell>
        </row>
        <row r="1891">
          <cell r="A1891" t="str">
            <v>OST-120004</v>
          </cell>
          <cell r="BG1891" t="str">
            <v>Montado</v>
          </cell>
        </row>
        <row r="1892">
          <cell r="A1892" t="str">
            <v>OST-120005</v>
          </cell>
          <cell r="BG1892" t="str">
            <v>Montado</v>
          </cell>
        </row>
        <row r="1893">
          <cell r="A1893" t="str">
            <v>OST-120006</v>
          </cell>
          <cell r="BG1893" t="str">
            <v>Montado</v>
          </cell>
        </row>
        <row r="1894">
          <cell r="A1894" t="str">
            <v>OST-120007</v>
          </cell>
          <cell r="BG1894" t="str">
            <v>Montado</v>
          </cell>
        </row>
        <row r="1895">
          <cell r="A1895" t="str">
            <v>OST-120008</v>
          </cell>
          <cell r="BG1895" t="str">
            <v>Montado</v>
          </cell>
        </row>
        <row r="1896">
          <cell r="A1896" t="str">
            <v>OST-120009</v>
          </cell>
          <cell r="BG1896" t="str">
            <v>Montado</v>
          </cell>
        </row>
        <row r="1897">
          <cell r="A1897" t="str">
            <v>OST-120010</v>
          </cell>
          <cell r="BG1897" t="str">
            <v>Montado</v>
          </cell>
        </row>
        <row r="1898">
          <cell r="A1898" t="str">
            <v>OST-120011</v>
          </cell>
          <cell r="BG1898" t="str">
            <v>Montado</v>
          </cell>
        </row>
        <row r="1899">
          <cell r="A1899" t="str">
            <v>OST-120012</v>
          </cell>
          <cell r="BG1899" t="str">
            <v>Montado</v>
          </cell>
        </row>
        <row r="1900">
          <cell r="A1900" t="str">
            <v>OST-120013</v>
          </cell>
          <cell r="BG1900" t="str">
            <v>Montado</v>
          </cell>
        </row>
        <row r="1901">
          <cell r="A1901" t="str">
            <v>OST-120014</v>
          </cell>
          <cell r="BG1901" t="str">
            <v>Montado</v>
          </cell>
        </row>
        <row r="1902">
          <cell r="A1902" t="str">
            <v>OST-120015</v>
          </cell>
          <cell r="BG1902" t="str">
            <v>Em programação</v>
          </cell>
        </row>
        <row r="1903">
          <cell r="A1903" t="str">
            <v>OST-120100A</v>
          </cell>
          <cell r="BG1903" t="str">
            <v>Montado</v>
          </cell>
        </row>
        <row r="1904">
          <cell r="A1904" t="str">
            <v>OST-120100B</v>
          </cell>
          <cell r="BG1904" t="str">
            <v>Montado</v>
          </cell>
        </row>
        <row r="1905">
          <cell r="A1905" t="str">
            <v>OST-120100C</v>
          </cell>
          <cell r="BG1905" t="str">
            <v>Montado</v>
          </cell>
        </row>
        <row r="1906">
          <cell r="A1906" t="str">
            <v>OST-120101A</v>
          </cell>
          <cell r="BG1906" t="str">
            <v>Montado</v>
          </cell>
        </row>
        <row r="1907">
          <cell r="A1907" t="str">
            <v>OST-120101B</v>
          </cell>
          <cell r="BG1907" t="str">
            <v>Montado</v>
          </cell>
        </row>
        <row r="1908">
          <cell r="A1908" t="str">
            <v>OST-120101C</v>
          </cell>
          <cell r="BG1908" t="str">
            <v>Montado</v>
          </cell>
        </row>
        <row r="1909">
          <cell r="A1909" t="str">
            <v>PAV-120250</v>
          </cell>
          <cell r="BG1909" t="str">
            <v>Não Montado</v>
          </cell>
        </row>
        <row r="1910">
          <cell r="A1910" t="str">
            <v>PAV-120953</v>
          </cell>
          <cell r="BG1910" t="str">
            <v>Não Montado</v>
          </cell>
        </row>
        <row r="1911">
          <cell r="A1911" t="str">
            <v>PAV-122028</v>
          </cell>
          <cell r="BG1911" t="str">
            <v>Não Montado</v>
          </cell>
        </row>
        <row r="1912">
          <cell r="A1912" t="str">
            <v>PAV-122045</v>
          </cell>
          <cell r="BG1912" t="str">
            <v>Não Montado</v>
          </cell>
        </row>
        <row r="1913">
          <cell r="A1913" t="str">
            <v>PCV-120418</v>
          </cell>
          <cell r="BG1913" t="str">
            <v>Não Montado</v>
          </cell>
        </row>
        <row r="1914">
          <cell r="A1914" t="str">
            <v>PCV-120500</v>
          </cell>
          <cell r="BG1914" t="str">
            <v>Não Montado</v>
          </cell>
        </row>
        <row r="1915">
          <cell r="A1915" t="str">
            <v>PCV-120501</v>
          </cell>
          <cell r="BG1915" t="str">
            <v>Não Montado</v>
          </cell>
        </row>
        <row r="1916">
          <cell r="A1916" t="str">
            <v>PCV-120502</v>
          </cell>
          <cell r="BG1916" t="str">
            <v>Não Montado</v>
          </cell>
        </row>
        <row r="1917">
          <cell r="A1917" t="str">
            <v>PCV-120503</v>
          </cell>
          <cell r="BG1917" t="str">
            <v>Não Montado</v>
          </cell>
        </row>
        <row r="1918">
          <cell r="A1918" t="str">
            <v>PCV-120504</v>
          </cell>
          <cell r="BG1918" t="str">
            <v>Não Montado</v>
          </cell>
        </row>
        <row r="1919">
          <cell r="A1919" t="str">
            <v>PCV-120901</v>
          </cell>
          <cell r="BG1919" t="str">
            <v>Não Montado</v>
          </cell>
        </row>
        <row r="1920">
          <cell r="A1920" t="str">
            <v>PCV-120902</v>
          </cell>
          <cell r="BG1920" t="str">
            <v>Não Montado</v>
          </cell>
        </row>
        <row r="1921">
          <cell r="A1921" t="str">
            <v>PCV-120903</v>
          </cell>
          <cell r="BG1921" t="str">
            <v>Não Montado</v>
          </cell>
        </row>
        <row r="1922">
          <cell r="A1922" t="str">
            <v>PCV-121301</v>
          </cell>
          <cell r="BG1922" t="str">
            <v>Não Montado</v>
          </cell>
        </row>
        <row r="1923">
          <cell r="A1923" t="str">
            <v>PCV-121401</v>
          </cell>
          <cell r="BG1923" t="str">
            <v>Não Montado</v>
          </cell>
        </row>
        <row r="1924">
          <cell r="A1924" t="str">
            <v>PCV-121500</v>
          </cell>
          <cell r="BG1924" t="str">
            <v>Não Montado</v>
          </cell>
        </row>
        <row r="1925">
          <cell r="A1925" t="str">
            <v>PCV-121501</v>
          </cell>
          <cell r="BG1925" t="str">
            <v>Não Montado</v>
          </cell>
        </row>
        <row r="1926">
          <cell r="A1926" t="str">
            <v>PCV-121502</v>
          </cell>
          <cell r="BG1926" t="str">
            <v>Não Montado</v>
          </cell>
        </row>
        <row r="1927">
          <cell r="A1927" t="str">
            <v>PCV-121520</v>
          </cell>
          <cell r="BG1927" t="str">
            <v>Não Montado</v>
          </cell>
        </row>
        <row r="1928">
          <cell r="A1928" t="str">
            <v>PCV-121521</v>
          </cell>
          <cell r="BG1928" t="str">
            <v>Não Montado</v>
          </cell>
        </row>
        <row r="1929">
          <cell r="A1929" t="str">
            <v>PCV-121522</v>
          </cell>
          <cell r="BG1929" t="str">
            <v>Não Montado</v>
          </cell>
        </row>
        <row r="1930">
          <cell r="A1930" t="str">
            <v>PCV-122021</v>
          </cell>
          <cell r="BG1930" t="str">
            <v>Não Montado</v>
          </cell>
        </row>
        <row r="1931">
          <cell r="A1931" t="str">
            <v>PDA-120001</v>
          </cell>
          <cell r="BG1931" t="str">
            <v>Não Montado</v>
          </cell>
        </row>
        <row r="1932">
          <cell r="A1932" t="str">
            <v>PDA-120002</v>
          </cell>
          <cell r="BG1932" t="str">
            <v>Não Montado</v>
          </cell>
        </row>
        <row r="1933">
          <cell r="A1933" t="str">
            <v>PDA-120003</v>
          </cell>
          <cell r="BG1933" t="str">
            <v>Não Montado</v>
          </cell>
        </row>
        <row r="1934">
          <cell r="A1934" t="str">
            <v>PDA-120004</v>
          </cell>
          <cell r="BG1934" t="str">
            <v>Não Montado</v>
          </cell>
        </row>
        <row r="1935">
          <cell r="A1935" t="str">
            <v>PDA-120005</v>
          </cell>
          <cell r="BG1935" t="str">
            <v>Não Montado</v>
          </cell>
        </row>
        <row r="1936">
          <cell r="A1936" t="str">
            <v>PDA-120006</v>
          </cell>
          <cell r="BG1936" t="str">
            <v>Não Montado</v>
          </cell>
        </row>
        <row r="1937">
          <cell r="A1937" t="str">
            <v>PDA-120007</v>
          </cell>
          <cell r="BG1937" t="str">
            <v>Não Montado</v>
          </cell>
        </row>
        <row r="1938">
          <cell r="A1938" t="str">
            <v>PDA-120008</v>
          </cell>
          <cell r="BG1938" t="str">
            <v>Não Montado</v>
          </cell>
        </row>
        <row r="1939">
          <cell r="A1939" t="str">
            <v>PDA-120009</v>
          </cell>
          <cell r="BG1939" t="str">
            <v>Não Montado</v>
          </cell>
        </row>
        <row r="1940">
          <cell r="A1940" t="str">
            <v>PDA-120010</v>
          </cell>
          <cell r="BG1940" t="str">
            <v>Não Montado</v>
          </cell>
        </row>
        <row r="1941">
          <cell r="A1941" t="str">
            <v>PDA-120011</v>
          </cell>
          <cell r="BG1941" t="str">
            <v>Não Montado</v>
          </cell>
        </row>
        <row r="1942">
          <cell r="A1942" t="str">
            <v>PDA-120012</v>
          </cell>
          <cell r="BG1942" t="str">
            <v>Não Montado</v>
          </cell>
        </row>
        <row r="1943">
          <cell r="A1943" t="str">
            <v>PDA-120013</v>
          </cell>
          <cell r="BG1943" t="str">
            <v>Não Montado</v>
          </cell>
        </row>
        <row r="1944">
          <cell r="A1944" t="str">
            <v>PDA-120014</v>
          </cell>
          <cell r="BG1944" t="str">
            <v>Não Montado</v>
          </cell>
        </row>
        <row r="1945">
          <cell r="A1945" t="str">
            <v>PDA-120015</v>
          </cell>
          <cell r="BG1945" t="str">
            <v>Não Montado</v>
          </cell>
        </row>
        <row r="1946">
          <cell r="A1946" t="str">
            <v>PDA-120016</v>
          </cell>
          <cell r="BG1946" t="str">
            <v>Não Montado</v>
          </cell>
        </row>
        <row r="1947">
          <cell r="A1947" t="str">
            <v>PDA-120017</v>
          </cell>
          <cell r="BG1947" t="str">
            <v>Não Montado</v>
          </cell>
        </row>
        <row r="1948">
          <cell r="A1948" t="str">
            <v>PDA-120018</v>
          </cell>
          <cell r="BG1948" t="str">
            <v>Não Montado</v>
          </cell>
        </row>
        <row r="1949">
          <cell r="A1949" t="str">
            <v>PDA-120019</v>
          </cell>
          <cell r="BG1949" t="str">
            <v>Não Montado</v>
          </cell>
        </row>
        <row r="1950">
          <cell r="A1950" t="str">
            <v>PDI-120901</v>
          </cell>
          <cell r="BG1950" t="str">
            <v>Não Montado</v>
          </cell>
        </row>
        <row r="1951">
          <cell r="A1951" t="str">
            <v>PDI-121311</v>
          </cell>
          <cell r="BG1951" t="str">
            <v>Não Montado</v>
          </cell>
        </row>
        <row r="1952">
          <cell r="A1952" t="str">
            <v>PDI-121312</v>
          </cell>
          <cell r="BG1952" t="str">
            <v>Não Montado</v>
          </cell>
        </row>
        <row r="1953">
          <cell r="A1953" t="str">
            <v>PDI-121411</v>
          </cell>
          <cell r="BG1953" t="str">
            <v>Não Montado</v>
          </cell>
        </row>
        <row r="1954">
          <cell r="A1954" t="str">
            <v>PDI-121412</v>
          </cell>
          <cell r="BG1954" t="str">
            <v>Não Montado</v>
          </cell>
        </row>
        <row r="1955">
          <cell r="A1955" t="str">
            <v>PDIT-120001</v>
          </cell>
          <cell r="BG1955" t="str">
            <v>Montado</v>
          </cell>
        </row>
        <row r="1956">
          <cell r="A1956" t="str">
            <v>PDIT-120002</v>
          </cell>
          <cell r="BG1956" t="str">
            <v>Montado</v>
          </cell>
        </row>
        <row r="1957">
          <cell r="A1957" t="str">
            <v>PDIT-120003</v>
          </cell>
          <cell r="BG1957" t="str">
            <v>Montado</v>
          </cell>
        </row>
        <row r="1958">
          <cell r="A1958" t="str">
            <v>PDIT-120004</v>
          </cell>
          <cell r="BG1958" t="str">
            <v>Montado</v>
          </cell>
        </row>
        <row r="1959">
          <cell r="A1959" t="str">
            <v>PDIT-120005</v>
          </cell>
          <cell r="BG1959" t="str">
            <v>Montado</v>
          </cell>
        </row>
        <row r="1960">
          <cell r="A1960" t="str">
            <v>PDIT-120006</v>
          </cell>
          <cell r="BG1960" t="str">
            <v>Não Montado</v>
          </cell>
        </row>
        <row r="1961">
          <cell r="A1961" t="str">
            <v>PDIT-120007</v>
          </cell>
          <cell r="BG1961" t="str">
            <v>Montado</v>
          </cell>
        </row>
        <row r="1962">
          <cell r="A1962" t="str">
            <v>PDIT-120008</v>
          </cell>
          <cell r="BG1962" t="str">
            <v>Montado</v>
          </cell>
        </row>
        <row r="1963">
          <cell r="A1963" t="str">
            <v>PDIT-120009</v>
          </cell>
          <cell r="BG1963" t="str">
            <v>Montado</v>
          </cell>
        </row>
        <row r="1964">
          <cell r="A1964" t="str">
            <v>PDIT-120010</v>
          </cell>
          <cell r="BG1964" t="str">
            <v>Montado</v>
          </cell>
        </row>
        <row r="1965">
          <cell r="A1965" t="str">
            <v>PDIT-120011</v>
          </cell>
          <cell r="BG1965" t="str">
            <v>Montado</v>
          </cell>
        </row>
        <row r="1966">
          <cell r="A1966" t="str">
            <v>PDIT-120012</v>
          </cell>
          <cell r="BG1966" t="str">
            <v>Montado</v>
          </cell>
        </row>
        <row r="1967">
          <cell r="A1967" t="str">
            <v>PDIT-120013</v>
          </cell>
          <cell r="BG1967" t="str">
            <v>Não Montado</v>
          </cell>
        </row>
        <row r="1968">
          <cell r="A1968" t="str">
            <v>PDIT-120014</v>
          </cell>
          <cell r="BG1968" t="str">
            <v>Não Montado</v>
          </cell>
        </row>
        <row r="1969">
          <cell r="A1969" t="str">
            <v>PDIT-120015</v>
          </cell>
          <cell r="BG1969" t="str">
            <v>Não Montado</v>
          </cell>
        </row>
        <row r="1970">
          <cell r="A1970" t="str">
            <v>PDIT-120016</v>
          </cell>
          <cell r="BG1970" t="str">
            <v>Não Montado</v>
          </cell>
        </row>
        <row r="1971">
          <cell r="A1971" t="str">
            <v>PDIT-120017</v>
          </cell>
          <cell r="BG1971" t="str">
            <v>Montado</v>
          </cell>
        </row>
        <row r="1972">
          <cell r="A1972" t="str">
            <v>PDIT-120018</v>
          </cell>
          <cell r="BG1972" t="str">
            <v>Montado</v>
          </cell>
        </row>
        <row r="1973">
          <cell r="A1973" t="str">
            <v>PDIT-120019</v>
          </cell>
          <cell r="BG1973" t="str">
            <v>Montado</v>
          </cell>
        </row>
        <row r="1974">
          <cell r="A1974" t="str">
            <v>PDIT-120020</v>
          </cell>
          <cell r="BG1974" t="str">
            <v>Montado</v>
          </cell>
        </row>
        <row r="1975">
          <cell r="A1975" t="str">
            <v>PDIT-120021</v>
          </cell>
          <cell r="BG1975" t="str">
            <v>Não Montado</v>
          </cell>
        </row>
        <row r="1976">
          <cell r="A1976" t="str">
            <v>PDIT-120022</v>
          </cell>
          <cell r="BG1976" t="str">
            <v>Montado</v>
          </cell>
        </row>
        <row r="1977">
          <cell r="A1977" t="str">
            <v>PDIT-120023</v>
          </cell>
          <cell r="BG1977" t="str">
            <v>Montado</v>
          </cell>
        </row>
        <row r="1978">
          <cell r="A1978" t="str">
            <v>PDIT-120024</v>
          </cell>
          <cell r="BG1978" t="str">
            <v>Montado</v>
          </cell>
        </row>
        <row r="1979">
          <cell r="A1979" t="str">
            <v>PDIT-120025</v>
          </cell>
          <cell r="BG1979" t="str">
            <v>Montado</v>
          </cell>
        </row>
        <row r="1980">
          <cell r="A1980" t="str">
            <v>PDIT-120602</v>
          </cell>
          <cell r="BG1980" t="str">
            <v>Montado</v>
          </cell>
        </row>
        <row r="1981">
          <cell r="A1981" t="str">
            <v>PDIT-120605</v>
          </cell>
          <cell r="BG1981" t="str">
            <v>Montado</v>
          </cell>
        </row>
        <row r="1982">
          <cell r="A1982" t="str">
            <v>PDIT-120625</v>
          </cell>
          <cell r="BG1982" t="str">
            <v>Não Montado</v>
          </cell>
        </row>
        <row r="1983">
          <cell r="A1983" t="str">
            <v>PDIT-120627</v>
          </cell>
          <cell r="BG1983" t="str">
            <v>Montado</v>
          </cell>
        </row>
        <row r="1984">
          <cell r="A1984" t="str">
            <v>PDIT-120633</v>
          </cell>
          <cell r="BG1984" t="str">
            <v>Não Montado</v>
          </cell>
        </row>
        <row r="1985">
          <cell r="A1985" t="str">
            <v>PDIT-120637</v>
          </cell>
          <cell r="BG1985" t="str">
            <v>Não Montado</v>
          </cell>
        </row>
        <row r="1986">
          <cell r="A1986" t="str">
            <v>PDIT-120650</v>
          </cell>
          <cell r="BG1986" t="str">
            <v>Não Montado</v>
          </cell>
        </row>
        <row r="1987">
          <cell r="A1987" t="str">
            <v>PDIT-120651</v>
          </cell>
          <cell r="BG1987" t="str">
            <v>Não Montado</v>
          </cell>
        </row>
        <row r="1988">
          <cell r="A1988" t="str">
            <v>PDIT-120750</v>
          </cell>
          <cell r="BG1988" t="str">
            <v>Montado</v>
          </cell>
        </row>
        <row r="1989">
          <cell r="A1989" t="str">
            <v>PDIT-120751</v>
          </cell>
          <cell r="BG1989" t="str">
            <v>Não Montado</v>
          </cell>
        </row>
        <row r="1990">
          <cell r="A1990" t="str">
            <v>PDIT-120800</v>
          </cell>
          <cell r="BG1990" t="str">
            <v>Não Montado</v>
          </cell>
        </row>
        <row r="1991">
          <cell r="A1991" t="str">
            <v>PDIT-120801</v>
          </cell>
          <cell r="BG1991" t="str">
            <v>Montado</v>
          </cell>
        </row>
        <row r="1992">
          <cell r="A1992" t="str">
            <v>PDIT-120901</v>
          </cell>
          <cell r="BG1992" t="str">
            <v>Programar</v>
          </cell>
        </row>
        <row r="1993">
          <cell r="A1993" t="str">
            <v>PDIT-120902</v>
          </cell>
          <cell r="BG1993" t="str">
            <v>Programar</v>
          </cell>
        </row>
        <row r="1994">
          <cell r="A1994" t="str">
            <v>PDIT-121007</v>
          </cell>
          <cell r="BG1994" t="str">
            <v>Programar</v>
          </cell>
        </row>
        <row r="1995">
          <cell r="A1995" t="str">
            <v>PDIT-121008</v>
          </cell>
          <cell r="BG1995" t="str">
            <v>Não Montado</v>
          </cell>
        </row>
        <row r="1996">
          <cell r="A1996" t="str">
            <v>PDIT-121009</v>
          </cell>
          <cell r="BG1996" t="str">
            <v>Não Montado</v>
          </cell>
        </row>
        <row r="1997">
          <cell r="A1997" t="str">
            <v>PDIT-121010</v>
          </cell>
          <cell r="BG1997" t="str">
            <v>Programar</v>
          </cell>
        </row>
        <row r="1998">
          <cell r="A1998" t="str">
            <v>PDIT-121015</v>
          </cell>
          <cell r="BG1998" t="str">
            <v>Programar</v>
          </cell>
        </row>
        <row r="1999">
          <cell r="A1999" t="str">
            <v>PDIT-121016</v>
          </cell>
          <cell r="BG1999" t="str">
            <v>Programar</v>
          </cell>
        </row>
        <row r="2000">
          <cell r="A2000" t="str">
            <v>PDIT-121017</v>
          </cell>
          <cell r="BG2000" t="str">
            <v>Programar</v>
          </cell>
        </row>
        <row r="2001">
          <cell r="A2001" t="str">
            <v>PDIT-121018</v>
          </cell>
          <cell r="BG2001" t="str">
            <v>Programar</v>
          </cell>
        </row>
        <row r="2002">
          <cell r="A2002" t="str">
            <v>PDIT-121019</v>
          </cell>
          <cell r="BG2002" t="str">
            <v>Programar</v>
          </cell>
        </row>
        <row r="2003">
          <cell r="A2003" t="str">
            <v>PDIT-121024</v>
          </cell>
          <cell r="BG2003" t="str">
            <v>Programar</v>
          </cell>
        </row>
        <row r="2004">
          <cell r="A2004" t="str">
            <v>PDIT-121025</v>
          </cell>
          <cell r="BG2004" t="str">
            <v>Programar</v>
          </cell>
        </row>
        <row r="2005">
          <cell r="A2005" t="str">
            <v>PDIT-121026</v>
          </cell>
          <cell r="BG2005" t="str">
            <v>Programar</v>
          </cell>
        </row>
        <row r="2006">
          <cell r="A2006" t="str">
            <v>PDIT-121031</v>
          </cell>
          <cell r="BG2006" t="str">
            <v>Programar</v>
          </cell>
        </row>
        <row r="2007">
          <cell r="A2007" t="str">
            <v>PDIT-121032</v>
          </cell>
          <cell r="BG2007" t="str">
            <v>Programar</v>
          </cell>
        </row>
        <row r="2008">
          <cell r="A2008" t="str">
            <v>PDIT-121033</v>
          </cell>
          <cell r="BG2008" t="str">
            <v>Programar</v>
          </cell>
        </row>
        <row r="2009">
          <cell r="A2009" t="str">
            <v>PDIT-121038</v>
          </cell>
          <cell r="BG2009" t="str">
            <v>Programar</v>
          </cell>
        </row>
        <row r="2010">
          <cell r="A2010" t="str">
            <v>PDIT-121039</v>
          </cell>
          <cell r="BG2010" t="str">
            <v>Programar</v>
          </cell>
        </row>
        <row r="2011">
          <cell r="A2011" t="str">
            <v>PDIT-121052</v>
          </cell>
          <cell r="BG2011" t="str">
            <v>Programar</v>
          </cell>
        </row>
        <row r="2012">
          <cell r="A2012" t="str">
            <v>PDIT-121060</v>
          </cell>
          <cell r="BG2012" t="str">
            <v>Programar</v>
          </cell>
        </row>
        <row r="2013">
          <cell r="A2013" t="str">
            <v>PDIT-121061</v>
          </cell>
          <cell r="BG2013" t="str">
            <v>Programar</v>
          </cell>
        </row>
        <row r="2014">
          <cell r="A2014" t="str">
            <v>PDIT-121324</v>
          </cell>
          <cell r="BG2014" t="str">
            <v>Não Montado</v>
          </cell>
        </row>
        <row r="2015">
          <cell r="A2015" t="str">
            <v>PDIT-121424</v>
          </cell>
          <cell r="BG2015" t="str">
            <v>Não Montado</v>
          </cell>
        </row>
        <row r="2016">
          <cell r="A2016" t="str">
            <v>PDIT-121425</v>
          </cell>
          <cell r="BG2016" t="str">
            <v>Programar</v>
          </cell>
        </row>
        <row r="2017">
          <cell r="A2017" t="str">
            <v>PDIT-121426</v>
          </cell>
          <cell r="BG2017" t="str">
            <v>Não Montado</v>
          </cell>
        </row>
        <row r="2018">
          <cell r="A2018" t="str">
            <v>PDIT-122005</v>
          </cell>
          <cell r="BG2018" t="str">
            <v>Em programação</v>
          </cell>
        </row>
        <row r="2019">
          <cell r="A2019" t="str">
            <v>PDT-121051</v>
          </cell>
          <cell r="BG2019" t="str">
            <v>Não Montado</v>
          </cell>
        </row>
        <row r="2020">
          <cell r="A2020" t="str">
            <v>PDT-121053</v>
          </cell>
          <cell r="BG2020" t="str">
            <v>Não Montado</v>
          </cell>
        </row>
        <row r="2021">
          <cell r="A2021" t="str">
            <v>PDT-121058</v>
          </cell>
          <cell r="BG2021" t="str">
            <v>Não Montado</v>
          </cell>
        </row>
        <row r="2022">
          <cell r="A2022" t="str">
            <v>PDT-121059</v>
          </cell>
          <cell r="BG2022" t="str">
            <v>Não Montado</v>
          </cell>
        </row>
        <row r="2023">
          <cell r="A2023" t="str">
            <v>PDV-120003</v>
          </cell>
          <cell r="BG2023" t="str">
            <v>Não Montado</v>
          </cell>
        </row>
        <row r="2024">
          <cell r="A2024" t="str">
            <v>PDV-120004</v>
          </cell>
          <cell r="BG2024" t="str">
            <v>Não Montado</v>
          </cell>
        </row>
        <row r="2025">
          <cell r="A2025" t="str">
            <v>PDV-120005</v>
          </cell>
          <cell r="BG2025" t="str">
            <v>Não Montado</v>
          </cell>
        </row>
        <row r="2026">
          <cell r="A2026" t="str">
            <v>PDV-120006</v>
          </cell>
          <cell r="BG2026" t="str">
            <v>Não Montado</v>
          </cell>
        </row>
        <row r="2027">
          <cell r="A2027" t="str">
            <v>PDV-120650</v>
          </cell>
          <cell r="BG2027" t="str">
            <v>Não Montado</v>
          </cell>
        </row>
        <row r="2028">
          <cell r="A2028" t="str">
            <v>PDV-120750</v>
          </cell>
          <cell r="BG2028" t="str">
            <v>Não Montado</v>
          </cell>
        </row>
        <row r="2029">
          <cell r="A2029" t="str">
            <v>PDZ-120005</v>
          </cell>
          <cell r="BG2029" t="str">
            <v>Não Montado</v>
          </cell>
        </row>
        <row r="2030">
          <cell r="A2030" t="str">
            <v>PI-120002</v>
          </cell>
          <cell r="BG2030" t="str">
            <v>Não Montado</v>
          </cell>
        </row>
        <row r="2031">
          <cell r="A2031" t="str">
            <v>PI-120003</v>
          </cell>
          <cell r="BG2031" t="str">
            <v>Não Montado</v>
          </cell>
        </row>
        <row r="2032">
          <cell r="A2032" t="str">
            <v>PI-120038</v>
          </cell>
          <cell r="BG2032" t="str">
            <v>Não Montado</v>
          </cell>
        </row>
        <row r="2033">
          <cell r="A2033" t="str">
            <v>PI-120039</v>
          </cell>
          <cell r="BG2033" t="str">
            <v>Programar</v>
          </cell>
        </row>
        <row r="2034">
          <cell r="A2034" t="str">
            <v>PI-120062</v>
          </cell>
          <cell r="BG2034" t="str">
            <v>Programar</v>
          </cell>
        </row>
        <row r="2035">
          <cell r="A2035" t="str">
            <v>PI-120095</v>
          </cell>
          <cell r="BG2035" t="str">
            <v>Não Montado</v>
          </cell>
        </row>
        <row r="2036">
          <cell r="A2036" t="str">
            <v>PI-120096</v>
          </cell>
          <cell r="BG2036" t="str">
            <v>Não Montado</v>
          </cell>
        </row>
        <row r="2037">
          <cell r="A2037" t="str">
            <v>PI-120103</v>
          </cell>
          <cell r="BG2037" t="str">
            <v>Não Montado</v>
          </cell>
        </row>
        <row r="2038">
          <cell r="A2038" t="str">
            <v>PI-120104</v>
          </cell>
          <cell r="BG2038" t="str">
            <v>Não Montado</v>
          </cell>
        </row>
        <row r="2039">
          <cell r="A2039" t="str">
            <v>PI-120106</v>
          </cell>
          <cell r="BG2039" t="str">
            <v>Não Montado</v>
          </cell>
        </row>
        <row r="2040">
          <cell r="A2040" t="str">
            <v>PI-120107</v>
          </cell>
          <cell r="BG2040" t="str">
            <v>Não Montado</v>
          </cell>
        </row>
        <row r="2041">
          <cell r="A2041" t="str">
            <v>PI-120110</v>
          </cell>
          <cell r="BG2041" t="str">
            <v>Não Montado</v>
          </cell>
        </row>
        <row r="2042">
          <cell r="A2042" t="str">
            <v>PI-120111</v>
          </cell>
          <cell r="BG2042" t="str">
            <v>Não Montado</v>
          </cell>
        </row>
        <row r="2043">
          <cell r="A2043" t="str">
            <v>PI-120113</v>
          </cell>
          <cell r="BG2043" t="str">
            <v>Não Montado</v>
          </cell>
        </row>
        <row r="2044">
          <cell r="A2044" t="str">
            <v>PI-120114</v>
          </cell>
          <cell r="BG2044" t="str">
            <v>Não Montado</v>
          </cell>
        </row>
        <row r="2045">
          <cell r="A2045" t="str">
            <v>PI-120116</v>
          </cell>
          <cell r="BG2045" t="str">
            <v>Não Montado</v>
          </cell>
        </row>
        <row r="2046">
          <cell r="A2046" t="str">
            <v>PI-120117</v>
          </cell>
          <cell r="BG2046" t="str">
            <v>Não Montado</v>
          </cell>
        </row>
        <row r="2047">
          <cell r="A2047" t="str">
            <v>PI-120120</v>
          </cell>
          <cell r="BG2047" t="str">
            <v>Não Montado</v>
          </cell>
        </row>
        <row r="2048">
          <cell r="A2048" t="str">
            <v>PI-120121</v>
          </cell>
          <cell r="BG2048" t="str">
            <v>Não Montado</v>
          </cell>
        </row>
        <row r="2049">
          <cell r="A2049" t="str">
            <v>PI-120124</v>
          </cell>
          <cell r="BG2049" t="str">
            <v>Não Montado</v>
          </cell>
        </row>
        <row r="2050">
          <cell r="A2050" t="str">
            <v>PI-120125</v>
          </cell>
          <cell r="BG2050" t="str">
            <v>Não Montado</v>
          </cell>
        </row>
        <row r="2051">
          <cell r="A2051" t="str">
            <v>PI-120147</v>
          </cell>
          <cell r="BG2051" t="str">
            <v>Programar</v>
          </cell>
        </row>
        <row r="2052">
          <cell r="A2052" t="str">
            <v>PI-120148</v>
          </cell>
          <cell r="BG2052" t="str">
            <v>Programar</v>
          </cell>
        </row>
        <row r="2053">
          <cell r="A2053" t="str">
            <v>PI-120152</v>
          </cell>
          <cell r="BG2053" t="str">
            <v>Não Montado</v>
          </cell>
        </row>
        <row r="2054">
          <cell r="A2054" t="str">
            <v>PI-120153</v>
          </cell>
          <cell r="BG2054" t="str">
            <v>Não Montado</v>
          </cell>
        </row>
        <row r="2055">
          <cell r="A2055" t="str">
            <v>PI-120158</v>
          </cell>
          <cell r="BG2055" t="str">
            <v>Não Montado</v>
          </cell>
        </row>
        <row r="2056">
          <cell r="A2056" t="str">
            <v>PI-120159</v>
          </cell>
          <cell r="BG2056" t="str">
            <v>Não Montado</v>
          </cell>
        </row>
        <row r="2057">
          <cell r="A2057" t="str">
            <v>PI-120161</v>
          </cell>
          <cell r="BG2057" t="str">
            <v>Não Montado</v>
          </cell>
        </row>
        <row r="2058">
          <cell r="A2058" t="str">
            <v>PI-120162</v>
          </cell>
          <cell r="BG2058" t="str">
            <v>Não Montado</v>
          </cell>
        </row>
        <row r="2059">
          <cell r="A2059" t="str">
            <v>PI-120170</v>
          </cell>
          <cell r="BG2059" t="str">
            <v>Não Montado</v>
          </cell>
        </row>
        <row r="2060">
          <cell r="A2060" t="str">
            <v>PI-120171</v>
          </cell>
          <cell r="BG2060" t="str">
            <v>Não Montado</v>
          </cell>
        </row>
        <row r="2061">
          <cell r="A2061" t="str">
            <v>PI-120173</v>
          </cell>
          <cell r="BG2061" t="str">
            <v>Programar</v>
          </cell>
        </row>
        <row r="2062">
          <cell r="A2062" t="str">
            <v>PI-120175</v>
          </cell>
          <cell r="BG2062" t="str">
            <v>Não Montado</v>
          </cell>
        </row>
        <row r="2063">
          <cell r="A2063" t="str">
            <v>PI-120176</v>
          </cell>
          <cell r="BG2063" t="str">
            <v>Não Montado</v>
          </cell>
        </row>
        <row r="2064">
          <cell r="A2064" t="str">
            <v>PI-120177</v>
          </cell>
          <cell r="BG2064" t="str">
            <v>Não Montado</v>
          </cell>
        </row>
        <row r="2065">
          <cell r="A2065" t="str">
            <v>PI-120179</v>
          </cell>
          <cell r="BG2065" t="str">
            <v>Não Montado</v>
          </cell>
        </row>
        <row r="2066">
          <cell r="A2066" t="str">
            <v>PI-120180</v>
          </cell>
          <cell r="BG2066" t="str">
            <v>Não Montado</v>
          </cell>
        </row>
        <row r="2067">
          <cell r="A2067" t="str">
            <v>PI-120181</v>
          </cell>
          <cell r="BG2067" t="str">
            <v>Não Montado</v>
          </cell>
        </row>
        <row r="2068">
          <cell r="A2068" t="str">
            <v>PI-120182</v>
          </cell>
          <cell r="BG2068" t="str">
            <v>Não Montado</v>
          </cell>
        </row>
        <row r="2069">
          <cell r="A2069" t="str">
            <v>PI-120183</v>
          </cell>
          <cell r="BG2069" t="str">
            <v>Não Montado</v>
          </cell>
        </row>
        <row r="2070">
          <cell r="A2070" t="str">
            <v>PI-120184</v>
          </cell>
          <cell r="BG2070" t="str">
            <v>Não Montado</v>
          </cell>
        </row>
        <row r="2071">
          <cell r="A2071" t="str">
            <v>PI-120185</v>
          </cell>
          <cell r="BG2071" t="str">
            <v>Não Montado</v>
          </cell>
        </row>
        <row r="2072">
          <cell r="A2072" t="str">
            <v>PI-120186</v>
          </cell>
          <cell r="BG2072" t="str">
            <v>Não Montado</v>
          </cell>
        </row>
        <row r="2073">
          <cell r="A2073" t="str">
            <v>PI-120187</v>
          </cell>
          <cell r="BG2073" t="str">
            <v>Não Montado</v>
          </cell>
        </row>
        <row r="2074">
          <cell r="A2074" t="str">
            <v>PI-120188</v>
          </cell>
          <cell r="BG2074" t="str">
            <v>Não Montado</v>
          </cell>
        </row>
        <row r="2075">
          <cell r="A2075" t="str">
            <v>PI-120190</v>
          </cell>
          <cell r="BG2075" t="str">
            <v>Não Montado</v>
          </cell>
        </row>
        <row r="2076">
          <cell r="A2076" t="str">
            <v>PI-120191</v>
          </cell>
          <cell r="BG2076" t="str">
            <v>Não Montado</v>
          </cell>
        </row>
        <row r="2077">
          <cell r="A2077" t="str">
            <v>PI-120203</v>
          </cell>
          <cell r="BG2077" t="str">
            <v>Não Montado</v>
          </cell>
        </row>
        <row r="2078">
          <cell r="A2078" t="str">
            <v>PI-120204</v>
          </cell>
          <cell r="BG2078" t="str">
            <v>Não Montado</v>
          </cell>
        </row>
        <row r="2079">
          <cell r="A2079" t="str">
            <v>PI-120216</v>
          </cell>
          <cell r="BG2079" t="str">
            <v>Não Montado</v>
          </cell>
        </row>
        <row r="2080">
          <cell r="A2080" t="str">
            <v>PI-120251</v>
          </cell>
          <cell r="BG2080" t="str">
            <v>Não Montado</v>
          </cell>
        </row>
        <row r="2081">
          <cell r="A2081" t="str">
            <v>PI-120252</v>
          </cell>
          <cell r="BG2081" t="str">
            <v>Não Montado</v>
          </cell>
        </row>
        <row r="2082">
          <cell r="A2082" t="str">
            <v>PI-120253</v>
          </cell>
          <cell r="BG2082" t="str">
            <v>Não Montado</v>
          </cell>
        </row>
        <row r="2083">
          <cell r="A2083" t="str">
            <v>PI-120302</v>
          </cell>
          <cell r="BG2083" t="str">
            <v>Não Montado</v>
          </cell>
        </row>
        <row r="2084">
          <cell r="A2084" t="str">
            <v>PI-120303</v>
          </cell>
          <cell r="BG2084" t="str">
            <v>Não Montado</v>
          </cell>
        </row>
        <row r="2085">
          <cell r="A2085" t="str">
            <v>PI-120402</v>
          </cell>
          <cell r="BG2085" t="str">
            <v>Não Montado</v>
          </cell>
        </row>
        <row r="2086">
          <cell r="A2086" t="str">
            <v>PI-120434</v>
          </cell>
          <cell r="BG2086" t="str">
            <v>Não Montado</v>
          </cell>
        </row>
        <row r="2087">
          <cell r="A2087" t="str">
            <v>PI-120439</v>
          </cell>
          <cell r="BG2087" t="str">
            <v>Não Montado</v>
          </cell>
        </row>
        <row r="2088">
          <cell r="A2088" t="str">
            <v>PI-120441</v>
          </cell>
          <cell r="BG2088" t="str">
            <v>Não Montado</v>
          </cell>
        </row>
        <row r="2089">
          <cell r="A2089" t="str">
            <v>PI-120442</v>
          </cell>
          <cell r="BG2089" t="str">
            <v>Não Montado</v>
          </cell>
        </row>
        <row r="2090">
          <cell r="A2090" t="str">
            <v>PI-120448</v>
          </cell>
          <cell r="BG2090" t="str">
            <v>Não Montado</v>
          </cell>
        </row>
        <row r="2091">
          <cell r="A2091" t="str">
            <v>PI-120449</v>
          </cell>
          <cell r="BG2091" t="str">
            <v>Não Montado</v>
          </cell>
        </row>
        <row r="2092">
          <cell r="A2092" t="str">
            <v>PI-120450</v>
          </cell>
          <cell r="BG2092" t="str">
            <v>Não Montado</v>
          </cell>
        </row>
        <row r="2093">
          <cell r="A2093" t="str">
            <v>PI-120451</v>
          </cell>
          <cell r="BG2093" t="str">
            <v>Não Montado</v>
          </cell>
        </row>
        <row r="2094">
          <cell r="A2094" t="str">
            <v>PI-120452</v>
          </cell>
          <cell r="BG2094" t="str">
            <v>Não Montado</v>
          </cell>
        </row>
        <row r="2095">
          <cell r="A2095" t="str">
            <v>PI-120453</v>
          </cell>
          <cell r="BG2095" t="str">
            <v>Não Montado</v>
          </cell>
        </row>
        <row r="2096">
          <cell r="A2096" t="str">
            <v>PI-120454</v>
          </cell>
          <cell r="BG2096" t="str">
            <v>Programar</v>
          </cell>
        </row>
        <row r="2097">
          <cell r="A2097" t="str">
            <v>PI-120455</v>
          </cell>
          <cell r="BG2097" t="str">
            <v>Não Montado</v>
          </cell>
        </row>
        <row r="2098">
          <cell r="A2098" t="str">
            <v>PI-120481</v>
          </cell>
          <cell r="BG2098" t="str">
            <v>Não Montado</v>
          </cell>
        </row>
        <row r="2099">
          <cell r="A2099" t="str">
            <v>PI-120482</v>
          </cell>
          <cell r="BG2099" t="str">
            <v>Não Montado</v>
          </cell>
        </row>
        <row r="2100">
          <cell r="A2100" t="str">
            <v>PI-120483</v>
          </cell>
          <cell r="BG2100" t="str">
            <v>Não Montado</v>
          </cell>
        </row>
        <row r="2101">
          <cell r="A2101" t="str">
            <v>PI-120484</v>
          </cell>
          <cell r="BG2101" t="str">
            <v>Não Montado</v>
          </cell>
        </row>
        <row r="2102">
          <cell r="A2102" t="str">
            <v>PI-120485</v>
          </cell>
          <cell r="BG2102" t="str">
            <v>Não Montado</v>
          </cell>
        </row>
        <row r="2103">
          <cell r="A2103" t="str">
            <v>PI-120486</v>
          </cell>
          <cell r="BG2103" t="str">
            <v>Programar</v>
          </cell>
        </row>
        <row r="2104">
          <cell r="A2104" t="str">
            <v>PI-120487</v>
          </cell>
          <cell r="BG2104" t="str">
            <v>Não Montado</v>
          </cell>
        </row>
        <row r="2105">
          <cell r="A2105" t="str">
            <v>PI-120488</v>
          </cell>
          <cell r="BG2105" t="str">
            <v>Não Montado</v>
          </cell>
        </row>
        <row r="2106">
          <cell r="A2106" t="str">
            <v>PI-120489</v>
          </cell>
          <cell r="BG2106" t="str">
            <v>Não Montado</v>
          </cell>
        </row>
        <row r="2107">
          <cell r="A2107" t="str">
            <v>PI-120490</v>
          </cell>
          <cell r="BG2107" t="str">
            <v>Não Montado</v>
          </cell>
        </row>
        <row r="2108">
          <cell r="A2108" t="str">
            <v>PI-120491</v>
          </cell>
          <cell r="BG2108" t="str">
            <v>Programar</v>
          </cell>
        </row>
        <row r="2109">
          <cell r="A2109" t="str">
            <v>PI-120494</v>
          </cell>
          <cell r="BG2109" t="str">
            <v>Não Montado</v>
          </cell>
        </row>
        <row r="2110">
          <cell r="A2110" t="str">
            <v>PI-120495</v>
          </cell>
          <cell r="BG2110" t="str">
            <v>Não Montado</v>
          </cell>
        </row>
        <row r="2111">
          <cell r="A2111" t="str">
            <v>PI-120496</v>
          </cell>
          <cell r="BG2111" t="str">
            <v>Programar</v>
          </cell>
        </row>
        <row r="2112">
          <cell r="A2112" t="str">
            <v>PI-120497</v>
          </cell>
          <cell r="BG2112" t="str">
            <v>Programar</v>
          </cell>
        </row>
        <row r="2113">
          <cell r="A2113" t="str">
            <v>PI-120505</v>
          </cell>
          <cell r="BG2113" t="str">
            <v>Não Montado</v>
          </cell>
        </row>
        <row r="2114">
          <cell r="A2114" t="str">
            <v>PI-120506</v>
          </cell>
          <cell r="BG2114" t="str">
            <v>Não Montado</v>
          </cell>
        </row>
        <row r="2115">
          <cell r="A2115" t="str">
            <v>PI-120507</v>
          </cell>
          <cell r="BG2115" t="str">
            <v>Não Montado</v>
          </cell>
        </row>
        <row r="2116">
          <cell r="A2116" t="str">
            <v>PI-120508</v>
          </cell>
          <cell r="BG2116" t="str">
            <v>Não Montado</v>
          </cell>
        </row>
        <row r="2117">
          <cell r="A2117" t="str">
            <v>PI-120509</v>
          </cell>
          <cell r="BG2117" t="str">
            <v>Não Montado</v>
          </cell>
        </row>
        <row r="2118">
          <cell r="A2118" t="str">
            <v>PI-120510</v>
          </cell>
          <cell r="BG2118" t="str">
            <v>Não Montado</v>
          </cell>
        </row>
        <row r="2119">
          <cell r="A2119" t="str">
            <v>PI-120511</v>
          </cell>
          <cell r="BG2119" t="str">
            <v>Não Montado</v>
          </cell>
        </row>
        <row r="2120">
          <cell r="A2120" t="str">
            <v>PI-120512</v>
          </cell>
          <cell r="BG2120" t="str">
            <v>Não Montado</v>
          </cell>
        </row>
        <row r="2121">
          <cell r="A2121" t="str">
            <v>PI-120513</v>
          </cell>
          <cell r="BG2121" t="str">
            <v>Não Montado</v>
          </cell>
        </row>
        <row r="2122">
          <cell r="A2122" t="str">
            <v>PI-120514</v>
          </cell>
          <cell r="BG2122" t="str">
            <v>Não Montado</v>
          </cell>
        </row>
        <row r="2123">
          <cell r="A2123" t="str">
            <v>PI-120600</v>
          </cell>
          <cell r="BG2123" t="str">
            <v>Não Montado</v>
          </cell>
        </row>
        <row r="2124">
          <cell r="A2124" t="str">
            <v>PI-120603</v>
          </cell>
          <cell r="BG2124" t="str">
            <v>Não Montado</v>
          </cell>
        </row>
        <row r="2125">
          <cell r="A2125" t="str">
            <v>PI-120604</v>
          </cell>
          <cell r="BG2125" t="str">
            <v>Não Montado</v>
          </cell>
        </row>
        <row r="2126">
          <cell r="A2126" t="str">
            <v>PI-120608</v>
          </cell>
          <cell r="BG2126" t="str">
            <v>Não Montado</v>
          </cell>
        </row>
        <row r="2127">
          <cell r="A2127" t="str">
            <v>PI-120609</v>
          </cell>
          <cell r="BG2127" t="str">
            <v>Não Montado</v>
          </cell>
        </row>
        <row r="2128">
          <cell r="A2128" t="str">
            <v>PI-120610</v>
          </cell>
          <cell r="BG2128" t="str">
            <v>Não Montado</v>
          </cell>
        </row>
        <row r="2129">
          <cell r="A2129" t="str">
            <v>PI-120611</v>
          </cell>
          <cell r="BG2129" t="str">
            <v>Não Montado</v>
          </cell>
        </row>
        <row r="2130">
          <cell r="A2130" t="str">
            <v>PI-120612</v>
          </cell>
          <cell r="BG2130" t="str">
            <v>Não Montado</v>
          </cell>
        </row>
        <row r="2131">
          <cell r="A2131" t="str">
            <v>PI-120613</v>
          </cell>
          <cell r="BG2131" t="str">
            <v>Não Montado</v>
          </cell>
        </row>
        <row r="2132">
          <cell r="A2132" t="str">
            <v>PI-120614</v>
          </cell>
          <cell r="BG2132" t="str">
            <v>Não Montado</v>
          </cell>
        </row>
        <row r="2133">
          <cell r="A2133" t="str">
            <v>PI-120622</v>
          </cell>
          <cell r="BG2133" t="str">
            <v>Não Montado</v>
          </cell>
        </row>
        <row r="2134">
          <cell r="A2134" t="str">
            <v>PI-120624</v>
          </cell>
          <cell r="BG2134" t="str">
            <v>Não Montado</v>
          </cell>
        </row>
        <row r="2135">
          <cell r="A2135" t="str">
            <v>PI-120634</v>
          </cell>
          <cell r="BG2135" t="str">
            <v>Não Montado</v>
          </cell>
        </row>
        <row r="2136">
          <cell r="A2136" t="str">
            <v>PI-120635</v>
          </cell>
          <cell r="BG2136" t="str">
            <v>Não Montado</v>
          </cell>
        </row>
        <row r="2137">
          <cell r="A2137" t="str">
            <v>PI-120636</v>
          </cell>
          <cell r="BG2137" t="str">
            <v>Não Montado</v>
          </cell>
        </row>
        <row r="2138">
          <cell r="A2138" t="str">
            <v>PI-120639</v>
          </cell>
          <cell r="BG2138" t="str">
            <v>Não Montado</v>
          </cell>
        </row>
        <row r="2139">
          <cell r="A2139" t="str">
            <v>PI-120643</v>
          </cell>
          <cell r="BG2139" t="str">
            <v>Não Montado</v>
          </cell>
        </row>
        <row r="2140">
          <cell r="A2140" t="str">
            <v>PI-120652</v>
          </cell>
          <cell r="BG2140" t="str">
            <v>Não Montado</v>
          </cell>
        </row>
        <row r="2141">
          <cell r="A2141" t="str">
            <v>PI-120653</v>
          </cell>
          <cell r="BG2141" t="str">
            <v>Não Montado</v>
          </cell>
        </row>
        <row r="2142">
          <cell r="A2142" t="str">
            <v>PI-120654</v>
          </cell>
          <cell r="BG2142" t="str">
            <v>Não Montado</v>
          </cell>
        </row>
        <row r="2143">
          <cell r="A2143" t="str">
            <v>PI-120661</v>
          </cell>
          <cell r="BG2143" t="str">
            <v>Não Montado</v>
          </cell>
        </row>
        <row r="2144">
          <cell r="A2144" t="str">
            <v>PI-120662</v>
          </cell>
          <cell r="BG2144" t="str">
            <v>Não Montado</v>
          </cell>
        </row>
        <row r="2145">
          <cell r="A2145" t="str">
            <v>PI-120708</v>
          </cell>
          <cell r="BG2145" t="str">
            <v>Não Montado</v>
          </cell>
        </row>
        <row r="2146">
          <cell r="A2146" t="str">
            <v>PI-120709</v>
          </cell>
          <cell r="BG2146" t="str">
            <v>Não Montado</v>
          </cell>
        </row>
        <row r="2147">
          <cell r="A2147" t="str">
            <v>PI-120710</v>
          </cell>
          <cell r="BG2147" t="str">
            <v>Não Montado</v>
          </cell>
        </row>
        <row r="2148">
          <cell r="A2148" t="str">
            <v>PI-120711</v>
          </cell>
          <cell r="BG2148" t="str">
            <v>Não Montado</v>
          </cell>
        </row>
        <row r="2149">
          <cell r="A2149" t="str">
            <v>PI-120712</v>
          </cell>
          <cell r="BG2149" t="str">
            <v>Não Montado</v>
          </cell>
        </row>
        <row r="2150">
          <cell r="A2150" t="str">
            <v>PI-120713</v>
          </cell>
          <cell r="BG2150" t="str">
            <v>Não Montado</v>
          </cell>
        </row>
        <row r="2151">
          <cell r="A2151" t="str">
            <v>PI-120714</v>
          </cell>
          <cell r="BG2151" t="str">
            <v>Não Montado</v>
          </cell>
        </row>
        <row r="2152">
          <cell r="A2152" t="str">
            <v>PI-120722</v>
          </cell>
          <cell r="BG2152" t="str">
            <v>Não Montado</v>
          </cell>
        </row>
        <row r="2153">
          <cell r="A2153" t="str">
            <v>PI-120724</v>
          </cell>
          <cell r="BG2153" t="str">
            <v>Não Montado</v>
          </cell>
        </row>
        <row r="2154">
          <cell r="A2154" t="str">
            <v>PI-120739</v>
          </cell>
          <cell r="BG2154" t="str">
            <v>Não Montado</v>
          </cell>
        </row>
        <row r="2155">
          <cell r="A2155" t="str">
            <v>PI-120743</v>
          </cell>
          <cell r="BG2155" t="str">
            <v>Não Montado</v>
          </cell>
        </row>
        <row r="2156">
          <cell r="A2156" t="str">
            <v>PI-120752</v>
          </cell>
          <cell r="BG2156" t="str">
            <v>Não Montado</v>
          </cell>
        </row>
        <row r="2157">
          <cell r="A2157" t="str">
            <v>PI-120753</v>
          </cell>
          <cell r="BG2157" t="str">
            <v>Não Montado</v>
          </cell>
        </row>
        <row r="2158">
          <cell r="A2158" t="str">
            <v>PI-120754</v>
          </cell>
          <cell r="BG2158" t="str">
            <v>Não Montado</v>
          </cell>
        </row>
        <row r="2159">
          <cell r="A2159" t="str">
            <v>PI-120783</v>
          </cell>
          <cell r="BG2159" t="str">
            <v>Não Montado</v>
          </cell>
        </row>
        <row r="2160">
          <cell r="A2160" t="str">
            <v>PI-120836</v>
          </cell>
          <cell r="BG2160" t="str">
            <v>Não Montado</v>
          </cell>
        </row>
        <row r="2161">
          <cell r="A2161" t="str">
            <v>PI-120901</v>
          </cell>
          <cell r="BG2161" t="str">
            <v>Não Montado</v>
          </cell>
        </row>
        <row r="2162">
          <cell r="A2162" t="str">
            <v>PI-120902</v>
          </cell>
          <cell r="BG2162" t="str">
            <v>Não Montado</v>
          </cell>
        </row>
        <row r="2163">
          <cell r="A2163" t="str">
            <v>PI-120903</v>
          </cell>
          <cell r="BG2163" t="str">
            <v>Programar</v>
          </cell>
        </row>
        <row r="2164">
          <cell r="A2164" t="str">
            <v>PI-120904</v>
          </cell>
          <cell r="BG2164" t="str">
            <v>Não Montado</v>
          </cell>
        </row>
        <row r="2165">
          <cell r="A2165" t="str">
            <v>PI-120905</v>
          </cell>
          <cell r="BG2165" t="str">
            <v>Programar</v>
          </cell>
        </row>
        <row r="2166">
          <cell r="A2166" t="str">
            <v>PI-120906</v>
          </cell>
          <cell r="BG2166" t="str">
            <v>Programar</v>
          </cell>
        </row>
        <row r="2167">
          <cell r="A2167" t="str">
            <v>PI-120907</v>
          </cell>
          <cell r="BG2167" t="str">
            <v>Não Montado</v>
          </cell>
        </row>
        <row r="2168">
          <cell r="A2168" t="str">
            <v>PI-120908</v>
          </cell>
          <cell r="BG2168" t="str">
            <v>Não Montado</v>
          </cell>
        </row>
        <row r="2169">
          <cell r="A2169" t="str">
            <v>PI-120909</v>
          </cell>
          <cell r="BG2169" t="str">
            <v>Programar</v>
          </cell>
        </row>
        <row r="2170">
          <cell r="A2170" t="str">
            <v>PI-120910</v>
          </cell>
          <cell r="BG2170" t="str">
            <v>Programar</v>
          </cell>
        </row>
        <row r="2171">
          <cell r="A2171" t="str">
            <v>PI-120911</v>
          </cell>
          <cell r="BG2171" t="str">
            <v>Programar</v>
          </cell>
        </row>
        <row r="2172">
          <cell r="A2172" t="str">
            <v>PI-120912</v>
          </cell>
          <cell r="BG2172" t="str">
            <v>Não Montado</v>
          </cell>
        </row>
        <row r="2173">
          <cell r="A2173" t="str">
            <v>PI-120913</v>
          </cell>
          <cell r="BG2173" t="str">
            <v>Não Montado</v>
          </cell>
        </row>
        <row r="2174">
          <cell r="A2174" t="str">
            <v>PI-120914</v>
          </cell>
          <cell r="BG2174" t="str">
            <v>Programar</v>
          </cell>
        </row>
        <row r="2175">
          <cell r="A2175" t="str">
            <v>PI-120915</v>
          </cell>
          <cell r="BG2175" t="str">
            <v>Programar</v>
          </cell>
        </row>
        <row r="2176">
          <cell r="A2176" t="str">
            <v>PI-120916</v>
          </cell>
          <cell r="BG2176" t="str">
            <v>Não Montado</v>
          </cell>
        </row>
        <row r="2177">
          <cell r="A2177" t="str">
            <v>PI-120917</v>
          </cell>
          <cell r="BG2177" t="str">
            <v>Não Montado</v>
          </cell>
        </row>
        <row r="2178">
          <cell r="A2178" t="str">
            <v>PI-120918</v>
          </cell>
          <cell r="BG2178" t="str">
            <v>Não Montado</v>
          </cell>
        </row>
        <row r="2179">
          <cell r="A2179" t="str">
            <v>PI-120919</v>
          </cell>
          <cell r="BG2179" t="str">
            <v>Programar</v>
          </cell>
        </row>
        <row r="2180">
          <cell r="A2180" t="str">
            <v>PI-120920</v>
          </cell>
          <cell r="BG2180" t="str">
            <v>Não Montado</v>
          </cell>
        </row>
        <row r="2181">
          <cell r="A2181" t="str">
            <v>PI-120921</v>
          </cell>
          <cell r="BG2181" t="str">
            <v>Não Montado</v>
          </cell>
        </row>
        <row r="2182">
          <cell r="A2182" t="str">
            <v>PI-120922</v>
          </cell>
          <cell r="BG2182" t="str">
            <v>Não Montado</v>
          </cell>
        </row>
        <row r="2183">
          <cell r="A2183" t="str">
            <v>PI-120923</v>
          </cell>
          <cell r="BG2183" t="str">
            <v>Programar</v>
          </cell>
        </row>
        <row r="2184">
          <cell r="A2184" t="str">
            <v>PI-120924</v>
          </cell>
          <cell r="BG2184" t="str">
            <v>Não Montado</v>
          </cell>
        </row>
        <row r="2185">
          <cell r="A2185" t="str">
            <v>PI-120925</v>
          </cell>
          <cell r="BG2185" t="str">
            <v>Programar</v>
          </cell>
        </row>
        <row r="2186">
          <cell r="A2186" t="str">
            <v>PI-120926</v>
          </cell>
          <cell r="BG2186" t="str">
            <v>Não Montado</v>
          </cell>
        </row>
        <row r="2187">
          <cell r="A2187" t="str">
            <v>PI-120927</v>
          </cell>
          <cell r="BG2187" t="str">
            <v>Programar</v>
          </cell>
        </row>
        <row r="2188">
          <cell r="A2188" t="str">
            <v>PI-120928</v>
          </cell>
          <cell r="BG2188" t="str">
            <v>Não Montado</v>
          </cell>
        </row>
        <row r="2189">
          <cell r="A2189" t="str">
            <v>PI-120929</v>
          </cell>
          <cell r="BG2189" t="str">
            <v>Não Montado</v>
          </cell>
        </row>
        <row r="2190">
          <cell r="A2190" t="str">
            <v>PI-120930</v>
          </cell>
          <cell r="BG2190" t="str">
            <v>Programar</v>
          </cell>
        </row>
        <row r="2191">
          <cell r="A2191" t="str">
            <v>PI-120931</v>
          </cell>
          <cell r="BG2191" t="str">
            <v>Programar</v>
          </cell>
        </row>
        <row r="2192">
          <cell r="A2192" t="str">
            <v>PI-120932</v>
          </cell>
          <cell r="BG2192" t="str">
            <v>Programar</v>
          </cell>
        </row>
        <row r="2193">
          <cell r="A2193" t="str">
            <v>PI-120933</v>
          </cell>
          <cell r="BG2193" t="str">
            <v>Não Montado</v>
          </cell>
        </row>
        <row r="2194">
          <cell r="A2194" t="str">
            <v>PI-120934</v>
          </cell>
          <cell r="BG2194" t="str">
            <v>Programar</v>
          </cell>
        </row>
        <row r="2195">
          <cell r="A2195" t="str">
            <v>PI-120935</v>
          </cell>
          <cell r="BG2195" t="str">
            <v>Não Montado</v>
          </cell>
        </row>
        <row r="2196">
          <cell r="A2196" t="str">
            <v>PI-120936</v>
          </cell>
          <cell r="BG2196" t="str">
            <v>Programar</v>
          </cell>
        </row>
        <row r="2197">
          <cell r="A2197" t="str">
            <v>PI-120937</v>
          </cell>
          <cell r="BG2197" t="str">
            <v>Não Montado</v>
          </cell>
        </row>
        <row r="2198">
          <cell r="A2198" t="str">
            <v>PI-120938</v>
          </cell>
          <cell r="BG2198" t="str">
            <v>Programar</v>
          </cell>
        </row>
        <row r="2199">
          <cell r="A2199" t="str">
            <v>PI-120939</v>
          </cell>
          <cell r="BG2199" t="str">
            <v>Não Montado</v>
          </cell>
        </row>
        <row r="2200">
          <cell r="A2200" t="str">
            <v>PI-120940</v>
          </cell>
          <cell r="BG2200" t="str">
            <v>Programar</v>
          </cell>
        </row>
        <row r="2201">
          <cell r="A2201" t="str">
            <v>PI-120941</v>
          </cell>
          <cell r="BG2201" t="str">
            <v>Programar</v>
          </cell>
        </row>
        <row r="2202">
          <cell r="A2202" t="str">
            <v>PI-120942</v>
          </cell>
          <cell r="BG2202" t="str">
            <v>Não Montado</v>
          </cell>
        </row>
        <row r="2203">
          <cell r="A2203" t="str">
            <v>PI-120943</v>
          </cell>
          <cell r="BG2203" t="str">
            <v>Não Montado</v>
          </cell>
        </row>
        <row r="2204">
          <cell r="A2204" t="str">
            <v>PI-120951</v>
          </cell>
          <cell r="BG2204" t="str">
            <v>Não Montado</v>
          </cell>
        </row>
        <row r="2205">
          <cell r="A2205" t="str">
            <v>PI-120952</v>
          </cell>
          <cell r="BG2205" t="str">
            <v>Não Montado</v>
          </cell>
        </row>
        <row r="2206">
          <cell r="A2206" t="str">
            <v>PI-120953</v>
          </cell>
          <cell r="BG2206" t="str">
            <v>Não Montado</v>
          </cell>
        </row>
        <row r="2207">
          <cell r="A2207" t="str">
            <v>PI-120954</v>
          </cell>
          <cell r="BG2207" t="str">
            <v>Não Montado</v>
          </cell>
        </row>
        <row r="2208">
          <cell r="A2208" t="str">
            <v>PI-120956</v>
          </cell>
          <cell r="BG2208" t="str">
            <v>Não Montado</v>
          </cell>
        </row>
        <row r="2209">
          <cell r="A2209" t="str">
            <v>PI-120958</v>
          </cell>
          <cell r="BG2209" t="str">
            <v>Não Montado</v>
          </cell>
        </row>
        <row r="2210">
          <cell r="A2210" t="str">
            <v>PI-120959</v>
          </cell>
          <cell r="BG2210" t="str">
            <v>Não Montado</v>
          </cell>
        </row>
        <row r="2211">
          <cell r="A2211" t="str">
            <v>PI-120962</v>
          </cell>
          <cell r="BG2211" t="str">
            <v>Não Montado</v>
          </cell>
        </row>
        <row r="2212">
          <cell r="A2212" t="str">
            <v>PI-120963</v>
          </cell>
          <cell r="BG2212" t="str">
            <v>Não Montado</v>
          </cell>
        </row>
        <row r="2213">
          <cell r="A2213" t="str">
            <v>PI-120966</v>
          </cell>
          <cell r="BG2213" t="str">
            <v>Não Montado</v>
          </cell>
        </row>
        <row r="2214">
          <cell r="A2214" t="str">
            <v>PI-120969</v>
          </cell>
          <cell r="BG2214" t="str">
            <v>Não Montado</v>
          </cell>
        </row>
        <row r="2215">
          <cell r="A2215" t="str">
            <v>PI-120978</v>
          </cell>
          <cell r="BG2215" t="str">
            <v>Não Montado</v>
          </cell>
        </row>
        <row r="2216">
          <cell r="A2216" t="str">
            <v>PI-120980</v>
          </cell>
          <cell r="BG2216" t="str">
            <v>Não Montado</v>
          </cell>
        </row>
        <row r="2217">
          <cell r="A2217" t="str">
            <v>PI-120982</v>
          </cell>
          <cell r="BG2217" t="str">
            <v>Não Montado</v>
          </cell>
        </row>
        <row r="2218">
          <cell r="A2218" t="str">
            <v>PI-120984</v>
          </cell>
          <cell r="BG2218" t="str">
            <v>Programar</v>
          </cell>
        </row>
        <row r="2219">
          <cell r="A2219" t="str">
            <v>PI-120985</v>
          </cell>
          <cell r="BG2219" t="str">
            <v>Não Montado</v>
          </cell>
        </row>
        <row r="2220">
          <cell r="A2220" t="str">
            <v>PI-120986</v>
          </cell>
          <cell r="BG2220" t="str">
            <v>Não Montado</v>
          </cell>
        </row>
        <row r="2221">
          <cell r="A2221" t="str">
            <v>PI-120989</v>
          </cell>
          <cell r="BG2221" t="str">
            <v>Não Montado</v>
          </cell>
        </row>
        <row r="2222">
          <cell r="A2222" t="str">
            <v>PI-120990</v>
          </cell>
          <cell r="BG2222" t="str">
            <v>Não Montado</v>
          </cell>
        </row>
        <row r="2223">
          <cell r="A2223" t="str">
            <v>PI-120991</v>
          </cell>
          <cell r="BG2223" t="str">
            <v>Não Montado</v>
          </cell>
        </row>
        <row r="2224">
          <cell r="A2224" t="str">
            <v>PI-120992</v>
          </cell>
          <cell r="BG2224" t="str">
            <v>Não Montado</v>
          </cell>
        </row>
        <row r="2225">
          <cell r="A2225" t="str">
            <v>PI-120993</v>
          </cell>
          <cell r="BG2225" t="str">
            <v>Não Montado</v>
          </cell>
        </row>
        <row r="2226">
          <cell r="A2226" t="str">
            <v>PI-120994</v>
          </cell>
          <cell r="BG2226" t="str">
            <v>Não Montado</v>
          </cell>
        </row>
        <row r="2227">
          <cell r="A2227" t="str">
            <v>PI-120995</v>
          </cell>
          <cell r="BG2227" t="str">
            <v>Não Montado</v>
          </cell>
        </row>
        <row r="2228">
          <cell r="A2228" t="str">
            <v>PI-120996</v>
          </cell>
          <cell r="BG2228" t="str">
            <v>Não Montado</v>
          </cell>
        </row>
        <row r="2229">
          <cell r="A2229" t="str">
            <v>PI-120997</v>
          </cell>
          <cell r="BG2229" t="str">
            <v>Não Montado</v>
          </cell>
        </row>
        <row r="2230">
          <cell r="A2230" t="str">
            <v>PI-120998</v>
          </cell>
          <cell r="BG2230" t="str">
            <v>Não Montado</v>
          </cell>
        </row>
        <row r="2231">
          <cell r="A2231" t="str">
            <v>PI-121001</v>
          </cell>
          <cell r="BG2231" t="str">
            <v>Não Montado</v>
          </cell>
        </row>
        <row r="2232">
          <cell r="A2232" t="str">
            <v>PI-121002</v>
          </cell>
          <cell r="BG2232" t="str">
            <v>Não Montado</v>
          </cell>
        </row>
        <row r="2233">
          <cell r="A2233" t="str">
            <v>PI-121003</v>
          </cell>
          <cell r="BG2233" t="str">
            <v>Não Montado</v>
          </cell>
        </row>
        <row r="2234">
          <cell r="A2234" t="str">
            <v>PI-121004</v>
          </cell>
          <cell r="BG2234" t="str">
            <v>Não Montado</v>
          </cell>
        </row>
        <row r="2235">
          <cell r="A2235" t="str">
            <v>PI-121005</v>
          </cell>
          <cell r="BG2235" t="str">
            <v>Não Montado</v>
          </cell>
        </row>
        <row r="2236">
          <cell r="A2236" t="str">
            <v>PI-121006</v>
          </cell>
          <cell r="BG2236" t="str">
            <v>Não Montado</v>
          </cell>
        </row>
        <row r="2237">
          <cell r="A2237" t="str">
            <v>PI-121011</v>
          </cell>
          <cell r="BG2237" t="str">
            <v>Não Montado</v>
          </cell>
        </row>
        <row r="2238">
          <cell r="A2238" t="str">
            <v>PI-121012</v>
          </cell>
          <cell r="BG2238" t="str">
            <v>Não Montado</v>
          </cell>
        </row>
        <row r="2239">
          <cell r="A2239" t="str">
            <v>PI-121013</v>
          </cell>
          <cell r="BG2239" t="str">
            <v>Não Montado</v>
          </cell>
        </row>
        <row r="2240">
          <cell r="A2240" t="str">
            <v>PI-121014</v>
          </cell>
          <cell r="BG2240" t="str">
            <v>Não Montado</v>
          </cell>
        </row>
        <row r="2241">
          <cell r="A2241" t="str">
            <v>PI-121020</v>
          </cell>
          <cell r="BG2241" t="str">
            <v>Não Montado</v>
          </cell>
        </row>
        <row r="2242">
          <cell r="A2242" t="str">
            <v>PI-121021</v>
          </cell>
          <cell r="BG2242" t="str">
            <v>Não Montado</v>
          </cell>
        </row>
        <row r="2243">
          <cell r="A2243" t="str">
            <v>PI-121022</v>
          </cell>
          <cell r="BG2243" t="str">
            <v>Não Montado</v>
          </cell>
        </row>
        <row r="2244">
          <cell r="A2244" t="str">
            <v>PI-121023</v>
          </cell>
          <cell r="BG2244" t="str">
            <v>Não Montado</v>
          </cell>
        </row>
        <row r="2245">
          <cell r="A2245" t="str">
            <v>PI-121027</v>
          </cell>
          <cell r="BG2245" t="str">
            <v>Não Montado</v>
          </cell>
        </row>
        <row r="2246">
          <cell r="A2246" t="str">
            <v>PI-121028</v>
          </cell>
          <cell r="BG2246" t="str">
            <v>Não Montado</v>
          </cell>
        </row>
        <row r="2247">
          <cell r="A2247" t="str">
            <v>PI-121029</v>
          </cell>
          <cell r="BG2247" t="str">
            <v>Não Montado</v>
          </cell>
        </row>
        <row r="2248">
          <cell r="A2248" t="str">
            <v>PI-121030</v>
          </cell>
          <cell r="BG2248" t="str">
            <v>Não Montado</v>
          </cell>
        </row>
        <row r="2249">
          <cell r="A2249" t="str">
            <v>PI-121034</v>
          </cell>
          <cell r="BG2249" t="str">
            <v>Não Montado</v>
          </cell>
        </row>
        <row r="2250">
          <cell r="A2250" t="str">
            <v>PI-121035</v>
          </cell>
          <cell r="BG2250" t="str">
            <v>Não Montado</v>
          </cell>
        </row>
        <row r="2251">
          <cell r="A2251" t="str">
            <v>PI-121036</v>
          </cell>
          <cell r="BG2251" t="str">
            <v>Não Montado</v>
          </cell>
        </row>
        <row r="2252">
          <cell r="A2252" t="str">
            <v>PI-121037</v>
          </cell>
          <cell r="BG2252" t="str">
            <v>Não Montado</v>
          </cell>
        </row>
        <row r="2253">
          <cell r="A2253" t="str">
            <v>PI-121043</v>
          </cell>
          <cell r="BG2253" t="str">
            <v>Não Montado</v>
          </cell>
        </row>
        <row r="2254">
          <cell r="A2254" t="str">
            <v>PI-121044</v>
          </cell>
          <cell r="BG2254" t="str">
            <v>Não Montado</v>
          </cell>
        </row>
        <row r="2255">
          <cell r="A2255" t="str">
            <v>PI-121045</v>
          </cell>
          <cell r="BG2255" t="str">
            <v>Não Montado</v>
          </cell>
        </row>
        <row r="2256">
          <cell r="A2256" t="str">
            <v>PI-121046</v>
          </cell>
          <cell r="BG2256" t="str">
            <v>Não Montado</v>
          </cell>
        </row>
        <row r="2257">
          <cell r="A2257" t="str">
            <v>PI-121047</v>
          </cell>
          <cell r="BG2257" t="str">
            <v>Não Montado</v>
          </cell>
        </row>
        <row r="2258">
          <cell r="A2258" t="str">
            <v>PI-121048</v>
          </cell>
          <cell r="BG2258" t="str">
            <v>Não Montado</v>
          </cell>
        </row>
        <row r="2259">
          <cell r="A2259" t="str">
            <v>PI-121049</v>
          </cell>
          <cell r="BG2259" t="str">
            <v>Não Montado</v>
          </cell>
        </row>
        <row r="2260">
          <cell r="A2260" t="str">
            <v>PI-121050</v>
          </cell>
          <cell r="BG2260" t="str">
            <v>Não Montado</v>
          </cell>
        </row>
        <row r="2261">
          <cell r="A2261" t="str">
            <v>PI-121054</v>
          </cell>
          <cell r="BG2261" t="str">
            <v>Não Montado</v>
          </cell>
        </row>
        <row r="2262">
          <cell r="A2262" t="str">
            <v>PI-121056</v>
          </cell>
          <cell r="BG2262" t="str">
            <v>Não Montado</v>
          </cell>
        </row>
        <row r="2263">
          <cell r="A2263" t="str">
            <v>PI-121204</v>
          </cell>
          <cell r="BG2263" t="str">
            <v>Não Montado</v>
          </cell>
        </row>
        <row r="2264">
          <cell r="A2264" t="str">
            <v>PI-121300</v>
          </cell>
          <cell r="BG2264" t="str">
            <v>Não Montado</v>
          </cell>
        </row>
        <row r="2265">
          <cell r="A2265" t="str">
            <v>PI-121301</v>
          </cell>
          <cell r="BG2265" t="str">
            <v>Não Montado</v>
          </cell>
        </row>
        <row r="2266">
          <cell r="A2266" t="str">
            <v>PI-121302</v>
          </cell>
          <cell r="BG2266" t="str">
            <v>Não Montado</v>
          </cell>
        </row>
        <row r="2267">
          <cell r="A2267" t="str">
            <v>PI-121303</v>
          </cell>
          <cell r="BG2267" t="str">
            <v>Não Montado</v>
          </cell>
        </row>
        <row r="2268">
          <cell r="A2268" t="str">
            <v>PI-121304</v>
          </cell>
          <cell r="BG2268" t="str">
            <v>Não Montado</v>
          </cell>
        </row>
        <row r="2269">
          <cell r="A2269" t="str">
            <v>PI-121305</v>
          </cell>
          <cell r="BG2269" t="str">
            <v>Não Montado</v>
          </cell>
        </row>
        <row r="2270">
          <cell r="A2270" t="str">
            <v>PI-121306</v>
          </cell>
          <cell r="BG2270" t="str">
            <v>Não Montado</v>
          </cell>
        </row>
        <row r="2271">
          <cell r="A2271" t="str">
            <v>PI-121307</v>
          </cell>
          <cell r="BG2271" t="str">
            <v>Não Montado</v>
          </cell>
        </row>
        <row r="2272">
          <cell r="A2272" t="str">
            <v>PI-121308</v>
          </cell>
          <cell r="BG2272" t="str">
            <v>Não Montado</v>
          </cell>
        </row>
        <row r="2273">
          <cell r="A2273" t="str">
            <v>PI-121310</v>
          </cell>
          <cell r="BG2273" t="str">
            <v>Não Montado</v>
          </cell>
        </row>
        <row r="2274">
          <cell r="A2274" t="str">
            <v>PI-121311</v>
          </cell>
          <cell r="BG2274" t="str">
            <v>Não Montado</v>
          </cell>
        </row>
        <row r="2275">
          <cell r="A2275" t="str">
            <v>PI-121312</v>
          </cell>
          <cell r="BG2275" t="str">
            <v>Não Montado</v>
          </cell>
        </row>
        <row r="2276">
          <cell r="A2276" t="str">
            <v>PI-121313</v>
          </cell>
          <cell r="BG2276" t="str">
            <v>Programar</v>
          </cell>
        </row>
        <row r="2277">
          <cell r="A2277" t="str">
            <v>PI-121400</v>
          </cell>
          <cell r="BG2277" t="str">
            <v>Não Montado</v>
          </cell>
        </row>
        <row r="2278">
          <cell r="A2278" t="str">
            <v>PI-121401</v>
          </cell>
          <cell r="BG2278" t="str">
            <v>Não Montado</v>
          </cell>
        </row>
        <row r="2279">
          <cell r="A2279" t="str">
            <v>PI-121402</v>
          </cell>
          <cell r="BG2279" t="str">
            <v>Não Montado</v>
          </cell>
        </row>
        <row r="2280">
          <cell r="A2280" t="str">
            <v>PI-121403</v>
          </cell>
          <cell r="BG2280" t="str">
            <v>Não Montado</v>
          </cell>
        </row>
        <row r="2281">
          <cell r="A2281" t="str">
            <v>PI-121404</v>
          </cell>
          <cell r="BG2281" t="str">
            <v>Não Montado</v>
          </cell>
        </row>
        <row r="2282">
          <cell r="A2282" t="str">
            <v>PI-121405</v>
          </cell>
          <cell r="BG2282" t="str">
            <v>Não Montado</v>
          </cell>
        </row>
        <row r="2283">
          <cell r="A2283" t="str">
            <v>PI-121406</v>
          </cell>
          <cell r="BG2283" t="str">
            <v>Não Montado</v>
          </cell>
        </row>
        <row r="2284">
          <cell r="A2284" t="str">
            <v>PI-121407</v>
          </cell>
          <cell r="BG2284" t="str">
            <v>Não Montado</v>
          </cell>
        </row>
        <row r="2285">
          <cell r="A2285" t="str">
            <v>PI-121408</v>
          </cell>
          <cell r="BG2285" t="str">
            <v>Não Montado</v>
          </cell>
        </row>
        <row r="2286">
          <cell r="A2286" t="str">
            <v>PI-121410</v>
          </cell>
          <cell r="BG2286" t="str">
            <v>Não Montado</v>
          </cell>
        </row>
        <row r="2287">
          <cell r="A2287" t="str">
            <v>PI-121412</v>
          </cell>
          <cell r="BG2287" t="str">
            <v>Não Montado</v>
          </cell>
        </row>
        <row r="2288">
          <cell r="A2288" t="str">
            <v>PI-121413</v>
          </cell>
          <cell r="BG2288" t="str">
            <v>Programar</v>
          </cell>
        </row>
        <row r="2289">
          <cell r="A2289" t="str">
            <v>PI-121500</v>
          </cell>
          <cell r="BG2289" t="str">
            <v>Não Montado</v>
          </cell>
        </row>
        <row r="2290">
          <cell r="A2290" t="str">
            <v>PI-121501</v>
          </cell>
          <cell r="BG2290" t="str">
            <v>Não Montado</v>
          </cell>
        </row>
        <row r="2291">
          <cell r="A2291" t="str">
            <v>PI-121502</v>
          </cell>
          <cell r="BG2291" t="str">
            <v>Não Montado</v>
          </cell>
        </row>
        <row r="2292">
          <cell r="A2292" t="str">
            <v>PI-121503</v>
          </cell>
          <cell r="BG2292" t="str">
            <v>Não Montado</v>
          </cell>
        </row>
        <row r="2293">
          <cell r="A2293" t="str">
            <v>PI-121504</v>
          </cell>
          <cell r="BG2293" t="str">
            <v>Não Montado</v>
          </cell>
        </row>
        <row r="2294">
          <cell r="A2294" t="str">
            <v>PI-121505</v>
          </cell>
          <cell r="BG2294" t="str">
            <v>Não Montado</v>
          </cell>
        </row>
        <row r="2295">
          <cell r="A2295" t="str">
            <v>PI-121520</v>
          </cell>
          <cell r="BG2295" t="str">
            <v>Não Montado</v>
          </cell>
        </row>
        <row r="2296">
          <cell r="A2296" t="str">
            <v>PI-121521</v>
          </cell>
          <cell r="BG2296" t="str">
            <v>Não Montado</v>
          </cell>
        </row>
        <row r="2297">
          <cell r="A2297" t="str">
            <v>PI-121522</v>
          </cell>
          <cell r="BG2297" t="str">
            <v>Não Montado</v>
          </cell>
        </row>
        <row r="2298">
          <cell r="A2298" t="str">
            <v>PI-121523</v>
          </cell>
          <cell r="BG2298" t="str">
            <v>Não Montado</v>
          </cell>
        </row>
        <row r="2299">
          <cell r="A2299" t="str">
            <v>PI-121524</v>
          </cell>
          <cell r="BG2299" t="str">
            <v>Não Montado</v>
          </cell>
        </row>
        <row r="2300">
          <cell r="A2300" t="str">
            <v>PI-121525</v>
          </cell>
          <cell r="BG2300" t="str">
            <v>Não Montado</v>
          </cell>
        </row>
        <row r="2301">
          <cell r="A2301" t="str">
            <v>PI-122001</v>
          </cell>
          <cell r="BG2301" t="str">
            <v>Não Montado</v>
          </cell>
        </row>
        <row r="2302">
          <cell r="A2302" t="str">
            <v>PI-122002</v>
          </cell>
          <cell r="BG2302" t="str">
            <v>Não Montado</v>
          </cell>
        </row>
        <row r="2303">
          <cell r="A2303" t="str">
            <v>PI-122003</v>
          </cell>
          <cell r="BG2303" t="str">
            <v>Não Montado</v>
          </cell>
        </row>
        <row r="2304">
          <cell r="A2304" t="str">
            <v>PI-122004</v>
          </cell>
          <cell r="BG2304" t="str">
            <v>Não Montado</v>
          </cell>
        </row>
        <row r="2305">
          <cell r="A2305" t="str">
            <v>PI-122006</v>
          </cell>
          <cell r="BG2305" t="str">
            <v>Não Montado</v>
          </cell>
        </row>
        <row r="2306">
          <cell r="A2306" t="str">
            <v>PI-122007</v>
          </cell>
          <cell r="BG2306" t="str">
            <v>Não Montado</v>
          </cell>
        </row>
        <row r="2307">
          <cell r="A2307" t="str">
            <v>PI-122008</v>
          </cell>
          <cell r="BG2307" t="str">
            <v>Não Montado</v>
          </cell>
        </row>
        <row r="2308">
          <cell r="A2308" t="str">
            <v>PI-122012</v>
          </cell>
          <cell r="BG2308" t="str">
            <v>Não Montado</v>
          </cell>
        </row>
        <row r="2309">
          <cell r="A2309" t="str">
            <v>PI-122013</v>
          </cell>
          <cell r="BG2309" t="str">
            <v>Não Montado</v>
          </cell>
        </row>
        <row r="2310">
          <cell r="A2310" t="str">
            <v>PI-122014</v>
          </cell>
          <cell r="BG2310" t="str">
            <v>Não Montado</v>
          </cell>
        </row>
        <row r="2311">
          <cell r="A2311" t="str">
            <v>PI-122015</v>
          </cell>
          <cell r="BG2311" t="str">
            <v>Não Montado</v>
          </cell>
        </row>
        <row r="2312">
          <cell r="A2312" t="str">
            <v>PI-122016</v>
          </cell>
          <cell r="BG2312" t="str">
            <v>Não Montado</v>
          </cell>
        </row>
        <row r="2313">
          <cell r="A2313" t="str">
            <v>PI-122017</v>
          </cell>
          <cell r="BG2313" t="str">
            <v>Não Montado</v>
          </cell>
        </row>
        <row r="2314">
          <cell r="A2314" t="str">
            <v>PI-122018</v>
          </cell>
          <cell r="BG2314" t="str">
            <v>Não Montado</v>
          </cell>
        </row>
        <row r="2315">
          <cell r="A2315" t="str">
            <v>PI-122026</v>
          </cell>
          <cell r="BG2315" t="str">
            <v>Não Montado</v>
          </cell>
        </row>
        <row r="2316">
          <cell r="A2316" t="str">
            <v>PI-123001</v>
          </cell>
          <cell r="BG2316" t="str">
            <v>Não Montado</v>
          </cell>
        </row>
        <row r="2317">
          <cell r="A2317" t="str">
            <v>PI-123542</v>
          </cell>
          <cell r="BG2317" t="str">
            <v>Não Montado</v>
          </cell>
        </row>
        <row r="2318">
          <cell r="A2318" t="str">
            <v>PIT-120001</v>
          </cell>
          <cell r="BG2318" t="str">
            <v>Não Montado</v>
          </cell>
        </row>
        <row r="2319">
          <cell r="A2319" t="str">
            <v>PIT-120004</v>
          </cell>
          <cell r="BG2319" t="str">
            <v>Não Montado</v>
          </cell>
        </row>
        <row r="2320">
          <cell r="A2320" t="str">
            <v>PIT-120005</v>
          </cell>
          <cell r="BG2320" t="str">
            <v>Montado</v>
          </cell>
        </row>
        <row r="2321">
          <cell r="A2321" t="str">
            <v>PIT-120006</v>
          </cell>
          <cell r="BG2321" t="str">
            <v>Montado</v>
          </cell>
        </row>
        <row r="2322">
          <cell r="A2322" t="str">
            <v>PIT-120007</v>
          </cell>
          <cell r="BG2322" t="str">
            <v>Montado</v>
          </cell>
        </row>
        <row r="2323">
          <cell r="A2323" t="str">
            <v>PIT-120008</v>
          </cell>
          <cell r="BG2323" t="str">
            <v>Montado</v>
          </cell>
        </row>
        <row r="2324">
          <cell r="A2324" t="str">
            <v>PIT-120009</v>
          </cell>
          <cell r="BG2324" t="str">
            <v>Montado</v>
          </cell>
        </row>
        <row r="2325">
          <cell r="A2325" t="str">
            <v>PIT-120010</v>
          </cell>
          <cell r="BG2325" t="str">
            <v>Montado</v>
          </cell>
        </row>
        <row r="2326">
          <cell r="A2326" t="str">
            <v>PIT-120011</v>
          </cell>
          <cell r="BG2326" t="str">
            <v>Montado</v>
          </cell>
        </row>
        <row r="2327">
          <cell r="A2327" t="str">
            <v>PIT-120012</v>
          </cell>
          <cell r="BG2327" t="str">
            <v>Montado</v>
          </cell>
        </row>
        <row r="2328">
          <cell r="A2328" t="str">
            <v>PIT-120013</v>
          </cell>
          <cell r="BG2328" t="str">
            <v>Montado</v>
          </cell>
        </row>
        <row r="2329">
          <cell r="A2329" t="str">
            <v>PIT-120014</v>
          </cell>
          <cell r="BG2329" t="str">
            <v>Montado</v>
          </cell>
        </row>
        <row r="2330">
          <cell r="A2330" t="str">
            <v>PIT-120015</v>
          </cell>
          <cell r="BG2330" t="str">
            <v>Montado</v>
          </cell>
        </row>
        <row r="2331">
          <cell r="A2331" t="str">
            <v>PIT-120016</v>
          </cell>
          <cell r="BG2331" t="str">
            <v>Montado</v>
          </cell>
        </row>
        <row r="2332">
          <cell r="A2332" t="str">
            <v>PIT-120017</v>
          </cell>
          <cell r="BG2332" t="str">
            <v>Montado</v>
          </cell>
        </row>
        <row r="2333">
          <cell r="A2333" t="str">
            <v>PIT-120018</v>
          </cell>
          <cell r="BG2333" t="str">
            <v>Montado</v>
          </cell>
        </row>
        <row r="2334">
          <cell r="A2334" t="str">
            <v>PIT-120019</v>
          </cell>
          <cell r="BG2334" t="str">
            <v>Montado</v>
          </cell>
        </row>
        <row r="2335">
          <cell r="A2335" t="str">
            <v>PIT-120020</v>
          </cell>
          <cell r="BG2335" t="str">
            <v>Montado</v>
          </cell>
        </row>
        <row r="2336">
          <cell r="A2336" t="str">
            <v>PIT-120020B</v>
          </cell>
          <cell r="BG2336" t="str">
            <v>Não Montado</v>
          </cell>
        </row>
        <row r="2337">
          <cell r="A2337" t="str">
            <v>PIT-120021</v>
          </cell>
          <cell r="BG2337" t="str">
            <v>Montado</v>
          </cell>
        </row>
        <row r="2338">
          <cell r="A2338" t="str">
            <v>PIT-120022</v>
          </cell>
          <cell r="BG2338" t="str">
            <v>Montado</v>
          </cell>
        </row>
        <row r="2339">
          <cell r="A2339" t="str">
            <v>PIT-120023</v>
          </cell>
          <cell r="BG2339" t="str">
            <v>Montado</v>
          </cell>
        </row>
        <row r="2340">
          <cell r="A2340" t="str">
            <v>PIT-120024</v>
          </cell>
          <cell r="BG2340" t="str">
            <v>Montado</v>
          </cell>
        </row>
        <row r="2341">
          <cell r="A2341" t="str">
            <v>PIT-120025</v>
          </cell>
          <cell r="BG2341" t="str">
            <v>Montado</v>
          </cell>
        </row>
        <row r="2342">
          <cell r="A2342" t="str">
            <v>PIT-120026</v>
          </cell>
          <cell r="BG2342" t="str">
            <v>Montado</v>
          </cell>
        </row>
        <row r="2343">
          <cell r="A2343" t="str">
            <v>PIT-120027</v>
          </cell>
          <cell r="BG2343" t="str">
            <v>Montado</v>
          </cell>
        </row>
        <row r="2344">
          <cell r="A2344" t="str">
            <v>PIT-120028</v>
          </cell>
          <cell r="BG2344" t="str">
            <v>Montado</v>
          </cell>
        </row>
        <row r="2345">
          <cell r="A2345" t="str">
            <v>PIT-120029</v>
          </cell>
          <cell r="BG2345" t="str">
            <v>Montado</v>
          </cell>
        </row>
        <row r="2346">
          <cell r="A2346" t="str">
            <v>PIT-120031</v>
          </cell>
          <cell r="BG2346" t="str">
            <v>Montado</v>
          </cell>
        </row>
        <row r="2347">
          <cell r="A2347" t="str">
            <v>PIT-120032</v>
          </cell>
          <cell r="BG2347" t="str">
            <v>Montado</v>
          </cell>
        </row>
        <row r="2348">
          <cell r="A2348" t="str">
            <v>PIT-120033</v>
          </cell>
          <cell r="BG2348" t="str">
            <v>Montado</v>
          </cell>
        </row>
        <row r="2349">
          <cell r="A2349" t="str">
            <v>PIT-120034</v>
          </cell>
          <cell r="BG2349" t="str">
            <v>Montado</v>
          </cell>
        </row>
        <row r="2350">
          <cell r="A2350" t="str">
            <v>PIT-120035</v>
          </cell>
          <cell r="BG2350" t="str">
            <v>Montado</v>
          </cell>
        </row>
        <row r="2351">
          <cell r="A2351" t="str">
            <v>PIT-120036</v>
          </cell>
          <cell r="BG2351" t="str">
            <v>Montado</v>
          </cell>
        </row>
        <row r="2352">
          <cell r="A2352" t="str">
            <v>PIT-120037</v>
          </cell>
          <cell r="BG2352" t="str">
            <v>Montado</v>
          </cell>
        </row>
        <row r="2353">
          <cell r="A2353" t="str">
            <v>PIT-120040</v>
          </cell>
          <cell r="BG2353" t="str">
            <v>Montado</v>
          </cell>
        </row>
        <row r="2354">
          <cell r="A2354" t="str">
            <v>PIT-120041</v>
          </cell>
          <cell r="BG2354" t="str">
            <v>Montado</v>
          </cell>
        </row>
        <row r="2355">
          <cell r="A2355" t="str">
            <v>PIT-120042</v>
          </cell>
          <cell r="BG2355" t="str">
            <v>Montado</v>
          </cell>
        </row>
        <row r="2356">
          <cell r="A2356" t="str">
            <v>PIT-120043</v>
          </cell>
          <cell r="BG2356" t="str">
            <v>Montado</v>
          </cell>
        </row>
        <row r="2357">
          <cell r="A2357" t="str">
            <v>PIT-120044</v>
          </cell>
          <cell r="BG2357" t="str">
            <v>Montado</v>
          </cell>
        </row>
        <row r="2358">
          <cell r="A2358" t="str">
            <v>PIT-120045</v>
          </cell>
          <cell r="BG2358" t="str">
            <v>Montado</v>
          </cell>
        </row>
        <row r="2359">
          <cell r="A2359" t="str">
            <v>PIT-120046</v>
          </cell>
          <cell r="BG2359" t="str">
            <v>Montado</v>
          </cell>
        </row>
        <row r="2360">
          <cell r="A2360" t="str">
            <v>PIT-120047</v>
          </cell>
          <cell r="BG2360" t="str">
            <v>Montado</v>
          </cell>
        </row>
        <row r="2361">
          <cell r="A2361" t="str">
            <v>PIT-120048</v>
          </cell>
          <cell r="BG2361" t="str">
            <v>Montado</v>
          </cell>
        </row>
        <row r="2362">
          <cell r="A2362" t="str">
            <v>PIT-120049</v>
          </cell>
          <cell r="BG2362" t="str">
            <v>Montado</v>
          </cell>
        </row>
        <row r="2363">
          <cell r="A2363" t="str">
            <v>PIT-120050</v>
          </cell>
          <cell r="BG2363" t="str">
            <v>Montado</v>
          </cell>
        </row>
        <row r="2364">
          <cell r="A2364" t="str">
            <v>PIT-120051</v>
          </cell>
          <cell r="BG2364" t="str">
            <v>Montado</v>
          </cell>
        </row>
        <row r="2365">
          <cell r="A2365" t="str">
            <v>PIT-120052</v>
          </cell>
          <cell r="BG2365" t="str">
            <v>Montado</v>
          </cell>
        </row>
        <row r="2366">
          <cell r="A2366" t="str">
            <v>PIT-120053</v>
          </cell>
          <cell r="BG2366" t="str">
            <v>Montado</v>
          </cell>
        </row>
        <row r="2367">
          <cell r="A2367" t="str">
            <v>PIT-120054</v>
          </cell>
          <cell r="BG2367" t="str">
            <v>Montado</v>
          </cell>
        </row>
        <row r="2368">
          <cell r="A2368" t="str">
            <v>PIT-120056</v>
          </cell>
          <cell r="BG2368" t="str">
            <v>Não Montado</v>
          </cell>
        </row>
        <row r="2369">
          <cell r="A2369" t="str">
            <v>PIT-120057</v>
          </cell>
          <cell r="BG2369" t="str">
            <v>Montado</v>
          </cell>
        </row>
        <row r="2370">
          <cell r="A2370" t="str">
            <v>PIT-120058</v>
          </cell>
          <cell r="BG2370" t="str">
            <v>Montado</v>
          </cell>
        </row>
        <row r="2371">
          <cell r="A2371" t="str">
            <v>PIT-120059</v>
          </cell>
          <cell r="BG2371" t="str">
            <v>Montado</v>
          </cell>
        </row>
        <row r="2372">
          <cell r="A2372" t="str">
            <v>PIT-120060</v>
          </cell>
          <cell r="BG2372" t="str">
            <v>Montado</v>
          </cell>
        </row>
        <row r="2373">
          <cell r="A2373" t="str">
            <v>PIT-120061</v>
          </cell>
          <cell r="BG2373" t="str">
            <v>Montado</v>
          </cell>
        </row>
        <row r="2374">
          <cell r="A2374" t="str">
            <v>PIT-120063</v>
          </cell>
          <cell r="BG2374" t="str">
            <v>Montado</v>
          </cell>
        </row>
        <row r="2375">
          <cell r="A2375" t="str">
            <v>PIT-120064</v>
          </cell>
          <cell r="BG2375" t="str">
            <v>Montado</v>
          </cell>
        </row>
        <row r="2376">
          <cell r="A2376" t="str">
            <v>PIT-120065</v>
          </cell>
          <cell r="BG2376" t="str">
            <v>Montado</v>
          </cell>
        </row>
        <row r="2377">
          <cell r="A2377" t="str">
            <v>PIT-120066</v>
          </cell>
          <cell r="BG2377" t="str">
            <v>Montado</v>
          </cell>
        </row>
        <row r="2378">
          <cell r="A2378" t="str">
            <v>PIT-120067</v>
          </cell>
          <cell r="BG2378" t="str">
            <v>Montado</v>
          </cell>
        </row>
        <row r="2379">
          <cell r="A2379" t="str">
            <v>PIT-120068</v>
          </cell>
          <cell r="BG2379" t="str">
            <v>Não Montado</v>
          </cell>
        </row>
        <row r="2380">
          <cell r="A2380" t="str">
            <v>PIT-120069</v>
          </cell>
          <cell r="BG2380" t="str">
            <v>Não Montado</v>
          </cell>
        </row>
        <row r="2381">
          <cell r="A2381" t="str">
            <v>PIT-120070</v>
          </cell>
          <cell r="BG2381" t="str">
            <v>Não Montado</v>
          </cell>
        </row>
        <row r="2382">
          <cell r="A2382" t="str">
            <v>PIT-120071</v>
          </cell>
          <cell r="BG2382" t="str">
            <v>Não Montado</v>
          </cell>
        </row>
        <row r="2383">
          <cell r="A2383" t="str">
            <v>PIT-120072</v>
          </cell>
          <cell r="BG2383" t="str">
            <v>Montado</v>
          </cell>
        </row>
        <row r="2384">
          <cell r="A2384" t="str">
            <v>PIT-120073</v>
          </cell>
          <cell r="BG2384" t="str">
            <v>Não Montado</v>
          </cell>
        </row>
        <row r="2385">
          <cell r="A2385" t="str">
            <v>PIT-120074</v>
          </cell>
          <cell r="BG2385" t="str">
            <v>Montado</v>
          </cell>
        </row>
        <row r="2386">
          <cell r="A2386" t="str">
            <v>PIT-120075</v>
          </cell>
          <cell r="BG2386" t="str">
            <v>Montado</v>
          </cell>
        </row>
        <row r="2387">
          <cell r="A2387" t="str">
            <v>PIT-120076</v>
          </cell>
          <cell r="BG2387" t="str">
            <v>Montado</v>
          </cell>
        </row>
        <row r="2388">
          <cell r="A2388" t="str">
            <v>PIT-120077</v>
          </cell>
          <cell r="BG2388" t="str">
            <v>Montado</v>
          </cell>
        </row>
        <row r="2389">
          <cell r="A2389" t="str">
            <v>PIT-120078</v>
          </cell>
          <cell r="BG2389" t="str">
            <v>Montado</v>
          </cell>
        </row>
        <row r="2390">
          <cell r="A2390" t="str">
            <v>PIT-120079</v>
          </cell>
          <cell r="BG2390" t="str">
            <v>Montado</v>
          </cell>
        </row>
        <row r="2391">
          <cell r="A2391" t="str">
            <v>PIT-120080</v>
          </cell>
          <cell r="BG2391" t="str">
            <v>Montado</v>
          </cell>
        </row>
        <row r="2392">
          <cell r="A2392" t="str">
            <v>PIT-120081</v>
          </cell>
          <cell r="BG2392" t="str">
            <v>Montado</v>
          </cell>
        </row>
        <row r="2393">
          <cell r="A2393" t="str">
            <v>PIT-120082</v>
          </cell>
          <cell r="BG2393" t="str">
            <v>Montado</v>
          </cell>
        </row>
        <row r="2394">
          <cell r="A2394" t="str">
            <v>PIT-120083</v>
          </cell>
          <cell r="BG2394" t="str">
            <v>Montado</v>
          </cell>
        </row>
        <row r="2395">
          <cell r="A2395" t="str">
            <v>PIT-120084</v>
          </cell>
          <cell r="BG2395" t="str">
            <v>Montado</v>
          </cell>
        </row>
        <row r="2396">
          <cell r="A2396" t="str">
            <v>PIT-120085</v>
          </cell>
          <cell r="BG2396" t="str">
            <v>Montado</v>
          </cell>
        </row>
        <row r="2397">
          <cell r="A2397" t="str">
            <v>PIT-120086</v>
          </cell>
          <cell r="BG2397" t="str">
            <v>Montado</v>
          </cell>
        </row>
        <row r="2398">
          <cell r="A2398" t="str">
            <v>PIT-120087</v>
          </cell>
          <cell r="BG2398" t="str">
            <v>Montado</v>
          </cell>
        </row>
        <row r="2399">
          <cell r="A2399" t="str">
            <v>PIT-120088</v>
          </cell>
          <cell r="BG2399" t="str">
            <v>Montado</v>
          </cell>
        </row>
        <row r="2400">
          <cell r="A2400" t="str">
            <v>PIT-120090</v>
          </cell>
          <cell r="BG2400" t="str">
            <v>Montado</v>
          </cell>
        </row>
        <row r="2401">
          <cell r="A2401" t="str">
            <v>PIT-120091</v>
          </cell>
          <cell r="BG2401" t="str">
            <v>Montado</v>
          </cell>
        </row>
        <row r="2402">
          <cell r="A2402" t="str">
            <v>PIT-120092</v>
          </cell>
          <cell r="BG2402" t="str">
            <v>Montado</v>
          </cell>
        </row>
        <row r="2403">
          <cell r="A2403" t="str">
            <v>PIT-120093</v>
          </cell>
          <cell r="BG2403" t="str">
            <v>Montado</v>
          </cell>
        </row>
        <row r="2404">
          <cell r="A2404" t="str">
            <v>PIT-120094</v>
          </cell>
          <cell r="BG2404" t="str">
            <v>Montado</v>
          </cell>
        </row>
        <row r="2405">
          <cell r="A2405" t="str">
            <v>PIT-120097</v>
          </cell>
          <cell r="BG2405" t="str">
            <v>Não Montado</v>
          </cell>
        </row>
        <row r="2406">
          <cell r="A2406" t="str">
            <v>PIT-120098</v>
          </cell>
          <cell r="BG2406" t="str">
            <v>Não Montado</v>
          </cell>
        </row>
        <row r="2407">
          <cell r="A2407" t="str">
            <v>PIT-120099</v>
          </cell>
          <cell r="BG2407" t="str">
            <v>Montado</v>
          </cell>
        </row>
        <row r="2408">
          <cell r="A2408" t="str">
            <v>PIT-120100</v>
          </cell>
          <cell r="BG2408" t="str">
            <v>Não Montado</v>
          </cell>
        </row>
        <row r="2409">
          <cell r="A2409" t="str">
            <v>PIT-120101</v>
          </cell>
          <cell r="BG2409" t="str">
            <v>Não Montado</v>
          </cell>
        </row>
        <row r="2410">
          <cell r="A2410" t="str">
            <v>PIT-120102</v>
          </cell>
          <cell r="BG2410" t="str">
            <v>Não Montado</v>
          </cell>
        </row>
        <row r="2411">
          <cell r="A2411" t="str">
            <v>PIT-120105</v>
          </cell>
          <cell r="BG2411" t="str">
            <v>Montado</v>
          </cell>
        </row>
        <row r="2412">
          <cell r="A2412" t="str">
            <v>PIT-120108</v>
          </cell>
          <cell r="BG2412" t="str">
            <v>Montado</v>
          </cell>
        </row>
        <row r="2413">
          <cell r="A2413" t="str">
            <v>PIT-120109</v>
          </cell>
          <cell r="BG2413" t="str">
            <v>Montado</v>
          </cell>
        </row>
        <row r="2414">
          <cell r="A2414" t="str">
            <v>PIT-120112</v>
          </cell>
          <cell r="BG2414" t="str">
            <v>Não Montado</v>
          </cell>
        </row>
        <row r="2415">
          <cell r="A2415" t="str">
            <v>PIT-120115</v>
          </cell>
          <cell r="BG2415" t="str">
            <v>Montado</v>
          </cell>
        </row>
        <row r="2416">
          <cell r="A2416" t="str">
            <v>PIT-120118</v>
          </cell>
          <cell r="BG2416" t="str">
            <v>Montado</v>
          </cell>
        </row>
        <row r="2417">
          <cell r="A2417" t="str">
            <v>PIT-120119</v>
          </cell>
          <cell r="BG2417" t="str">
            <v>Não Montado</v>
          </cell>
        </row>
        <row r="2418">
          <cell r="A2418" t="str">
            <v>PIT-120122</v>
          </cell>
          <cell r="BG2418" t="str">
            <v>Não Montado</v>
          </cell>
        </row>
        <row r="2419">
          <cell r="A2419" t="str">
            <v>PIT-120123</v>
          </cell>
          <cell r="BG2419" t="str">
            <v>Não Montado</v>
          </cell>
        </row>
        <row r="2420">
          <cell r="A2420" t="str">
            <v>PIT-120126</v>
          </cell>
          <cell r="BG2420" t="str">
            <v>Não Montado</v>
          </cell>
        </row>
        <row r="2421">
          <cell r="A2421" t="str">
            <v>PIT-120129</v>
          </cell>
          <cell r="BG2421" t="str">
            <v>Montado</v>
          </cell>
        </row>
        <row r="2422">
          <cell r="A2422" t="str">
            <v>PIT-120130</v>
          </cell>
          <cell r="BG2422" t="str">
            <v>Não Montado</v>
          </cell>
        </row>
        <row r="2423">
          <cell r="A2423" t="str">
            <v>PIT-120131</v>
          </cell>
          <cell r="BG2423" t="str">
            <v>Não Montado</v>
          </cell>
        </row>
        <row r="2424">
          <cell r="A2424" t="str">
            <v>PIT-120132</v>
          </cell>
          <cell r="BG2424" t="str">
            <v>Não Montado</v>
          </cell>
        </row>
        <row r="2425">
          <cell r="A2425" t="str">
            <v>PIT-120133</v>
          </cell>
          <cell r="BG2425" t="str">
            <v>Montado</v>
          </cell>
        </row>
        <row r="2426">
          <cell r="A2426" t="str">
            <v>PIT-120134</v>
          </cell>
          <cell r="BG2426" t="str">
            <v>Montado</v>
          </cell>
        </row>
        <row r="2427">
          <cell r="A2427" t="str">
            <v>PIT-120135</v>
          </cell>
          <cell r="BG2427" t="str">
            <v>Montado</v>
          </cell>
        </row>
        <row r="2428">
          <cell r="A2428" t="str">
            <v>PIT-120136</v>
          </cell>
          <cell r="BG2428" t="str">
            <v>Não Montado</v>
          </cell>
        </row>
        <row r="2429">
          <cell r="A2429" t="str">
            <v>PIT-120137</v>
          </cell>
          <cell r="BG2429" t="str">
            <v>Não Montado</v>
          </cell>
        </row>
        <row r="2430">
          <cell r="A2430" t="str">
            <v>PIT-120138</v>
          </cell>
          <cell r="BG2430" t="str">
            <v>Montado</v>
          </cell>
        </row>
        <row r="2431">
          <cell r="A2431" t="str">
            <v>PIT-120139</v>
          </cell>
          <cell r="BG2431" t="str">
            <v>Montado</v>
          </cell>
        </row>
        <row r="2432">
          <cell r="A2432" t="str">
            <v>PIT-120140</v>
          </cell>
          <cell r="BG2432" t="str">
            <v>Montado</v>
          </cell>
        </row>
        <row r="2433">
          <cell r="A2433" t="str">
            <v>PIT-120141</v>
          </cell>
          <cell r="BG2433" t="str">
            <v>Montado</v>
          </cell>
        </row>
        <row r="2434">
          <cell r="A2434" t="str">
            <v>PIT-120142</v>
          </cell>
          <cell r="BG2434" t="str">
            <v>Montado</v>
          </cell>
        </row>
        <row r="2435">
          <cell r="A2435" t="str">
            <v>PIT-120143</v>
          </cell>
          <cell r="BG2435" t="str">
            <v>Montado</v>
          </cell>
        </row>
        <row r="2436">
          <cell r="A2436" t="str">
            <v>PIT-120144</v>
          </cell>
          <cell r="BG2436" t="str">
            <v>Montado</v>
          </cell>
        </row>
        <row r="2437">
          <cell r="A2437" t="str">
            <v>PIT-120145</v>
          </cell>
          <cell r="BG2437" t="str">
            <v>Montado</v>
          </cell>
        </row>
        <row r="2438">
          <cell r="A2438" t="str">
            <v>PIT-120146</v>
          </cell>
          <cell r="BG2438" t="str">
            <v>Montado</v>
          </cell>
        </row>
        <row r="2439">
          <cell r="A2439" t="str">
            <v>PIT-120149</v>
          </cell>
          <cell r="BG2439" t="str">
            <v>Não Montado</v>
          </cell>
        </row>
        <row r="2440">
          <cell r="A2440" t="str">
            <v>PIT-120150</v>
          </cell>
          <cell r="BG2440" t="str">
            <v>Não Montado</v>
          </cell>
        </row>
        <row r="2441">
          <cell r="A2441" t="str">
            <v>PIT-120151</v>
          </cell>
          <cell r="BG2441" t="str">
            <v>Montado</v>
          </cell>
        </row>
        <row r="2442">
          <cell r="A2442" t="str">
            <v>PIT-120154</v>
          </cell>
          <cell r="BG2442" t="str">
            <v>Montado</v>
          </cell>
        </row>
        <row r="2443">
          <cell r="A2443" t="str">
            <v>PIT-120156</v>
          </cell>
          <cell r="BG2443" t="str">
            <v>Não Montado</v>
          </cell>
        </row>
        <row r="2444">
          <cell r="A2444" t="str">
            <v>PIT-120157</v>
          </cell>
          <cell r="BG2444" t="str">
            <v>Montado</v>
          </cell>
        </row>
        <row r="2445">
          <cell r="A2445" t="str">
            <v>PIT-120160</v>
          </cell>
          <cell r="BG2445" t="str">
            <v>Montado</v>
          </cell>
        </row>
        <row r="2446">
          <cell r="A2446" t="str">
            <v>PIT-120163</v>
          </cell>
          <cell r="BG2446" t="str">
            <v>Em programação</v>
          </cell>
        </row>
        <row r="2447">
          <cell r="A2447" t="str">
            <v>PIT-120164</v>
          </cell>
          <cell r="BG2447" t="str">
            <v>Não Montado</v>
          </cell>
        </row>
        <row r="2448">
          <cell r="A2448" t="str">
            <v>PIT-120165</v>
          </cell>
          <cell r="BG2448" t="str">
            <v>Não Montado</v>
          </cell>
        </row>
        <row r="2449">
          <cell r="A2449" t="str">
            <v>PIT-120166</v>
          </cell>
          <cell r="BG2449" t="str">
            <v>Não Montado</v>
          </cell>
        </row>
        <row r="2450">
          <cell r="A2450" t="str">
            <v>PIT-120167</v>
          </cell>
          <cell r="BG2450" t="str">
            <v>Não Montado</v>
          </cell>
        </row>
        <row r="2451">
          <cell r="A2451" t="str">
            <v>PIT-120168</v>
          </cell>
          <cell r="BG2451" t="str">
            <v>Não Montado</v>
          </cell>
        </row>
        <row r="2452">
          <cell r="A2452" t="str">
            <v>PIT-120169</v>
          </cell>
          <cell r="BG2452" t="str">
            <v>Não Montado</v>
          </cell>
        </row>
        <row r="2453">
          <cell r="A2453" t="str">
            <v>PIT-120172</v>
          </cell>
          <cell r="BG2453" t="str">
            <v>Montado</v>
          </cell>
        </row>
        <row r="2454">
          <cell r="A2454" t="str">
            <v>PIT-120174</v>
          </cell>
          <cell r="BG2454" t="str">
            <v>Montado</v>
          </cell>
        </row>
        <row r="2455">
          <cell r="A2455" t="str">
            <v>PIT-120175</v>
          </cell>
          <cell r="BG2455" t="str">
            <v>Não Montado</v>
          </cell>
        </row>
        <row r="2456">
          <cell r="A2456" t="str">
            <v>PIT-120176</v>
          </cell>
          <cell r="BG2456" t="str">
            <v>Não Montado</v>
          </cell>
        </row>
        <row r="2457">
          <cell r="A2457" t="str">
            <v>PIT-120177</v>
          </cell>
          <cell r="BG2457" t="str">
            <v>Não Montado</v>
          </cell>
        </row>
        <row r="2458">
          <cell r="A2458" t="str">
            <v>PIT-120178</v>
          </cell>
          <cell r="BG2458" t="str">
            <v>Montado</v>
          </cell>
        </row>
        <row r="2459">
          <cell r="A2459" t="str">
            <v>PIT-120179</v>
          </cell>
          <cell r="BG2459" t="str">
            <v>Não Montado</v>
          </cell>
        </row>
        <row r="2460">
          <cell r="A2460" t="str">
            <v>PIT-120180</v>
          </cell>
          <cell r="BG2460" t="str">
            <v>Montado</v>
          </cell>
        </row>
        <row r="2461">
          <cell r="A2461" t="str">
            <v>PIT-120182</v>
          </cell>
          <cell r="BG2461" t="str">
            <v>Não Montado</v>
          </cell>
        </row>
        <row r="2462">
          <cell r="A2462" t="str">
            <v>PIT-120183</v>
          </cell>
          <cell r="BG2462" t="str">
            <v>Não Montado</v>
          </cell>
        </row>
        <row r="2463">
          <cell r="A2463" t="str">
            <v>PIT-120185</v>
          </cell>
          <cell r="BG2463" t="str">
            <v>Não Montado</v>
          </cell>
        </row>
        <row r="2464">
          <cell r="A2464" t="str">
            <v>PIT-120189</v>
          </cell>
          <cell r="BG2464" t="str">
            <v>Montado</v>
          </cell>
        </row>
        <row r="2465">
          <cell r="A2465" t="str">
            <v>PIT-120192</v>
          </cell>
          <cell r="BG2465" t="str">
            <v>Montado</v>
          </cell>
        </row>
        <row r="2466">
          <cell r="A2466" t="str">
            <v>PIT-120193</v>
          </cell>
          <cell r="BG2466" t="str">
            <v>Montado</v>
          </cell>
        </row>
        <row r="2467">
          <cell r="A2467" t="str">
            <v>PIT-120194</v>
          </cell>
          <cell r="BG2467" t="str">
            <v>Montado</v>
          </cell>
        </row>
        <row r="2468">
          <cell r="A2468" t="str">
            <v>PIT-120195</v>
          </cell>
          <cell r="BG2468" t="str">
            <v>Montado</v>
          </cell>
        </row>
        <row r="2469">
          <cell r="A2469" t="str">
            <v>PIT-120196</v>
          </cell>
          <cell r="BG2469" t="str">
            <v>Montado</v>
          </cell>
        </row>
        <row r="2470">
          <cell r="A2470" t="str">
            <v>PIT-120197</v>
          </cell>
          <cell r="BG2470" t="str">
            <v>Montado</v>
          </cell>
        </row>
        <row r="2471">
          <cell r="A2471" t="str">
            <v>PIT-120198</v>
          </cell>
          <cell r="BG2471" t="str">
            <v>Montado</v>
          </cell>
        </row>
        <row r="2472">
          <cell r="A2472" t="str">
            <v>PIT-120199</v>
          </cell>
          <cell r="BG2472" t="str">
            <v>Em programação</v>
          </cell>
        </row>
        <row r="2473">
          <cell r="A2473" t="str">
            <v>PIT-120200</v>
          </cell>
          <cell r="BG2473" t="str">
            <v>Em programação</v>
          </cell>
        </row>
        <row r="2474">
          <cell r="A2474" t="str">
            <v>PIT-120201</v>
          </cell>
          <cell r="BG2474" t="str">
            <v>Montado</v>
          </cell>
        </row>
        <row r="2475">
          <cell r="A2475" t="str">
            <v>PIT-120202</v>
          </cell>
          <cell r="BG2475" t="str">
            <v>Não Montado</v>
          </cell>
        </row>
        <row r="2476">
          <cell r="A2476" t="str">
            <v>PIT-120205</v>
          </cell>
          <cell r="BG2476" t="str">
            <v>Em programação</v>
          </cell>
        </row>
        <row r="2477">
          <cell r="A2477" t="str">
            <v>PIT-120206</v>
          </cell>
          <cell r="BG2477" t="str">
            <v>Montado</v>
          </cell>
        </row>
        <row r="2478">
          <cell r="A2478" t="str">
            <v>PIT-120207</v>
          </cell>
          <cell r="BG2478" t="str">
            <v>Montado</v>
          </cell>
        </row>
        <row r="2479">
          <cell r="A2479" t="str">
            <v>PIT-120208</v>
          </cell>
          <cell r="BG2479" t="str">
            <v>Não Montado</v>
          </cell>
        </row>
        <row r="2480">
          <cell r="A2480" t="str">
            <v>PIT-120209</v>
          </cell>
          <cell r="BG2480" t="str">
            <v>Não Montado</v>
          </cell>
        </row>
        <row r="2481">
          <cell r="A2481" t="str">
            <v>PIT-120210</v>
          </cell>
          <cell r="BG2481" t="str">
            <v>Não Montado</v>
          </cell>
        </row>
        <row r="2482">
          <cell r="A2482" t="str">
            <v>PIT-120211</v>
          </cell>
          <cell r="BG2482" t="str">
            <v>Não Montado</v>
          </cell>
        </row>
        <row r="2483">
          <cell r="A2483" t="str">
            <v>PIT-120212</v>
          </cell>
          <cell r="BG2483" t="str">
            <v>Não Montado</v>
          </cell>
        </row>
        <row r="2484">
          <cell r="A2484" t="str">
            <v>PIT-120213</v>
          </cell>
          <cell r="BG2484" t="str">
            <v>Não Montado</v>
          </cell>
        </row>
        <row r="2485">
          <cell r="A2485" t="str">
            <v>PIT-120214</v>
          </cell>
          <cell r="BG2485" t="str">
            <v>Em programação</v>
          </cell>
        </row>
        <row r="2486">
          <cell r="A2486" t="str">
            <v>PIT-120215</v>
          </cell>
          <cell r="BG2486" t="str">
            <v>Montado</v>
          </cell>
        </row>
        <row r="2487">
          <cell r="A2487" t="str">
            <v>PIT-120217</v>
          </cell>
          <cell r="BG2487" t="str">
            <v>Montado</v>
          </cell>
        </row>
        <row r="2488">
          <cell r="A2488" t="str">
            <v>PIT-120218</v>
          </cell>
          <cell r="BG2488" t="str">
            <v>Montado</v>
          </cell>
        </row>
        <row r="2489">
          <cell r="A2489" t="str">
            <v>PIT-120219</v>
          </cell>
          <cell r="BG2489" t="str">
            <v>Montado</v>
          </cell>
        </row>
        <row r="2490">
          <cell r="A2490" t="str">
            <v>PIT-120220</v>
          </cell>
          <cell r="BG2490" t="str">
            <v>Não Montado</v>
          </cell>
        </row>
        <row r="2491">
          <cell r="A2491" t="str">
            <v>PIT-120221</v>
          </cell>
          <cell r="BG2491" t="str">
            <v>Não Montado</v>
          </cell>
        </row>
        <row r="2492">
          <cell r="A2492" t="str">
            <v>PIT-120222</v>
          </cell>
          <cell r="BG2492" t="str">
            <v>Não Montado</v>
          </cell>
        </row>
        <row r="2493">
          <cell r="A2493" t="str">
            <v>PIT-120223</v>
          </cell>
          <cell r="BG2493" t="str">
            <v>Não Montado</v>
          </cell>
        </row>
        <row r="2494">
          <cell r="A2494" t="str">
            <v>PIT-120400</v>
          </cell>
          <cell r="BG2494" t="str">
            <v>Montado</v>
          </cell>
        </row>
        <row r="2495">
          <cell r="A2495" t="str">
            <v>PIT-120401</v>
          </cell>
          <cell r="BG2495" t="str">
            <v>Montado</v>
          </cell>
        </row>
        <row r="2496">
          <cell r="A2496" t="str">
            <v>PIT-120402</v>
          </cell>
          <cell r="BG2496" t="str">
            <v>Montado</v>
          </cell>
        </row>
        <row r="2497">
          <cell r="A2497" t="str">
            <v>PIT-120403</v>
          </cell>
          <cell r="BG2497" t="str">
            <v>Montado</v>
          </cell>
        </row>
        <row r="2498">
          <cell r="A2498" t="str">
            <v>PIT-120404</v>
          </cell>
          <cell r="BG2498" t="str">
            <v>Montado</v>
          </cell>
        </row>
        <row r="2499">
          <cell r="A2499" t="str">
            <v>PIT-120405</v>
          </cell>
          <cell r="BG2499" t="str">
            <v>Montado</v>
          </cell>
        </row>
        <row r="2500">
          <cell r="A2500" t="str">
            <v>PIT-120406</v>
          </cell>
          <cell r="BG2500" t="str">
            <v>Montado</v>
          </cell>
        </row>
        <row r="2501">
          <cell r="A2501" t="str">
            <v>PIT-120408</v>
          </cell>
          <cell r="BG2501" t="str">
            <v>Montado</v>
          </cell>
        </row>
        <row r="2502">
          <cell r="A2502" t="str">
            <v>PIT-120409</v>
          </cell>
          <cell r="BG2502" t="str">
            <v>Montado</v>
          </cell>
        </row>
        <row r="2503">
          <cell r="A2503" t="str">
            <v>PIT-120410</v>
          </cell>
          <cell r="BG2503" t="str">
            <v>Montado</v>
          </cell>
        </row>
        <row r="2504">
          <cell r="A2504" t="str">
            <v>PIT-120411</v>
          </cell>
          <cell r="BG2504" t="str">
            <v>Montado</v>
          </cell>
        </row>
        <row r="2505">
          <cell r="A2505" t="str">
            <v>PIT-120412</v>
          </cell>
          <cell r="BG2505" t="str">
            <v>Montado</v>
          </cell>
        </row>
        <row r="2506">
          <cell r="A2506" t="str">
            <v>PIT-120413</v>
          </cell>
          <cell r="BG2506" t="str">
            <v>Montado</v>
          </cell>
        </row>
        <row r="2507">
          <cell r="A2507" t="str">
            <v>PIT-120414</v>
          </cell>
          <cell r="BG2507" t="str">
            <v>Montado</v>
          </cell>
        </row>
        <row r="2508">
          <cell r="A2508" t="str">
            <v>PIT-120415</v>
          </cell>
          <cell r="BG2508" t="str">
            <v>Montado</v>
          </cell>
        </row>
        <row r="2509">
          <cell r="A2509" t="str">
            <v>PIT-120416</v>
          </cell>
          <cell r="BG2509" t="str">
            <v>Montado</v>
          </cell>
        </row>
        <row r="2510">
          <cell r="A2510" t="str">
            <v>PIT-120417</v>
          </cell>
          <cell r="BG2510" t="str">
            <v>Montado</v>
          </cell>
        </row>
        <row r="2511">
          <cell r="A2511" t="str">
            <v>PIT-120437</v>
          </cell>
          <cell r="BG2511" t="str">
            <v>Montado</v>
          </cell>
        </row>
        <row r="2512">
          <cell r="A2512" t="str">
            <v>PIT-120438</v>
          </cell>
          <cell r="BG2512" t="str">
            <v>Montado</v>
          </cell>
        </row>
        <row r="2513">
          <cell r="A2513" t="str">
            <v>PIT-120440</v>
          </cell>
          <cell r="BG2513" t="str">
            <v>Montado</v>
          </cell>
        </row>
        <row r="2514">
          <cell r="A2514" t="str">
            <v>PIT-120443</v>
          </cell>
          <cell r="BG2514" t="str">
            <v>Montado</v>
          </cell>
        </row>
        <row r="2515">
          <cell r="A2515" t="str">
            <v>PIT-120493</v>
          </cell>
          <cell r="BG2515" t="str">
            <v>Em programação</v>
          </cell>
        </row>
        <row r="2516">
          <cell r="A2516" t="str">
            <v>PIT-120500</v>
          </cell>
          <cell r="BG2516" t="str">
            <v>Não Montado</v>
          </cell>
        </row>
        <row r="2517">
          <cell r="A2517" t="str">
            <v>PIT-120501</v>
          </cell>
          <cell r="BG2517" t="str">
            <v>Em programação</v>
          </cell>
        </row>
        <row r="2518">
          <cell r="A2518" t="str">
            <v>PIT-120502</v>
          </cell>
          <cell r="BG2518" t="str">
            <v>Não Montado</v>
          </cell>
        </row>
        <row r="2519">
          <cell r="A2519" t="str">
            <v>PIT-120503</v>
          </cell>
          <cell r="BG2519" t="str">
            <v>Não Montado</v>
          </cell>
        </row>
        <row r="2520">
          <cell r="A2520" t="str">
            <v>PIT-120504</v>
          </cell>
          <cell r="BG2520" t="str">
            <v>Não Montado</v>
          </cell>
        </row>
        <row r="2521">
          <cell r="A2521" t="str">
            <v>PIT-120601</v>
          </cell>
          <cell r="BG2521" t="str">
            <v>Montado</v>
          </cell>
        </row>
        <row r="2522">
          <cell r="A2522" t="str">
            <v>PIT-120602</v>
          </cell>
          <cell r="BG2522" t="str">
            <v>Não Montado</v>
          </cell>
        </row>
        <row r="2523">
          <cell r="A2523" t="str">
            <v>PIT-120607</v>
          </cell>
          <cell r="BG2523" t="str">
            <v>Não Montado</v>
          </cell>
        </row>
        <row r="2524">
          <cell r="A2524" t="str">
            <v>PIT-120615A</v>
          </cell>
          <cell r="BG2524" t="str">
            <v>Não Montado</v>
          </cell>
        </row>
        <row r="2525">
          <cell r="A2525" t="str">
            <v>PIT-120615B</v>
          </cell>
          <cell r="BG2525" t="str">
            <v>Não Montado</v>
          </cell>
        </row>
        <row r="2526">
          <cell r="A2526" t="str">
            <v>PIT-120616</v>
          </cell>
          <cell r="BG2526" t="str">
            <v>Montado</v>
          </cell>
        </row>
        <row r="2527">
          <cell r="A2527" t="str">
            <v>PIT-120617</v>
          </cell>
          <cell r="BG2527" t="str">
            <v>Programar</v>
          </cell>
        </row>
        <row r="2528">
          <cell r="A2528" t="str">
            <v>PIT-120618</v>
          </cell>
          <cell r="BG2528" t="str">
            <v>Não Montado</v>
          </cell>
        </row>
        <row r="2529">
          <cell r="A2529" t="str">
            <v>PIT-120619</v>
          </cell>
          <cell r="BG2529" t="str">
            <v>Não Montado</v>
          </cell>
        </row>
        <row r="2530">
          <cell r="A2530" t="str">
            <v>PIT-120620</v>
          </cell>
          <cell r="BG2530" t="str">
            <v>Não Montado</v>
          </cell>
        </row>
        <row r="2531">
          <cell r="A2531" t="str">
            <v>PIT-120621</v>
          </cell>
          <cell r="BG2531" t="str">
            <v>Não Montado</v>
          </cell>
        </row>
        <row r="2532">
          <cell r="A2532" t="str">
            <v>PIT-120623</v>
          </cell>
          <cell r="BG2532" t="str">
            <v>Não Montado</v>
          </cell>
        </row>
        <row r="2533">
          <cell r="A2533" t="str">
            <v>PIT-120626</v>
          </cell>
          <cell r="BG2533" t="str">
            <v>Não Montado</v>
          </cell>
        </row>
        <row r="2534">
          <cell r="A2534" t="str">
            <v>PIT-120628</v>
          </cell>
          <cell r="BG2534" t="str">
            <v>Não Montado</v>
          </cell>
        </row>
        <row r="2535">
          <cell r="A2535" t="str">
            <v>PIT-120629</v>
          </cell>
          <cell r="BG2535" t="str">
            <v>Montado</v>
          </cell>
        </row>
        <row r="2536">
          <cell r="A2536" t="str">
            <v>PIT-120630</v>
          </cell>
          <cell r="BG2536" t="str">
            <v>Não Montado</v>
          </cell>
        </row>
        <row r="2537">
          <cell r="A2537" t="str">
            <v>PIT-120631</v>
          </cell>
          <cell r="BG2537" t="str">
            <v>Montado</v>
          </cell>
        </row>
        <row r="2538">
          <cell r="A2538" t="str">
            <v>PIT-120632</v>
          </cell>
          <cell r="BG2538" t="str">
            <v>Não Montado</v>
          </cell>
        </row>
        <row r="2539">
          <cell r="A2539" t="str">
            <v>PIT-120638</v>
          </cell>
          <cell r="BG2539" t="str">
            <v>Não Montado</v>
          </cell>
        </row>
        <row r="2540">
          <cell r="A2540" t="str">
            <v>PIT-120640</v>
          </cell>
          <cell r="BG2540" t="str">
            <v>Não Montado</v>
          </cell>
        </row>
        <row r="2541">
          <cell r="A2541" t="str">
            <v>PIT-120641</v>
          </cell>
          <cell r="BG2541" t="str">
            <v>Não Montado</v>
          </cell>
        </row>
        <row r="2542">
          <cell r="A2542" t="str">
            <v>PIT-120642</v>
          </cell>
          <cell r="BG2542" t="str">
            <v>Não Montado</v>
          </cell>
        </row>
        <row r="2543">
          <cell r="A2543" t="str">
            <v>PIT-120644</v>
          </cell>
          <cell r="BG2543" t="str">
            <v>Não Montado</v>
          </cell>
        </row>
        <row r="2544">
          <cell r="A2544" t="str">
            <v>PIT-120645</v>
          </cell>
          <cell r="BG2544" t="str">
            <v>Não Montado</v>
          </cell>
        </row>
        <row r="2545">
          <cell r="A2545" t="str">
            <v>PIT-120646</v>
          </cell>
          <cell r="BG2545" t="str">
            <v>Não Montado</v>
          </cell>
        </row>
        <row r="2546">
          <cell r="A2546" t="str">
            <v>PIT-120647</v>
          </cell>
          <cell r="BG2546" t="str">
            <v>Montado</v>
          </cell>
        </row>
        <row r="2547">
          <cell r="A2547" t="str">
            <v>PIT-120648</v>
          </cell>
          <cell r="BG2547" t="str">
            <v>Montado</v>
          </cell>
        </row>
        <row r="2548">
          <cell r="A2548" t="str">
            <v>PIT-120649</v>
          </cell>
          <cell r="BG2548" t="str">
            <v>Não Montado</v>
          </cell>
        </row>
        <row r="2549">
          <cell r="A2549" t="str">
            <v>PIT-120655</v>
          </cell>
          <cell r="BG2549" t="str">
            <v>Não Montado</v>
          </cell>
        </row>
        <row r="2550">
          <cell r="A2550" t="str">
            <v>PIT-120660</v>
          </cell>
          <cell r="BG2550" t="str">
            <v>Não Montado</v>
          </cell>
        </row>
        <row r="2551">
          <cell r="A2551" t="str">
            <v>PIT-120663</v>
          </cell>
          <cell r="BG2551" t="str">
            <v>Não Montado</v>
          </cell>
        </row>
        <row r="2552">
          <cell r="A2552" t="str">
            <v>PIT-120707</v>
          </cell>
          <cell r="BG2552" t="str">
            <v>Não Montado</v>
          </cell>
        </row>
        <row r="2553">
          <cell r="A2553" t="str">
            <v>PIT-120715A</v>
          </cell>
          <cell r="BG2553" t="str">
            <v>Não Montado</v>
          </cell>
        </row>
        <row r="2554">
          <cell r="A2554" t="str">
            <v>PIT-120715B</v>
          </cell>
          <cell r="BG2554" t="str">
            <v>Não Montado</v>
          </cell>
        </row>
        <row r="2555">
          <cell r="A2555" t="str">
            <v>PIT-120716</v>
          </cell>
          <cell r="BG2555" t="str">
            <v>Não Montado</v>
          </cell>
        </row>
        <row r="2556">
          <cell r="A2556" t="str">
            <v>PIT-120717</v>
          </cell>
          <cell r="BG2556" t="str">
            <v>Montado</v>
          </cell>
        </row>
        <row r="2557">
          <cell r="A2557" t="str">
            <v>PIT-120718</v>
          </cell>
          <cell r="BG2557" t="str">
            <v>Montado</v>
          </cell>
        </row>
        <row r="2558">
          <cell r="A2558" t="str">
            <v>PIT-120719</v>
          </cell>
          <cell r="BG2558" t="str">
            <v>Não Montado</v>
          </cell>
        </row>
        <row r="2559">
          <cell r="A2559" t="str">
            <v>PIT-120720</v>
          </cell>
          <cell r="BG2559" t="str">
            <v>Não Montado</v>
          </cell>
        </row>
        <row r="2560">
          <cell r="A2560" t="str">
            <v>PIT-120721</v>
          </cell>
          <cell r="BG2560" t="str">
            <v>Não Montado</v>
          </cell>
        </row>
        <row r="2561">
          <cell r="A2561" t="str">
            <v>PIT-120723</v>
          </cell>
          <cell r="BG2561" t="str">
            <v>Não Montado</v>
          </cell>
        </row>
        <row r="2562">
          <cell r="A2562" t="str">
            <v>PIT-120730</v>
          </cell>
          <cell r="BG2562" t="str">
            <v>Montado</v>
          </cell>
        </row>
        <row r="2563">
          <cell r="A2563" t="str">
            <v>PIT-120738</v>
          </cell>
          <cell r="BG2563" t="str">
            <v>Não Montado</v>
          </cell>
        </row>
        <row r="2564">
          <cell r="A2564" t="str">
            <v>PIT-120740</v>
          </cell>
          <cell r="BG2564" t="str">
            <v>Não Montado</v>
          </cell>
        </row>
        <row r="2565">
          <cell r="A2565" t="str">
            <v>PIT-120741</v>
          </cell>
          <cell r="BG2565" t="str">
            <v>Não Montado</v>
          </cell>
        </row>
        <row r="2566">
          <cell r="A2566" t="str">
            <v>PIT-120742</v>
          </cell>
          <cell r="BG2566" t="str">
            <v>Não Montado</v>
          </cell>
        </row>
        <row r="2567">
          <cell r="A2567" t="str">
            <v>PIT-120744</v>
          </cell>
          <cell r="BG2567" t="str">
            <v>Montado</v>
          </cell>
        </row>
        <row r="2568">
          <cell r="A2568" t="str">
            <v>PIT-120745</v>
          </cell>
          <cell r="BG2568" t="str">
            <v>Não Montado</v>
          </cell>
        </row>
        <row r="2569">
          <cell r="A2569" t="str">
            <v>PIT-120747</v>
          </cell>
          <cell r="BG2569" t="str">
            <v>Programar</v>
          </cell>
        </row>
        <row r="2570">
          <cell r="A2570" t="str">
            <v>PIT-120748</v>
          </cell>
          <cell r="BG2570" t="str">
            <v>Não Montado</v>
          </cell>
        </row>
        <row r="2571">
          <cell r="A2571" t="str">
            <v>PIT-120749</v>
          </cell>
          <cell r="BG2571" t="str">
            <v>Não Montado</v>
          </cell>
        </row>
        <row r="2572">
          <cell r="A2572" t="str">
            <v>PIT-120763</v>
          </cell>
          <cell r="BG2572" t="str">
            <v>Não Montado</v>
          </cell>
        </row>
        <row r="2573">
          <cell r="A2573" t="str">
            <v>PIT-120800</v>
          </cell>
          <cell r="BG2573" t="str">
            <v>Em programação</v>
          </cell>
        </row>
        <row r="2574">
          <cell r="A2574" t="str">
            <v>PIT-120801</v>
          </cell>
          <cell r="BG2574" t="str">
            <v>Em programação</v>
          </cell>
        </row>
        <row r="2575">
          <cell r="A2575" t="str">
            <v>PIT-120802</v>
          </cell>
          <cell r="BG2575" t="str">
            <v>Em programação</v>
          </cell>
        </row>
        <row r="2576">
          <cell r="A2576" t="str">
            <v>PIT-120803</v>
          </cell>
          <cell r="BG2576" t="str">
            <v>Em programação</v>
          </cell>
        </row>
        <row r="2577">
          <cell r="A2577" t="str">
            <v>PIT-120804</v>
          </cell>
          <cell r="BG2577" t="str">
            <v>Em programação</v>
          </cell>
        </row>
        <row r="2578">
          <cell r="A2578" t="str">
            <v>PIT-120805</v>
          </cell>
          <cell r="BG2578" t="str">
            <v>Em programação</v>
          </cell>
        </row>
        <row r="2579">
          <cell r="A2579" t="str">
            <v>PIT-120806</v>
          </cell>
          <cell r="BG2579" t="str">
            <v>Montado</v>
          </cell>
        </row>
        <row r="2580">
          <cell r="A2580" t="str">
            <v>PIT-120807</v>
          </cell>
          <cell r="BG2580" t="str">
            <v>Montado</v>
          </cell>
        </row>
        <row r="2581">
          <cell r="A2581" t="str">
            <v>PIT-120808</v>
          </cell>
          <cell r="BG2581" t="str">
            <v>Montado</v>
          </cell>
        </row>
        <row r="2582">
          <cell r="A2582" t="str">
            <v>PIT-120809</v>
          </cell>
          <cell r="BG2582" t="str">
            <v>Montado</v>
          </cell>
        </row>
        <row r="2583">
          <cell r="A2583" t="str">
            <v>PIT-120810</v>
          </cell>
          <cell r="BG2583" t="str">
            <v>Montado</v>
          </cell>
        </row>
        <row r="2584">
          <cell r="A2584" t="str">
            <v>PIT-120811</v>
          </cell>
          <cell r="BG2584" t="str">
            <v>Montado</v>
          </cell>
        </row>
        <row r="2585">
          <cell r="A2585" t="str">
            <v>PIT-120812</v>
          </cell>
          <cell r="BG2585" t="str">
            <v>Montado</v>
          </cell>
        </row>
        <row r="2586">
          <cell r="A2586" t="str">
            <v>PIT-120813</v>
          </cell>
          <cell r="BG2586" t="str">
            <v>Montado</v>
          </cell>
        </row>
        <row r="2587">
          <cell r="A2587" t="str">
            <v>PIT-120814</v>
          </cell>
          <cell r="BG2587" t="str">
            <v>Montado</v>
          </cell>
        </row>
        <row r="2588">
          <cell r="A2588" t="str">
            <v>PIT-120901</v>
          </cell>
          <cell r="BG2588" t="str">
            <v>Programar</v>
          </cell>
        </row>
        <row r="2589">
          <cell r="A2589" t="str">
            <v>PIT-120902</v>
          </cell>
          <cell r="BG2589" t="str">
            <v>Programar</v>
          </cell>
        </row>
        <row r="2590">
          <cell r="A2590" t="str">
            <v>PIT-120955</v>
          </cell>
          <cell r="BG2590" t="str">
            <v>Não Montado</v>
          </cell>
        </row>
        <row r="2591">
          <cell r="A2591" t="str">
            <v>PIT-120957</v>
          </cell>
          <cell r="BG2591" t="str">
            <v>Não Montado</v>
          </cell>
        </row>
        <row r="2592">
          <cell r="A2592" t="str">
            <v>PIT-120959</v>
          </cell>
          <cell r="BG2592" t="str">
            <v>Não Montado</v>
          </cell>
        </row>
        <row r="2593">
          <cell r="A2593" t="str">
            <v>PIT-120960</v>
          </cell>
          <cell r="BG2593" t="str">
            <v>Não Montado</v>
          </cell>
        </row>
        <row r="2594">
          <cell r="A2594" t="str">
            <v>PIT-120961</v>
          </cell>
          <cell r="BG2594" t="str">
            <v>Em programação</v>
          </cell>
        </row>
        <row r="2595">
          <cell r="A2595" t="str">
            <v>PIT-120964</v>
          </cell>
          <cell r="BG2595" t="str">
            <v>Não Montado</v>
          </cell>
        </row>
        <row r="2596">
          <cell r="A2596" t="str">
            <v>PIT-120965</v>
          </cell>
          <cell r="BG2596" t="str">
            <v>Não Montado</v>
          </cell>
        </row>
        <row r="2597">
          <cell r="A2597" t="str">
            <v>PIT-120967</v>
          </cell>
          <cell r="BG2597" t="str">
            <v>Não Montado</v>
          </cell>
        </row>
        <row r="2598">
          <cell r="A2598" t="str">
            <v>PIT-120968</v>
          </cell>
          <cell r="BG2598" t="str">
            <v>Não Montado</v>
          </cell>
        </row>
        <row r="2599">
          <cell r="A2599" t="str">
            <v>PIT-120977</v>
          </cell>
          <cell r="BG2599" t="str">
            <v>Programar</v>
          </cell>
        </row>
        <row r="2600">
          <cell r="A2600" t="str">
            <v>PIT-120979</v>
          </cell>
          <cell r="BG2600" t="str">
            <v>Programar</v>
          </cell>
        </row>
        <row r="2601">
          <cell r="A2601" t="str">
            <v>PIT-120981</v>
          </cell>
          <cell r="BG2601" t="str">
            <v>Em programação</v>
          </cell>
        </row>
        <row r="2602">
          <cell r="A2602" t="str">
            <v>PIT-120983</v>
          </cell>
          <cell r="BG2602" t="str">
            <v>Programar</v>
          </cell>
        </row>
        <row r="2603">
          <cell r="A2603" t="str">
            <v>PIT-120985</v>
          </cell>
          <cell r="BG2603" t="str">
            <v>Programar</v>
          </cell>
        </row>
        <row r="2604">
          <cell r="A2604" t="str">
            <v>PIT-120989</v>
          </cell>
          <cell r="BG2604" t="str">
            <v>Programar</v>
          </cell>
        </row>
        <row r="2605">
          <cell r="A2605" t="str">
            <v>PIT-120991</v>
          </cell>
          <cell r="BG2605" t="str">
            <v>Programar</v>
          </cell>
        </row>
        <row r="2606">
          <cell r="A2606" t="str">
            <v>PIT-121175</v>
          </cell>
          <cell r="BG2606" t="str">
            <v>Não Montado</v>
          </cell>
        </row>
        <row r="2607">
          <cell r="A2607" t="str">
            <v>PIT-121176</v>
          </cell>
          <cell r="BG2607" t="str">
            <v>Não Montado</v>
          </cell>
        </row>
        <row r="2608">
          <cell r="A2608" t="str">
            <v>PIT-121177</v>
          </cell>
          <cell r="BG2608" t="str">
            <v>Não Montado</v>
          </cell>
        </row>
        <row r="2609">
          <cell r="A2609" t="str">
            <v>PIT-121179</v>
          </cell>
          <cell r="BG2609" t="str">
            <v>Montado</v>
          </cell>
        </row>
        <row r="2610">
          <cell r="A2610" t="str">
            <v>PIT-121180</v>
          </cell>
          <cell r="BG2610" t="str">
            <v>Não Montado</v>
          </cell>
        </row>
        <row r="2611">
          <cell r="A2611" t="str">
            <v>PIT-121182</v>
          </cell>
          <cell r="BG2611" t="str">
            <v>Não Montado</v>
          </cell>
        </row>
        <row r="2612">
          <cell r="A2612" t="str">
            <v>PIT-121183</v>
          </cell>
          <cell r="BG2612" t="str">
            <v>Não Montado</v>
          </cell>
        </row>
        <row r="2613">
          <cell r="A2613" t="str">
            <v>PIT-121185</v>
          </cell>
          <cell r="BG2613" t="str">
            <v>Não Montado</v>
          </cell>
        </row>
        <row r="2614">
          <cell r="A2614" t="str">
            <v>PIT-121315A</v>
          </cell>
          <cell r="BG2614" t="str">
            <v>Não Montado</v>
          </cell>
        </row>
        <row r="2615">
          <cell r="A2615" t="str">
            <v>PIT-121315B</v>
          </cell>
          <cell r="BG2615" t="str">
            <v>Não Montado</v>
          </cell>
        </row>
        <row r="2616">
          <cell r="A2616" t="str">
            <v>PIT-121316A</v>
          </cell>
          <cell r="BG2616" t="str">
            <v>Não Montado</v>
          </cell>
        </row>
        <row r="2617">
          <cell r="A2617" t="str">
            <v>PIT-121316B</v>
          </cell>
          <cell r="BG2617" t="str">
            <v>Não Montado</v>
          </cell>
        </row>
        <row r="2618">
          <cell r="A2618" t="str">
            <v>PIT-121317</v>
          </cell>
          <cell r="BG2618" t="str">
            <v>Não Montado</v>
          </cell>
        </row>
        <row r="2619">
          <cell r="A2619" t="str">
            <v>PIT-121318</v>
          </cell>
          <cell r="BG2619" t="str">
            <v>Não Montado</v>
          </cell>
        </row>
        <row r="2620">
          <cell r="A2620" t="str">
            <v>PIT-121319</v>
          </cell>
          <cell r="BG2620" t="str">
            <v>Não Montado</v>
          </cell>
        </row>
        <row r="2621">
          <cell r="A2621" t="str">
            <v>PIT-121320</v>
          </cell>
          <cell r="BG2621" t="str">
            <v>Não Montado</v>
          </cell>
        </row>
        <row r="2622">
          <cell r="A2622" t="str">
            <v>PIT-121321A</v>
          </cell>
          <cell r="BG2622" t="str">
            <v>Programar</v>
          </cell>
        </row>
        <row r="2623">
          <cell r="A2623" t="str">
            <v>PIT-121321B</v>
          </cell>
          <cell r="BG2623" t="str">
            <v>Programar</v>
          </cell>
        </row>
        <row r="2624">
          <cell r="A2624" t="str">
            <v>PIT-121322</v>
          </cell>
          <cell r="BG2624" t="str">
            <v>Não Montado</v>
          </cell>
        </row>
        <row r="2625">
          <cell r="A2625" t="str">
            <v>PIT-121323</v>
          </cell>
          <cell r="BG2625" t="str">
            <v>Não Montado</v>
          </cell>
        </row>
        <row r="2626">
          <cell r="A2626" t="str">
            <v>PIT-121415A</v>
          </cell>
          <cell r="BG2626" t="str">
            <v>Não Montado</v>
          </cell>
        </row>
        <row r="2627">
          <cell r="A2627" t="str">
            <v>PIT-121415B</v>
          </cell>
          <cell r="BG2627" t="str">
            <v>Não Montado</v>
          </cell>
        </row>
        <row r="2628">
          <cell r="A2628" t="str">
            <v>PIT-121416A</v>
          </cell>
          <cell r="BG2628" t="str">
            <v>Não Montado</v>
          </cell>
        </row>
        <row r="2629">
          <cell r="A2629" t="str">
            <v>PIT-121416B</v>
          </cell>
          <cell r="BG2629" t="str">
            <v>Não Montado</v>
          </cell>
        </row>
        <row r="2630">
          <cell r="A2630" t="str">
            <v>PIT-121417</v>
          </cell>
          <cell r="BG2630" t="str">
            <v>Programar</v>
          </cell>
        </row>
        <row r="2631">
          <cell r="A2631" t="str">
            <v>PIT-121418</v>
          </cell>
          <cell r="BG2631" t="str">
            <v>Não Montado</v>
          </cell>
        </row>
        <row r="2632">
          <cell r="A2632" t="str">
            <v>PIT-121419</v>
          </cell>
          <cell r="BG2632" t="str">
            <v>Programar</v>
          </cell>
        </row>
        <row r="2633">
          <cell r="A2633" t="str">
            <v>PIT-121420</v>
          </cell>
          <cell r="BG2633" t="str">
            <v>Não Montado</v>
          </cell>
        </row>
        <row r="2634">
          <cell r="A2634" t="str">
            <v>PIT-121421A</v>
          </cell>
          <cell r="BG2634" t="str">
            <v>Programar</v>
          </cell>
        </row>
        <row r="2635">
          <cell r="A2635" t="str">
            <v>PIT-121421B</v>
          </cell>
          <cell r="BG2635" t="str">
            <v>Programar</v>
          </cell>
        </row>
        <row r="2636">
          <cell r="A2636" t="str">
            <v>PIT-121422</v>
          </cell>
          <cell r="BG2636" t="str">
            <v>Não Montado</v>
          </cell>
        </row>
        <row r="2637">
          <cell r="A2637" t="str">
            <v>PIT-121423</v>
          </cell>
          <cell r="BG2637" t="str">
            <v>Não Montado</v>
          </cell>
        </row>
        <row r="2638">
          <cell r="A2638" t="str">
            <v>PIT-122001</v>
          </cell>
          <cell r="BG2638" t="str">
            <v>Não Montado</v>
          </cell>
        </row>
        <row r="2639">
          <cell r="A2639" t="str">
            <v>PIT-122002</v>
          </cell>
          <cell r="BG2639" t="str">
            <v>Não Montado</v>
          </cell>
        </row>
        <row r="2640">
          <cell r="A2640" t="str">
            <v>PIT-122003</v>
          </cell>
          <cell r="BG2640" t="str">
            <v>Não Montado</v>
          </cell>
        </row>
        <row r="2641">
          <cell r="A2641" t="str">
            <v>PIT-122004</v>
          </cell>
          <cell r="BG2641" t="str">
            <v>Não Montado</v>
          </cell>
        </row>
        <row r="2642">
          <cell r="A2642" t="str">
            <v>PIT-122006</v>
          </cell>
          <cell r="BG2642" t="str">
            <v>Não Montado</v>
          </cell>
        </row>
        <row r="2643">
          <cell r="A2643" t="str">
            <v>PIT-122014</v>
          </cell>
          <cell r="BG2643" t="str">
            <v>Não Montado</v>
          </cell>
        </row>
        <row r="2644">
          <cell r="A2644" t="str">
            <v>PN-12-220</v>
          </cell>
          <cell r="BG2644" t="str">
            <v>Programar</v>
          </cell>
        </row>
        <row r="2645">
          <cell r="A2645" t="str">
            <v>PN-12-221</v>
          </cell>
          <cell r="BG2645" t="str">
            <v>Programar</v>
          </cell>
        </row>
        <row r="2646">
          <cell r="A2646" t="str">
            <v>PN-12-236</v>
          </cell>
          <cell r="BG2646" t="str">
            <v>Montado</v>
          </cell>
        </row>
        <row r="2647">
          <cell r="A2647" t="str">
            <v>PN-12-237</v>
          </cell>
          <cell r="BG2647" t="str">
            <v>Montado</v>
          </cell>
        </row>
        <row r="2648">
          <cell r="A2648" t="str">
            <v>PN-12-238</v>
          </cell>
          <cell r="BG2648" t="str">
            <v>Montado</v>
          </cell>
        </row>
        <row r="2649">
          <cell r="A2649" t="str">
            <v>PN-12-241</v>
          </cell>
          <cell r="BG2649" t="str">
            <v>Programar</v>
          </cell>
        </row>
        <row r="2650">
          <cell r="A2650" t="str">
            <v>PN-C-12001A</v>
          </cell>
          <cell r="BG2650" t="str">
            <v>Não Montado</v>
          </cell>
        </row>
        <row r="2651">
          <cell r="A2651" t="str">
            <v>PN-C-12001B</v>
          </cell>
          <cell r="BG2651" t="str">
            <v>Não Montado</v>
          </cell>
        </row>
        <row r="2652">
          <cell r="A2652" t="str">
            <v>PN-CE-12001</v>
          </cell>
          <cell r="BG2652" t="str">
            <v>Não Montado</v>
          </cell>
        </row>
        <row r="2653">
          <cell r="A2653" t="str">
            <v>PN-CE-12002</v>
          </cell>
          <cell r="BG2653" t="str">
            <v>Não Montado</v>
          </cell>
        </row>
        <row r="2654">
          <cell r="A2654" t="str">
            <v>PN-CE-12003</v>
          </cell>
          <cell r="BG2654" t="str">
            <v>Não Montado</v>
          </cell>
        </row>
        <row r="2655">
          <cell r="A2655" t="str">
            <v>PN-CFO-Z-12001</v>
          </cell>
          <cell r="BG2655" t="str">
            <v>Não Montado</v>
          </cell>
        </row>
        <row r="2656">
          <cell r="A2656" t="str">
            <v>PN-CFO-Z-12002</v>
          </cell>
          <cell r="BG2656" t="str">
            <v>Não Montado</v>
          </cell>
        </row>
        <row r="2657">
          <cell r="A2657" t="str">
            <v>PN-DGO-12001</v>
          </cell>
          <cell r="BG2657" t="str">
            <v>Não Montado</v>
          </cell>
        </row>
        <row r="2658">
          <cell r="A2658" t="str">
            <v>PN-F-12001A-01</v>
          </cell>
          <cell r="BG2658" t="str">
            <v>Não Montado</v>
          </cell>
        </row>
        <row r="2659">
          <cell r="A2659" t="str">
            <v>PN-F-12001A-02</v>
          </cell>
          <cell r="BG2659" t="str">
            <v>Não Montado</v>
          </cell>
        </row>
        <row r="2660">
          <cell r="A2660" t="str">
            <v>PN-F-12001A/B-03</v>
          </cell>
          <cell r="BG2660" t="str">
            <v>Não Montado</v>
          </cell>
        </row>
        <row r="2661">
          <cell r="A2661" t="str">
            <v>PN-F-12001A/B-04</v>
          </cell>
          <cell r="BG2661" t="str">
            <v>Não Montado</v>
          </cell>
        </row>
        <row r="2662">
          <cell r="A2662" t="str">
            <v>PN-F-12001A/B-05</v>
          </cell>
          <cell r="BG2662" t="str">
            <v>Não Montado</v>
          </cell>
        </row>
        <row r="2663">
          <cell r="A2663" t="str">
            <v>PN-F-12001B-01</v>
          </cell>
          <cell r="BG2663" t="str">
            <v>Não Montado</v>
          </cell>
        </row>
        <row r="2664">
          <cell r="A2664" t="str">
            <v>PN-F-12001B-02</v>
          </cell>
          <cell r="BG2664" t="str">
            <v>Não Montado</v>
          </cell>
        </row>
        <row r="2665">
          <cell r="A2665" t="str">
            <v>PN-TB-B-12001B</v>
          </cell>
          <cell r="BG2665" t="str">
            <v>Não Montado</v>
          </cell>
        </row>
        <row r="2666">
          <cell r="A2666" t="str">
            <v>PN-TB-B-12002C</v>
          </cell>
          <cell r="BG2666" t="str">
            <v>Não Montado</v>
          </cell>
        </row>
        <row r="2667">
          <cell r="A2667" t="str">
            <v>PN-TB-B-12005B</v>
          </cell>
          <cell r="BG2667" t="str">
            <v>Não Montado</v>
          </cell>
        </row>
        <row r="2668">
          <cell r="A2668" t="str">
            <v>PN-TB-B-12009B</v>
          </cell>
          <cell r="BG2668" t="str">
            <v>Não Montado</v>
          </cell>
        </row>
        <row r="2669">
          <cell r="A2669" t="str">
            <v>PN-TB-B-12016C</v>
          </cell>
          <cell r="BG2669" t="str">
            <v>Não Montado</v>
          </cell>
        </row>
        <row r="2670">
          <cell r="A2670" t="str">
            <v>PN-TB-B-UH-12002-01A</v>
          </cell>
          <cell r="BG2670" t="str">
            <v>Não Montado</v>
          </cell>
        </row>
        <row r="2671">
          <cell r="A2671" t="str">
            <v>PN-UR-12001A</v>
          </cell>
          <cell r="BG2671" t="str">
            <v>Não Montado</v>
          </cell>
        </row>
        <row r="2672">
          <cell r="A2672" t="str">
            <v>PN-UR-12001B</v>
          </cell>
          <cell r="BG2672" t="str">
            <v>Não Montado</v>
          </cell>
        </row>
        <row r="2673">
          <cell r="A2673" t="str">
            <v>PN-Z-12001</v>
          </cell>
          <cell r="BG2673" t="str">
            <v>Não Montado</v>
          </cell>
        </row>
        <row r="2674">
          <cell r="A2674" t="str">
            <v>PN-Z-12002</v>
          </cell>
          <cell r="BG2674" t="str">
            <v>Não Montado</v>
          </cell>
        </row>
        <row r="2675">
          <cell r="A2675" t="str">
            <v>PNI-120001</v>
          </cell>
          <cell r="BG2675" t="str">
            <v>Montado</v>
          </cell>
        </row>
        <row r="2676">
          <cell r="A2676" t="str">
            <v>PNI-120002</v>
          </cell>
          <cell r="BG2676" t="str">
            <v>Montado</v>
          </cell>
        </row>
        <row r="2677">
          <cell r="A2677" t="str">
            <v>PNI-120003</v>
          </cell>
          <cell r="BG2677" t="str">
            <v>Montado</v>
          </cell>
        </row>
        <row r="2678">
          <cell r="A2678" t="str">
            <v>PNI-120004</v>
          </cell>
          <cell r="BG2678" t="str">
            <v>Montado</v>
          </cell>
        </row>
        <row r="2679">
          <cell r="A2679" t="str">
            <v>PNI-120005</v>
          </cell>
          <cell r="BG2679" t="str">
            <v>Montado</v>
          </cell>
        </row>
        <row r="2680">
          <cell r="A2680" t="str">
            <v>PNI-120006</v>
          </cell>
          <cell r="BG2680" t="str">
            <v>Montado</v>
          </cell>
        </row>
        <row r="2681">
          <cell r="A2681" t="str">
            <v>PNI-120007</v>
          </cell>
          <cell r="BG2681" t="str">
            <v>Montado</v>
          </cell>
        </row>
        <row r="2682">
          <cell r="A2682" t="str">
            <v>PNI-120008</v>
          </cell>
          <cell r="BG2682" t="str">
            <v>Montado</v>
          </cell>
        </row>
        <row r="2683">
          <cell r="A2683" t="str">
            <v>PRV-121301</v>
          </cell>
          <cell r="BG2683" t="str">
            <v>Não Montado</v>
          </cell>
        </row>
        <row r="2684">
          <cell r="A2684" t="str">
            <v>PRV-121302</v>
          </cell>
          <cell r="BG2684" t="str">
            <v>Não Montado</v>
          </cell>
        </row>
        <row r="2685">
          <cell r="A2685" t="str">
            <v>PRV-121401</v>
          </cell>
          <cell r="BG2685" t="str">
            <v>Não Montado</v>
          </cell>
        </row>
        <row r="2686">
          <cell r="A2686" t="str">
            <v>PRV-121402</v>
          </cell>
          <cell r="BG2686" t="str">
            <v>Não Montado</v>
          </cell>
        </row>
        <row r="2687">
          <cell r="A2687" t="str">
            <v>PSL-121504</v>
          </cell>
          <cell r="BG2687" t="str">
            <v>Não Montado</v>
          </cell>
        </row>
        <row r="2688">
          <cell r="A2688" t="str">
            <v>PSL-121524</v>
          </cell>
          <cell r="BG2688" t="str">
            <v>Não Montado</v>
          </cell>
        </row>
        <row r="2689">
          <cell r="A2689" t="str">
            <v>PSV-120001</v>
          </cell>
          <cell r="BG2689" t="str">
            <v>Não Montado</v>
          </cell>
        </row>
        <row r="2690">
          <cell r="A2690" t="str">
            <v>PSV-120002</v>
          </cell>
          <cell r="BG2690" t="str">
            <v>Não Montado</v>
          </cell>
        </row>
        <row r="2691">
          <cell r="A2691" t="str">
            <v>PSV-120003A</v>
          </cell>
          <cell r="BG2691" t="str">
            <v>Não Montado</v>
          </cell>
        </row>
        <row r="2692">
          <cell r="A2692" t="str">
            <v>PSV-120003B</v>
          </cell>
          <cell r="BG2692" t="str">
            <v>Não Montado</v>
          </cell>
        </row>
        <row r="2693">
          <cell r="A2693" t="str">
            <v>PSV-120004A</v>
          </cell>
          <cell r="BG2693" t="str">
            <v>Não Montado</v>
          </cell>
        </row>
        <row r="2694">
          <cell r="A2694" t="str">
            <v>PSV-120004B</v>
          </cell>
          <cell r="BG2694" t="str">
            <v>Não Montado</v>
          </cell>
        </row>
        <row r="2695">
          <cell r="A2695" t="str">
            <v>PSV-120005A</v>
          </cell>
          <cell r="BG2695" t="str">
            <v>Não Montado</v>
          </cell>
        </row>
        <row r="2696">
          <cell r="A2696" t="str">
            <v>PSV-120005B</v>
          </cell>
          <cell r="BG2696" t="str">
            <v>Não Montado</v>
          </cell>
        </row>
        <row r="2697">
          <cell r="A2697" t="str">
            <v>PSV-120006A</v>
          </cell>
          <cell r="BG2697" t="str">
            <v>Não Montado</v>
          </cell>
        </row>
        <row r="2698">
          <cell r="A2698" t="str">
            <v>PSV-120006B</v>
          </cell>
          <cell r="BG2698" t="str">
            <v>Não Montado</v>
          </cell>
        </row>
        <row r="2699">
          <cell r="A2699" t="str">
            <v>PSV-120007</v>
          </cell>
          <cell r="BG2699" t="str">
            <v>Não Montado</v>
          </cell>
        </row>
        <row r="2700">
          <cell r="A2700" t="str">
            <v>PSV-120008</v>
          </cell>
          <cell r="BG2700" t="str">
            <v>Não Montado</v>
          </cell>
        </row>
        <row r="2701">
          <cell r="A2701" t="str">
            <v>PSV-120009</v>
          </cell>
          <cell r="BG2701" t="str">
            <v>Não Montado</v>
          </cell>
        </row>
        <row r="2702">
          <cell r="A2702" t="str">
            <v>PSV-120010</v>
          </cell>
          <cell r="BG2702" t="str">
            <v>Não Montado</v>
          </cell>
        </row>
        <row r="2703">
          <cell r="A2703" t="str">
            <v>PSV-120011</v>
          </cell>
          <cell r="BG2703" t="str">
            <v>Não Montado</v>
          </cell>
        </row>
        <row r="2704">
          <cell r="A2704" t="str">
            <v>PSV-120012</v>
          </cell>
          <cell r="BG2704" t="str">
            <v>Não Montado</v>
          </cell>
        </row>
        <row r="2705">
          <cell r="A2705" t="str">
            <v>PSV-120013</v>
          </cell>
          <cell r="BG2705" t="str">
            <v>Não Montado</v>
          </cell>
        </row>
        <row r="2706">
          <cell r="A2706" t="str">
            <v>PSV-120014</v>
          </cell>
          <cell r="BG2706" t="str">
            <v>Não Montado</v>
          </cell>
        </row>
        <row r="2707">
          <cell r="A2707" t="str">
            <v>PSV-120015</v>
          </cell>
          <cell r="BG2707" t="str">
            <v>Não Montado</v>
          </cell>
        </row>
        <row r="2708">
          <cell r="A2708" t="str">
            <v>PSV-120016</v>
          </cell>
          <cell r="BG2708" t="str">
            <v>Não Montado</v>
          </cell>
        </row>
        <row r="2709">
          <cell r="A2709" t="str">
            <v>PSV-120017</v>
          </cell>
          <cell r="BG2709" t="str">
            <v>Não Montado</v>
          </cell>
        </row>
        <row r="2710">
          <cell r="A2710" t="str">
            <v>PSV-120018</v>
          </cell>
          <cell r="BG2710" t="str">
            <v>Não Montado</v>
          </cell>
        </row>
        <row r="2711">
          <cell r="A2711" t="str">
            <v>PSV-120019</v>
          </cell>
          <cell r="BG2711" t="str">
            <v>Não Montado</v>
          </cell>
        </row>
        <row r="2712">
          <cell r="A2712" t="str">
            <v>PSV-120020</v>
          </cell>
          <cell r="BG2712" t="str">
            <v>Não Montado</v>
          </cell>
        </row>
        <row r="2713">
          <cell r="A2713" t="str">
            <v>PSV-120021</v>
          </cell>
          <cell r="BG2713" t="str">
            <v>Não Montado</v>
          </cell>
        </row>
        <row r="2714">
          <cell r="A2714" t="str">
            <v>PSV-120022</v>
          </cell>
          <cell r="BG2714" t="str">
            <v>Não Montado</v>
          </cell>
        </row>
        <row r="2715">
          <cell r="A2715" t="str">
            <v>PSV-120023</v>
          </cell>
          <cell r="BG2715" t="str">
            <v>Não Montado</v>
          </cell>
        </row>
        <row r="2716">
          <cell r="A2716" t="str">
            <v>PSV-120024</v>
          </cell>
          <cell r="BG2716" t="str">
            <v>Não Montado</v>
          </cell>
        </row>
        <row r="2717">
          <cell r="A2717" t="str">
            <v>PSV-120025A</v>
          </cell>
          <cell r="BG2717" t="str">
            <v>Não Montado</v>
          </cell>
        </row>
        <row r="2718">
          <cell r="A2718" t="str">
            <v>PSV-120025B</v>
          </cell>
          <cell r="BG2718" t="str">
            <v>Não Montado</v>
          </cell>
        </row>
        <row r="2719">
          <cell r="A2719" t="str">
            <v>PSV-120025C</v>
          </cell>
          <cell r="BG2719" t="str">
            <v>Não Montado</v>
          </cell>
        </row>
        <row r="2720">
          <cell r="A2720" t="str">
            <v>PSV-120025D</v>
          </cell>
          <cell r="BG2720" t="str">
            <v>Não Montado</v>
          </cell>
        </row>
        <row r="2721">
          <cell r="A2721" t="str">
            <v>PSV-120025E</v>
          </cell>
          <cell r="BG2721" t="str">
            <v>Não Montado</v>
          </cell>
        </row>
        <row r="2722">
          <cell r="A2722" t="str">
            <v>PSV-120026A</v>
          </cell>
          <cell r="BG2722" t="str">
            <v>Não Montado</v>
          </cell>
        </row>
        <row r="2723">
          <cell r="A2723" t="str">
            <v>PSV-120026B</v>
          </cell>
          <cell r="BG2723" t="str">
            <v>Não Montado</v>
          </cell>
        </row>
        <row r="2724">
          <cell r="A2724" t="str">
            <v>PSV-120026C</v>
          </cell>
          <cell r="BG2724" t="str">
            <v>Não Montado</v>
          </cell>
        </row>
        <row r="2725">
          <cell r="A2725" t="str">
            <v>PSV-120027A</v>
          </cell>
          <cell r="BG2725" t="str">
            <v>Não Montado</v>
          </cell>
        </row>
        <row r="2726">
          <cell r="A2726" t="str">
            <v>PSV-120027B</v>
          </cell>
          <cell r="BG2726" t="str">
            <v>Não Montado</v>
          </cell>
        </row>
        <row r="2727">
          <cell r="A2727" t="str">
            <v>PSV-120027C</v>
          </cell>
          <cell r="BG2727" t="str">
            <v>Não Montado</v>
          </cell>
        </row>
        <row r="2728">
          <cell r="A2728" t="str">
            <v>PSV-120028</v>
          </cell>
          <cell r="BG2728" t="str">
            <v>Não Montado</v>
          </cell>
        </row>
        <row r="2729">
          <cell r="A2729" t="str">
            <v>PSV-120029A</v>
          </cell>
          <cell r="BG2729" t="str">
            <v>Não Montado</v>
          </cell>
        </row>
        <row r="2730">
          <cell r="A2730" t="str">
            <v>PSV-120029B</v>
          </cell>
          <cell r="BG2730" t="str">
            <v>Não Montado</v>
          </cell>
        </row>
        <row r="2731">
          <cell r="A2731" t="str">
            <v>PSV-120030A</v>
          </cell>
          <cell r="BG2731" t="str">
            <v>Não Montado</v>
          </cell>
        </row>
        <row r="2732">
          <cell r="A2732" t="str">
            <v>PSV-120030B</v>
          </cell>
          <cell r="BG2732" t="str">
            <v>Não Montado</v>
          </cell>
        </row>
        <row r="2733">
          <cell r="A2733" t="str">
            <v>PSV-120031</v>
          </cell>
          <cell r="BG2733" t="str">
            <v>Não Montado</v>
          </cell>
        </row>
        <row r="2734">
          <cell r="A2734" t="str">
            <v>PSV-120032</v>
          </cell>
          <cell r="BG2734" t="str">
            <v>Não Montado</v>
          </cell>
        </row>
        <row r="2735">
          <cell r="A2735" t="str">
            <v>PSV-120033</v>
          </cell>
          <cell r="BG2735" t="str">
            <v>Não Montado</v>
          </cell>
        </row>
        <row r="2736">
          <cell r="A2736" t="str">
            <v>PSV-120034</v>
          </cell>
          <cell r="BG2736" t="str">
            <v>Não Montado</v>
          </cell>
        </row>
        <row r="2737">
          <cell r="A2737" t="str">
            <v>PSV-120035</v>
          </cell>
          <cell r="BG2737" t="str">
            <v>Não Montado</v>
          </cell>
        </row>
        <row r="2738">
          <cell r="A2738" t="str">
            <v>PSV-120036</v>
          </cell>
          <cell r="BG2738" t="str">
            <v>Não Montado</v>
          </cell>
        </row>
        <row r="2739">
          <cell r="A2739" t="str">
            <v>PSV-120037</v>
          </cell>
          <cell r="BG2739" t="str">
            <v>Não Montado</v>
          </cell>
        </row>
        <row r="2740">
          <cell r="A2740" t="str">
            <v>PSV-120038</v>
          </cell>
          <cell r="BG2740" t="str">
            <v>Não Montado</v>
          </cell>
        </row>
        <row r="2741">
          <cell r="A2741" t="str">
            <v>PSV-120039</v>
          </cell>
          <cell r="BG2741" t="str">
            <v>Não Montado</v>
          </cell>
        </row>
        <row r="2742">
          <cell r="A2742" t="str">
            <v>PSV-12003A</v>
          </cell>
          <cell r="BG2742" t="str">
            <v>Não Montado</v>
          </cell>
        </row>
        <row r="2743">
          <cell r="A2743" t="str">
            <v>PSV-12003B</v>
          </cell>
          <cell r="BG2743" t="str">
            <v>Não Montado</v>
          </cell>
        </row>
        <row r="2744">
          <cell r="A2744" t="str">
            <v>PSV-120040</v>
          </cell>
          <cell r="BG2744" t="str">
            <v>Não Montado</v>
          </cell>
        </row>
        <row r="2745">
          <cell r="A2745" t="str">
            <v>PSV-120041</v>
          </cell>
          <cell r="BG2745" t="str">
            <v>Não Montado</v>
          </cell>
        </row>
        <row r="2746">
          <cell r="A2746" t="str">
            <v>PSV-120042</v>
          </cell>
          <cell r="BG2746" t="str">
            <v>Não Montado</v>
          </cell>
        </row>
        <row r="2747">
          <cell r="A2747" t="str">
            <v>PSV-120043</v>
          </cell>
          <cell r="BG2747" t="str">
            <v>Não Montado</v>
          </cell>
        </row>
        <row r="2748">
          <cell r="A2748" t="str">
            <v>PSV-120044</v>
          </cell>
          <cell r="BG2748" t="str">
            <v>Não Montado</v>
          </cell>
        </row>
        <row r="2749">
          <cell r="A2749" t="str">
            <v>PSV-120045</v>
          </cell>
          <cell r="BG2749" t="str">
            <v>Não Montado</v>
          </cell>
        </row>
        <row r="2750">
          <cell r="A2750" t="str">
            <v>PSV-120046</v>
          </cell>
          <cell r="BG2750" t="str">
            <v>Não Montado</v>
          </cell>
        </row>
        <row r="2751">
          <cell r="A2751" t="str">
            <v>PSV-120047</v>
          </cell>
          <cell r="BG2751" t="str">
            <v>Não Montado</v>
          </cell>
        </row>
        <row r="2752">
          <cell r="A2752" t="str">
            <v>PSV-120048</v>
          </cell>
          <cell r="BG2752" t="str">
            <v>Não Montado</v>
          </cell>
        </row>
        <row r="2753">
          <cell r="A2753" t="str">
            <v>PSV-120049</v>
          </cell>
          <cell r="BG2753" t="str">
            <v>Não Montado</v>
          </cell>
        </row>
        <row r="2754">
          <cell r="A2754" t="str">
            <v>PSV-12004A</v>
          </cell>
          <cell r="BG2754" t="str">
            <v>Não Montado</v>
          </cell>
        </row>
        <row r="2755">
          <cell r="A2755" t="str">
            <v>PSV-12004B</v>
          </cell>
          <cell r="BG2755" t="str">
            <v>Não Montado</v>
          </cell>
        </row>
        <row r="2756">
          <cell r="A2756" t="str">
            <v>PSV-120050</v>
          </cell>
          <cell r="BG2756" t="str">
            <v>Não Montado</v>
          </cell>
        </row>
        <row r="2757">
          <cell r="A2757" t="str">
            <v>PSV-120051</v>
          </cell>
          <cell r="BG2757" t="str">
            <v>Não Montado</v>
          </cell>
        </row>
        <row r="2758">
          <cell r="A2758" t="str">
            <v>PSV-120052</v>
          </cell>
          <cell r="BG2758" t="str">
            <v>Não Montado</v>
          </cell>
        </row>
        <row r="2759">
          <cell r="A2759" t="str">
            <v>PSV-120053</v>
          </cell>
          <cell r="BG2759" t="str">
            <v>Não Montado</v>
          </cell>
        </row>
        <row r="2760">
          <cell r="A2760" t="str">
            <v>PSV-120054</v>
          </cell>
          <cell r="BG2760" t="str">
            <v>Não Montado</v>
          </cell>
        </row>
        <row r="2761">
          <cell r="A2761" t="str">
            <v>PSV-120055</v>
          </cell>
          <cell r="BG2761" t="str">
            <v>Não Montado</v>
          </cell>
        </row>
        <row r="2762">
          <cell r="A2762" t="str">
            <v>PSV-120056</v>
          </cell>
          <cell r="BG2762" t="str">
            <v>Não Montado</v>
          </cell>
        </row>
        <row r="2763">
          <cell r="A2763" t="str">
            <v>PSV-120057</v>
          </cell>
          <cell r="BG2763" t="str">
            <v>Não Montado</v>
          </cell>
        </row>
        <row r="2764">
          <cell r="A2764" t="str">
            <v>PSV-120058</v>
          </cell>
          <cell r="BG2764" t="str">
            <v>Não Montado</v>
          </cell>
        </row>
        <row r="2765">
          <cell r="A2765" t="str">
            <v>PSV-120059A</v>
          </cell>
          <cell r="BG2765" t="str">
            <v>Não Montado</v>
          </cell>
        </row>
        <row r="2766">
          <cell r="A2766" t="str">
            <v>PSV-120059B</v>
          </cell>
          <cell r="BG2766" t="str">
            <v>Não Montado</v>
          </cell>
        </row>
        <row r="2767">
          <cell r="A2767" t="str">
            <v>PSV-12005A</v>
          </cell>
          <cell r="BG2767" t="str">
            <v>Não Montado</v>
          </cell>
        </row>
        <row r="2768">
          <cell r="A2768" t="str">
            <v>PSV-12005B</v>
          </cell>
          <cell r="BG2768" t="str">
            <v>Não Montado</v>
          </cell>
        </row>
        <row r="2769">
          <cell r="A2769" t="str">
            <v>PSV-120060</v>
          </cell>
          <cell r="BG2769" t="str">
            <v>Não Montado</v>
          </cell>
        </row>
        <row r="2770">
          <cell r="A2770" t="str">
            <v>PSV-120061</v>
          </cell>
          <cell r="BG2770" t="str">
            <v>Não Montado</v>
          </cell>
        </row>
        <row r="2771">
          <cell r="A2771" t="str">
            <v>PSV-120062</v>
          </cell>
          <cell r="BG2771" t="str">
            <v>Não Montado</v>
          </cell>
        </row>
        <row r="2772">
          <cell r="A2772" t="str">
            <v>PSV-120063</v>
          </cell>
          <cell r="BG2772" t="str">
            <v>Não Montado</v>
          </cell>
        </row>
        <row r="2773">
          <cell r="A2773" t="str">
            <v>PSV-120064</v>
          </cell>
          <cell r="BG2773" t="str">
            <v>Não Montado</v>
          </cell>
        </row>
        <row r="2774">
          <cell r="A2774" t="str">
            <v>PSV-120065</v>
          </cell>
          <cell r="BG2774" t="str">
            <v>Não Montado</v>
          </cell>
        </row>
        <row r="2775">
          <cell r="A2775" t="str">
            <v>PSV-120066</v>
          </cell>
          <cell r="BG2775" t="str">
            <v>Não Montado</v>
          </cell>
        </row>
        <row r="2776">
          <cell r="A2776" t="str">
            <v>PSV-120067</v>
          </cell>
          <cell r="BG2776" t="str">
            <v>Não Montado</v>
          </cell>
        </row>
        <row r="2777">
          <cell r="A2777" t="str">
            <v>PSV-120068</v>
          </cell>
          <cell r="BG2777" t="str">
            <v>Não Montado</v>
          </cell>
        </row>
        <row r="2778">
          <cell r="A2778" t="str">
            <v>PSV-120069</v>
          </cell>
          <cell r="BG2778" t="str">
            <v>Não Montado</v>
          </cell>
        </row>
        <row r="2779">
          <cell r="A2779" t="str">
            <v>PSV-12006A</v>
          </cell>
          <cell r="BG2779" t="str">
            <v>Não Montado</v>
          </cell>
        </row>
        <row r="2780">
          <cell r="A2780" t="str">
            <v>PSV-12006B</v>
          </cell>
          <cell r="BG2780" t="str">
            <v>Não Montado</v>
          </cell>
        </row>
        <row r="2781">
          <cell r="A2781" t="str">
            <v>PSV-120070</v>
          </cell>
          <cell r="BG2781" t="str">
            <v>Não Montado</v>
          </cell>
        </row>
        <row r="2782">
          <cell r="A2782" t="str">
            <v>PSV-120071</v>
          </cell>
          <cell r="BG2782" t="str">
            <v>Não Montado</v>
          </cell>
        </row>
        <row r="2783">
          <cell r="A2783" t="str">
            <v>PSV-120072</v>
          </cell>
          <cell r="BG2783" t="str">
            <v>Não Montado</v>
          </cell>
        </row>
        <row r="2784">
          <cell r="A2784" t="str">
            <v>PSV-120073</v>
          </cell>
          <cell r="BG2784" t="str">
            <v>Não Montado</v>
          </cell>
        </row>
        <row r="2785">
          <cell r="A2785" t="str">
            <v>PSV-120074</v>
          </cell>
          <cell r="BG2785" t="str">
            <v>Não Montado</v>
          </cell>
        </row>
        <row r="2786">
          <cell r="A2786" t="str">
            <v>PSV-120075</v>
          </cell>
          <cell r="BG2786" t="str">
            <v>Não Montado</v>
          </cell>
        </row>
        <row r="2787">
          <cell r="A2787" t="str">
            <v>PSV-120076</v>
          </cell>
          <cell r="BG2787" t="str">
            <v>Não Montado</v>
          </cell>
        </row>
        <row r="2788">
          <cell r="A2788" t="str">
            <v>PSV-120077</v>
          </cell>
          <cell r="BG2788" t="str">
            <v>Não Montado</v>
          </cell>
        </row>
        <row r="2789">
          <cell r="A2789" t="str">
            <v>PSV-120078</v>
          </cell>
          <cell r="BG2789" t="str">
            <v>Não Montado</v>
          </cell>
        </row>
        <row r="2790">
          <cell r="A2790" t="str">
            <v>PSV-120079</v>
          </cell>
          <cell r="BG2790" t="str">
            <v>Não Montado</v>
          </cell>
        </row>
        <row r="2791">
          <cell r="A2791" t="str">
            <v>PSV-120080A</v>
          </cell>
          <cell r="BG2791" t="str">
            <v>Não Montado</v>
          </cell>
        </row>
        <row r="2792">
          <cell r="A2792" t="str">
            <v>PSV-120080B</v>
          </cell>
          <cell r="BG2792" t="str">
            <v>Não Montado</v>
          </cell>
        </row>
        <row r="2793">
          <cell r="A2793" t="str">
            <v>PSV-120081</v>
          </cell>
          <cell r="BG2793" t="str">
            <v>Não Montado</v>
          </cell>
        </row>
        <row r="2794">
          <cell r="A2794" t="str">
            <v>PSV-120082</v>
          </cell>
          <cell r="BG2794" t="str">
            <v>Não Montado</v>
          </cell>
        </row>
        <row r="2795">
          <cell r="A2795" t="str">
            <v>PSV-120083</v>
          </cell>
          <cell r="BG2795" t="str">
            <v>Não Montado</v>
          </cell>
        </row>
        <row r="2796">
          <cell r="A2796" t="str">
            <v>PSV-120084</v>
          </cell>
          <cell r="BG2796" t="str">
            <v>Não Montado</v>
          </cell>
        </row>
        <row r="2797">
          <cell r="A2797" t="str">
            <v>PSV-120085</v>
          </cell>
          <cell r="BG2797" t="str">
            <v>Não Montado</v>
          </cell>
        </row>
        <row r="2798">
          <cell r="A2798" t="str">
            <v>PSV-120086</v>
          </cell>
          <cell r="BG2798" t="str">
            <v>Não Montado</v>
          </cell>
        </row>
        <row r="2799">
          <cell r="A2799" t="str">
            <v>PSV-120087</v>
          </cell>
          <cell r="BG2799" t="str">
            <v>Não Montado</v>
          </cell>
        </row>
        <row r="2800">
          <cell r="A2800" t="str">
            <v>PSV-120088</v>
          </cell>
          <cell r="BG2800" t="str">
            <v>Não Montado</v>
          </cell>
        </row>
        <row r="2801">
          <cell r="A2801" t="str">
            <v>PSV-120089</v>
          </cell>
          <cell r="BG2801" t="str">
            <v>Não Montado</v>
          </cell>
        </row>
        <row r="2802">
          <cell r="A2802" t="str">
            <v>PSV-120090</v>
          </cell>
          <cell r="BG2802" t="str">
            <v>Não Montado</v>
          </cell>
        </row>
        <row r="2803">
          <cell r="A2803" t="str">
            <v>PSV-120091</v>
          </cell>
          <cell r="BG2803" t="str">
            <v>Não Montado</v>
          </cell>
        </row>
        <row r="2804">
          <cell r="A2804" t="str">
            <v>PSV-120092</v>
          </cell>
          <cell r="BG2804" t="str">
            <v>Não Montado</v>
          </cell>
        </row>
        <row r="2805">
          <cell r="A2805" t="str">
            <v>PSV-120093</v>
          </cell>
          <cell r="BG2805" t="str">
            <v>Não Montado</v>
          </cell>
        </row>
        <row r="2806">
          <cell r="A2806" t="str">
            <v>PSV-120094</v>
          </cell>
          <cell r="BG2806" t="str">
            <v>Não Montado</v>
          </cell>
        </row>
        <row r="2807">
          <cell r="A2807" t="str">
            <v>PSV-120095</v>
          </cell>
          <cell r="BG2807" t="str">
            <v>Não Montado</v>
          </cell>
        </row>
        <row r="2808">
          <cell r="A2808" t="str">
            <v>PSV-120096</v>
          </cell>
          <cell r="BG2808" t="str">
            <v>Não Montado</v>
          </cell>
        </row>
        <row r="2809">
          <cell r="A2809" t="str">
            <v>PSV-120096A</v>
          </cell>
          <cell r="BG2809" t="str">
            <v>Não Montado</v>
          </cell>
        </row>
        <row r="2810">
          <cell r="A2810" t="str">
            <v>PSV-120097</v>
          </cell>
          <cell r="BG2810" t="str">
            <v>Não Montado</v>
          </cell>
        </row>
        <row r="2811">
          <cell r="A2811" t="str">
            <v>PSV-120100</v>
          </cell>
          <cell r="BG2811" t="str">
            <v>Não Montado</v>
          </cell>
        </row>
        <row r="2812">
          <cell r="A2812" t="str">
            <v>PSV-120101</v>
          </cell>
          <cell r="BG2812" t="str">
            <v>Não Montado</v>
          </cell>
        </row>
        <row r="2813">
          <cell r="A2813" t="str">
            <v>PSV-120102</v>
          </cell>
          <cell r="BG2813" t="str">
            <v>Não Montado</v>
          </cell>
        </row>
        <row r="2814">
          <cell r="A2814" t="str">
            <v>PSV-120103</v>
          </cell>
          <cell r="BG2814" t="str">
            <v>Não Montado</v>
          </cell>
        </row>
        <row r="2815">
          <cell r="A2815" t="str">
            <v>PSV-120104</v>
          </cell>
          <cell r="BG2815" t="str">
            <v>Não Montado</v>
          </cell>
        </row>
        <row r="2816">
          <cell r="A2816" t="str">
            <v>PSV-120105</v>
          </cell>
          <cell r="BG2816" t="str">
            <v>Não Montado</v>
          </cell>
        </row>
        <row r="2817">
          <cell r="A2817" t="str">
            <v>PSV-120106A</v>
          </cell>
          <cell r="BG2817" t="str">
            <v>Não Montado</v>
          </cell>
        </row>
        <row r="2818">
          <cell r="A2818" t="str">
            <v>PSV-120106B</v>
          </cell>
          <cell r="BG2818" t="str">
            <v>Não Montado</v>
          </cell>
        </row>
        <row r="2819">
          <cell r="A2819" t="str">
            <v>PSV-120107A</v>
          </cell>
          <cell r="BG2819" t="str">
            <v>Não Montado</v>
          </cell>
        </row>
        <row r="2820">
          <cell r="A2820" t="str">
            <v>PSV-120107B</v>
          </cell>
          <cell r="BG2820" t="str">
            <v>Não Montado</v>
          </cell>
        </row>
        <row r="2821">
          <cell r="A2821" t="str">
            <v>PSV-120108</v>
          </cell>
          <cell r="BG2821" t="str">
            <v>Não Montado</v>
          </cell>
        </row>
        <row r="2822">
          <cell r="A2822" t="str">
            <v>PSV-120109</v>
          </cell>
          <cell r="BG2822" t="str">
            <v>Não Montado</v>
          </cell>
        </row>
        <row r="2823">
          <cell r="A2823" t="str">
            <v>PSV-120110</v>
          </cell>
          <cell r="BG2823" t="str">
            <v>Não Montado</v>
          </cell>
        </row>
        <row r="2824">
          <cell r="A2824" t="str">
            <v>PSV-120111</v>
          </cell>
          <cell r="BG2824" t="str">
            <v>Não Montado</v>
          </cell>
        </row>
        <row r="2825">
          <cell r="A2825" t="str">
            <v>PSV-120112</v>
          </cell>
          <cell r="BG2825" t="str">
            <v>Não Montado</v>
          </cell>
        </row>
        <row r="2826">
          <cell r="A2826" t="str">
            <v>PSV-120113</v>
          </cell>
          <cell r="BG2826" t="str">
            <v>Não Montado</v>
          </cell>
        </row>
        <row r="2827">
          <cell r="A2827" t="str">
            <v>PSV-120114</v>
          </cell>
          <cell r="BG2827" t="str">
            <v>Não Montado</v>
          </cell>
        </row>
        <row r="2828">
          <cell r="A2828" t="str">
            <v>PSV-120115</v>
          </cell>
          <cell r="BG2828" t="str">
            <v>Não Montado</v>
          </cell>
        </row>
        <row r="2829">
          <cell r="A2829" t="str">
            <v>PSV-120116</v>
          </cell>
          <cell r="BG2829" t="str">
            <v>Não Montado</v>
          </cell>
        </row>
        <row r="2830">
          <cell r="A2830" t="str">
            <v>PSV-120117</v>
          </cell>
          <cell r="BG2830" t="str">
            <v>Não Montado</v>
          </cell>
        </row>
        <row r="2831">
          <cell r="A2831" t="str">
            <v>PSV-120250</v>
          </cell>
          <cell r="BG2831" t="str">
            <v>Não Montado</v>
          </cell>
        </row>
        <row r="2832">
          <cell r="A2832" t="str">
            <v>PSV-120491</v>
          </cell>
          <cell r="BG2832" t="str">
            <v>Não Montado</v>
          </cell>
        </row>
        <row r="2833">
          <cell r="A2833" t="str">
            <v>PSV-120600A</v>
          </cell>
          <cell r="BG2833" t="str">
            <v>Não Montado</v>
          </cell>
        </row>
        <row r="2834">
          <cell r="A2834" t="str">
            <v>PSV-120600B</v>
          </cell>
          <cell r="BG2834" t="str">
            <v>Não Montado</v>
          </cell>
        </row>
        <row r="2835">
          <cell r="A2835" t="str">
            <v>PSV-120602</v>
          </cell>
          <cell r="BG2835" t="str">
            <v>Não Montado</v>
          </cell>
        </row>
        <row r="2836">
          <cell r="A2836" t="str">
            <v>PSV-120603</v>
          </cell>
          <cell r="BG2836" t="str">
            <v>Não Montado</v>
          </cell>
        </row>
        <row r="2837">
          <cell r="A2837" t="str">
            <v>PSV-120604</v>
          </cell>
          <cell r="BG2837" t="str">
            <v>Não Montado</v>
          </cell>
        </row>
        <row r="2838">
          <cell r="A2838" t="str">
            <v>PSV-120605</v>
          </cell>
          <cell r="BG2838" t="str">
            <v>Não Montado</v>
          </cell>
        </row>
        <row r="2839">
          <cell r="A2839" t="str">
            <v>PSV-120606</v>
          </cell>
          <cell r="BG2839" t="str">
            <v>Não Montado</v>
          </cell>
        </row>
        <row r="2840">
          <cell r="A2840" t="str">
            <v>PSV-120800</v>
          </cell>
          <cell r="BG2840" t="str">
            <v>Não Montado</v>
          </cell>
        </row>
        <row r="2841">
          <cell r="A2841" t="str">
            <v>PSV-120801</v>
          </cell>
          <cell r="BG2841" t="str">
            <v>Não Montado</v>
          </cell>
        </row>
        <row r="2842">
          <cell r="A2842" t="str">
            <v>PSV-120802</v>
          </cell>
          <cell r="BG2842" t="str">
            <v>Não Montado</v>
          </cell>
        </row>
        <row r="2843">
          <cell r="A2843" t="str">
            <v>PSV-120803</v>
          </cell>
          <cell r="BG2843" t="str">
            <v>Não Montado</v>
          </cell>
        </row>
        <row r="2844">
          <cell r="A2844" t="str">
            <v>PSV-120804</v>
          </cell>
          <cell r="BG2844" t="str">
            <v>Não Montado</v>
          </cell>
        </row>
        <row r="2845">
          <cell r="A2845" t="str">
            <v>PSV-120805</v>
          </cell>
          <cell r="BG2845" t="str">
            <v>Não Montado</v>
          </cell>
        </row>
        <row r="2846">
          <cell r="A2846" t="str">
            <v>PSV-120806</v>
          </cell>
          <cell r="BG2846" t="str">
            <v>Não Montado</v>
          </cell>
        </row>
        <row r="2847">
          <cell r="A2847" t="str">
            <v>PSV-120807</v>
          </cell>
          <cell r="BG2847" t="str">
            <v>Não Montado</v>
          </cell>
        </row>
        <row r="2848">
          <cell r="A2848" t="str">
            <v>PSV-120808</v>
          </cell>
          <cell r="BG2848" t="str">
            <v>Não Montado</v>
          </cell>
        </row>
        <row r="2849">
          <cell r="A2849" t="str">
            <v>PSV-120809</v>
          </cell>
          <cell r="BG2849" t="str">
            <v>Não Montado</v>
          </cell>
        </row>
        <row r="2850">
          <cell r="A2850" t="str">
            <v>PSV-120810</v>
          </cell>
          <cell r="BG2850" t="str">
            <v>Não Montado</v>
          </cell>
        </row>
        <row r="2851">
          <cell r="A2851" t="str">
            <v>PSV-120811</v>
          </cell>
          <cell r="BG2851" t="str">
            <v>Não Montado</v>
          </cell>
        </row>
        <row r="2852">
          <cell r="A2852" t="str">
            <v>PSV-120812</v>
          </cell>
          <cell r="BG2852" t="str">
            <v>Não Montado</v>
          </cell>
        </row>
        <row r="2853">
          <cell r="A2853" t="str">
            <v>PSV-120813</v>
          </cell>
          <cell r="BG2853" t="str">
            <v>Não Montado</v>
          </cell>
        </row>
        <row r="2854">
          <cell r="A2854" t="str">
            <v>PSV-120814</v>
          </cell>
          <cell r="BG2854" t="str">
            <v>Não Montado</v>
          </cell>
        </row>
        <row r="2855">
          <cell r="A2855" t="str">
            <v>PSV-120815</v>
          </cell>
          <cell r="BG2855" t="str">
            <v>Não Montado</v>
          </cell>
        </row>
        <row r="2856">
          <cell r="A2856" t="str">
            <v>PSV-120901</v>
          </cell>
          <cell r="BG2856" t="str">
            <v>Não Montado</v>
          </cell>
        </row>
        <row r="2857">
          <cell r="A2857" t="str">
            <v>PSV-120902</v>
          </cell>
          <cell r="BG2857" t="str">
            <v>Não Montado</v>
          </cell>
        </row>
        <row r="2858">
          <cell r="A2858" t="str">
            <v>PSV-120903</v>
          </cell>
          <cell r="BG2858" t="str">
            <v>Não Montado</v>
          </cell>
        </row>
        <row r="2859">
          <cell r="A2859" t="str">
            <v>PSV-120904</v>
          </cell>
          <cell r="BG2859" t="str">
            <v>Não Montado</v>
          </cell>
        </row>
        <row r="2860">
          <cell r="A2860" t="str">
            <v>PSV-120905</v>
          </cell>
          <cell r="BG2860" t="str">
            <v>Não Montado</v>
          </cell>
        </row>
        <row r="2861">
          <cell r="A2861" t="str">
            <v>PSV-120906</v>
          </cell>
          <cell r="BG2861" t="str">
            <v>Não Montado</v>
          </cell>
        </row>
        <row r="2862">
          <cell r="A2862" t="str">
            <v>PSV-120907</v>
          </cell>
          <cell r="BG2862" t="str">
            <v>Não Montado</v>
          </cell>
        </row>
        <row r="2863">
          <cell r="A2863" t="str">
            <v>PSV-120908</v>
          </cell>
          <cell r="BG2863" t="str">
            <v>Não Montado</v>
          </cell>
        </row>
        <row r="2864">
          <cell r="A2864" t="str">
            <v>PSV-120909</v>
          </cell>
          <cell r="BG2864" t="str">
            <v>Não Montado</v>
          </cell>
        </row>
        <row r="2865">
          <cell r="A2865" t="str">
            <v>PSV-120913</v>
          </cell>
          <cell r="BG2865" t="str">
            <v>Não Montado</v>
          </cell>
        </row>
        <row r="2866">
          <cell r="A2866" t="str">
            <v>PSV-120951</v>
          </cell>
          <cell r="BG2866" t="str">
            <v>Não Montado</v>
          </cell>
        </row>
        <row r="2867">
          <cell r="A2867" t="str">
            <v>PSV-120952</v>
          </cell>
          <cell r="BG2867" t="str">
            <v>Não Montado</v>
          </cell>
        </row>
        <row r="2868">
          <cell r="A2868" t="str">
            <v>PSV-120953</v>
          </cell>
          <cell r="BG2868" t="str">
            <v>Não Montado</v>
          </cell>
        </row>
        <row r="2869">
          <cell r="A2869" t="str">
            <v>PSV-120954</v>
          </cell>
          <cell r="BG2869" t="str">
            <v>Não Montado</v>
          </cell>
        </row>
        <row r="2870">
          <cell r="A2870" t="str">
            <v>PSV-120955</v>
          </cell>
          <cell r="BG2870" t="str">
            <v>Não Montado</v>
          </cell>
        </row>
        <row r="2871">
          <cell r="A2871" t="str">
            <v>PSV-120956</v>
          </cell>
          <cell r="BG2871" t="str">
            <v>Não Montado</v>
          </cell>
        </row>
        <row r="2872">
          <cell r="A2872" t="str">
            <v>PSV-120957</v>
          </cell>
          <cell r="BG2872" t="str">
            <v>Não Montado</v>
          </cell>
        </row>
        <row r="2873">
          <cell r="A2873" t="str">
            <v>PSV-120958</v>
          </cell>
          <cell r="BG2873" t="str">
            <v>Não Montado</v>
          </cell>
        </row>
        <row r="2874">
          <cell r="A2874" t="str">
            <v>PSV-120959</v>
          </cell>
          <cell r="BG2874" t="str">
            <v>Não Montado</v>
          </cell>
        </row>
        <row r="2875">
          <cell r="A2875" t="str">
            <v>PSV-120960</v>
          </cell>
          <cell r="BG2875" t="str">
            <v>Não Montado</v>
          </cell>
        </row>
        <row r="2876">
          <cell r="A2876" t="str">
            <v>PSV-120961</v>
          </cell>
          <cell r="BG2876" t="str">
            <v>Não Montado</v>
          </cell>
        </row>
        <row r="2877">
          <cell r="A2877" t="str">
            <v>PSV-120962</v>
          </cell>
          <cell r="BG2877" t="str">
            <v>Não Montado</v>
          </cell>
        </row>
        <row r="2878">
          <cell r="A2878" t="str">
            <v>PSV-120963</v>
          </cell>
          <cell r="BG2878" t="str">
            <v>Não Montado</v>
          </cell>
        </row>
        <row r="2879">
          <cell r="A2879" t="str">
            <v>PSV-120964</v>
          </cell>
          <cell r="BG2879" t="str">
            <v>Não Montado</v>
          </cell>
        </row>
        <row r="2880">
          <cell r="A2880" t="str">
            <v>PSV-120965</v>
          </cell>
          <cell r="BG2880" t="str">
            <v>Não Montado</v>
          </cell>
        </row>
        <row r="2881">
          <cell r="A2881" t="str">
            <v>PSV-120966</v>
          </cell>
          <cell r="BG2881" t="str">
            <v>Não Montado</v>
          </cell>
        </row>
        <row r="2882">
          <cell r="A2882" t="str">
            <v>PSV-120969</v>
          </cell>
          <cell r="BG2882" t="str">
            <v>Não Montado</v>
          </cell>
        </row>
        <row r="2883">
          <cell r="A2883" t="str">
            <v>PSV-121305</v>
          </cell>
          <cell r="BG2883" t="str">
            <v>Não Montado</v>
          </cell>
        </row>
        <row r="2884">
          <cell r="A2884" t="str">
            <v>PSV-121405</v>
          </cell>
          <cell r="BG2884" t="str">
            <v>Não Montado</v>
          </cell>
        </row>
        <row r="2885">
          <cell r="A2885" t="str">
            <v>PSV-121500</v>
          </cell>
          <cell r="BG2885" t="str">
            <v>Não Montado</v>
          </cell>
        </row>
        <row r="2886">
          <cell r="A2886" t="str">
            <v>PSV-121501</v>
          </cell>
          <cell r="BG2886" t="str">
            <v>Não Montado</v>
          </cell>
        </row>
        <row r="2887">
          <cell r="A2887" t="str">
            <v>PSV-121502</v>
          </cell>
          <cell r="BG2887" t="str">
            <v>Não Montado</v>
          </cell>
        </row>
        <row r="2888">
          <cell r="A2888" t="str">
            <v>PSV-121520</v>
          </cell>
          <cell r="BG2888" t="str">
            <v>Não Montado</v>
          </cell>
        </row>
        <row r="2889">
          <cell r="A2889" t="str">
            <v>PSV-121521</v>
          </cell>
          <cell r="BG2889" t="str">
            <v>Não Montado</v>
          </cell>
        </row>
        <row r="2890">
          <cell r="A2890" t="str">
            <v>PSV-121522</v>
          </cell>
          <cell r="BG2890" t="str">
            <v>Não Montado</v>
          </cell>
        </row>
        <row r="2891">
          <cell r="A2891" t="str">
            <v>PSV-122009</v>
          </cell>
          <cell r="BG2891" t="str">
            <v>Não Montado</v>
          </cell>
        </row>
        <row r="2892">
          <cell r="A2892" t="str">
            <v>PSV-122010</v>
          </cell>
          <cell r="BG2892" t="str">
            <v>Não Montado</v>
          </cell>
        </row>
        <row r="2893">
          <cell r="A2893" t="str">
            <v>PSV-122019</v>
          </cell>
          <cell r="BG2893" t="str">
            <v>Não Montado</v>
          </cell>
        </row>
        <row r="2894">
          <cell r="A2894" t="str">
            <v>PSV-122020</v>
          </cell>
          <cell r="BG2894" t="str">
            <v>Não Montado</v>
          </cell>
        </row>
        <row r="2895">
          <cell r="A2895" t="str">
            <v>PSV-123001</v>
          </cell>
          <cell r="BG2895" t="str">
            <v>Não Montado</v>
          </cell>
        </row>
        <row r="2896">
          <cell r="A2896" t="str">
            <v>PT-121041</v>
          </cell>
          <cell r="BG2896" t="str">
            <v>Não Montado</v>
          </cell>
        </row>
        <row r="2897">
          <cell r="A2897" t="str">
            <v>PT-121042</v>
          </cell>
          <cell r="BG2897" t="str">
            <v>Não Montado</v>
          </cell>
        </row>
        <row r="2898">
          <cell r="A2898" t="str">
            <v>PT-121500</v>
          </cell>
          <cell r="BG2898" t="str">
            <v>Não Montado</v>
          </cell>
        </row>
        <row r="2899">
          <cell r="A2899" t="str">
            <v>PT-121501</v>
          </cell>
          <cell r="BG2899" t="str">
            <v>Não Montado</v>
          </cell>
        </row>
        <row r="2900">
          <cell r="A2900" t="str">
            <v>PT-121502</v>
          </cell>
          <cell r="BG2900" t="str">
            <v>Não Montado</v>
          </cell>
        </row>
        <row r="2901">
          <cell r="A2901" t="str">
            <v>PT-121503</v>
          </cell>
          <cell r="BG2901" t="str">
            <v>Não Montado</v>
          </cell>
        </row>
        <row r="2902">
          <cell r="A2902" t="str">
            <v>PT-121520</v>
          </cell>
          <cell r="BG2902" t="str">
            <v>Não Montado</v>
          </cell>
        </row>
        <row r="2903">
          <cell r="A2903" t="str">
            <v>PT-121521</v>
          </cell>
          <cell r="BG2903" t="str">
            <v>Não Montado</v>
          </cell>
        </row>
        <row r="2904">
          <cell r="A2904" t="str">
            <v>PT-121522</v>
          </cell>
          <cell r="BG2904" t="str">
            <v>Não Montado</v>
          </cell>
        </row>
        <row r="2905">
          <cell r="A2905" t="str">
            <v>PT-121523</v>
          </cell>
          <cell r="BG2905" t="str">
            <v>Não Montado</v>
          </cell>
        </row>
        <row r="2906">
          <cell r="A2906" t="str">
            <v>PV-120008</v>
          </cell>
          <cell r="BG2906" t="str">
            <v>Não Montado</v>
          </cell>
        </row>
        <row r="2907">
          <cell r="A2907" t="str">
            <v>PV-120018</v>
          </cell>
          <cell r="BG2907" t="str">
            <v>Não Montado</v>
          </cell>
        </row>
        <row r="2908">
          <cell r="A2908" t="str">
            <v>PV-120019</v>
          </cell>
          <cell r="BG2908" t="str">
            <v>Não Montado</v>
          </cell>
        </row>
        <row r="2909">
          <cell r="A2909" t="str">
            <v>PV-120037</v>
          </cell>
          <cell r="BG2909" t="str">
            <v>Não Montado</v>
          </cell>
        </row>
        <row r="2910">
          <cell r="A2910" t="str">
            <v>PV-120044</v>
          </cell>
          <cell r="BG2910" t="str">
            <v>Não Montado</v>
          </cell>
        </row>
        <row r="2911">
          <cell r="A2911" t="str">
            <v>PV-120063</v>
          </cell>
          <cell r="BG2911" t="str">
            <v>Não Montado</v>
          </cell>
        </row>
        <row r="2912">
          <cell r="A2912" t="str">
            <v>PV-120067A</v>
          </cell>
          <cell r="BG2912" t="str">
            <v>Não Montado</v>
          </cell>
        </row>
        <row r="2913">
          <cell r="A2913" t="str">
            <v>PV-120067B</v>
          </cell>
          <cell r="BG2913" t="str">
            <v>Não Montado</v>
          </cell>
        </row>
        <row r="2914">
          <cell r="A2914" t="str">
            <v>PV-120093B</v>
          </cell>
          <cell r="BG2914" t="str">
            <v>Não Montado</v>
          </cell>
        </row>
        <row r="2915">
          <cell r="A2915" t="str">
            <v>PV-120093C</v>
          </cell>
          <cell r="BG2915" t="str">
            <v>Não Montado</v>
          </cell>
        </row>
        <row r="2916">
          <cell r="A2916" t="str">
            <v>PV-120150A</v>
          </cell>
          <cell r="BG2916" t="str">
            <v>Não Montado</v>
          </cell>
        </row>
        <row r="2917">
          <cell r="A2917" t="str">
            <v>PV-120150B</v>
          </cell>
          <cell r="BG2917" t="str">
            <v>Não Montado</v>
          </cell>
        </row>
        <row r="2918">
          <cell r="A2918" t="str">
            <v>PV-120150C</v>
          </cell>
          <cell r="BG2918" t="str">
            <v>Não Montado</v>
          </cell>
        </row>
        <row r="2919">
          <cell r="A2919" t="str">
            <v>PV-120174</v>
          </cell>
          <cell r="BG2919" t="str">
            <v>Não Montado</v>
          </cell>
        </row>
        <row r="2920">
          <cell r="A2920" t="str">
            <v>PV-120404</v>
          </cell>
          <cell r="BG2920" t="str">
            <v>Não Montado</v>
          </cell>
        </row>
        <row r="2921">
          <cell r="A2921" t="str">
            <v>PV-120437</v>
          </cell>
          <cell r="BG2921" t="str">
            <v>Não Montado</v>
          </cell>
        </row>
        <row r="2922">
          <cell r="A2922" t="str">
            <v>PV-120438A</v>
          </cell>
          <cell r="BG2922" t="str">
            <v>Não Montado</v>
          </cell>
        </row>
        <row r="2923">
          <cell r="A2923" t="str">
            <v>PV-120438B</v>
          </cell>
          <cell r="BG2923" t="str">
            <v>Não Montado</v>
          </cell>
        </row>
        <row r="2924">
          <cell r="A2924" t="str">
            <v>PV-120440</v>
          </cell>
          <cell r="BG2924" t="str">
            <v>Não Montado</v>
          </cell>
        </row>
        <row r="2925">
          <cell r="A2925" t="str">
            <v>PV-120616</v>
          </cell>
          <cell r="BG2925" t="str">
            <v>Não Montado</v>
          </cell>
        </row>
        <row r="2926">
          <cell r="A2926" t="str">
            <v>PV-120631</v>
          </cell>
          <cell r="BG2926" t="str">
            <v>Não Montado</v>
          </cell>
        </row>
        <row r="2927">
          <cell r="A2927" t="str">
            <v>PV-120638</v>
          </cell>
          <cell r="BG2927" t="str">
            <v>Não Montado</v>
          </cell>
        </row>
        <row r="2928">
          <cell r="A2928" t="str">
            <v>PV-120642A</v>
          </cell>
          <cell r="BG2928" t="str">
            <v>Não Montado</v>
          </cell>
        </row>
        <row r="2929">
          <cell r="A2929" t="str">
            <v>PV-120642B</v>
          </cell>
          <cell r="BG2929" t="str">
            <v>Não Montado</v>
          </cell>
        </row>
        <row r="2930">
          <cell r="A2930" t="str">
            <v>PV-120646</v>
          </cell>
          <cell r="BG2930" t="str">
            <v>Não Montado</v>
          </cell>
        </row>
        <row r="2931">
          <cell r="A2931" t="str">
            <v>PV-120647</v>
          </cell>
          <cell r="BG2931" t="str">
            <v>Não Montado</v>
          </cell>
        </row>
        <row r="2932">
          <cell r="A2932" t="str">
            <v>PV-120716</v>
          </cell>
          <cell r="BG2932" t="str">
            <v>Não Montado</v>
          </cell>
        </row>
        <row r="2933">
          <cell r="A2933" t="str">
            <v>PV-120738</v>
          </cell>
          <cell r="BG2933" t="str">
            <v>Não Montado</v>
          </cell>
        </row>
        <row r="2934">
          <cell r="A2934" t="str">
            <v>PV-120742A</v>
          </cell>
          <cell r="BG2934" t="str">
            <v>Não Montado</v>
          </cell>
        </row>
        <row r="2935">
          <cell r="A2935" t="str">
            <v>PV-120742B</v>
          </cell>
          <cell r="BG2935" t="str">
            <v>Não Montado</v>
          </cell>
        </row>
        <row r="2936">
          <cell r="A2936" t="str">
            <v>PV-120747</v>
          </cell>
          <cell r="BG2936" t="str">
            <v>Não Montado</v>
          </cell>
        </row>
        <row r="2937">
          <cell r="A2937" t="str">
            <v>PV-121060</v>
          </cell>
          <cell r="BG2937" t="str">
            <v>Não Montado</v>
          </cell>
        </row>
        <row r="2938">
          <cell r="A2938" t="str">
            <v>PY-120616</v>
          </cell>
          <cell r="BG2938" t="str">
            <v>Não Montado</v>
          </cell>
        </row>
        <row r="2939">
          <cell r="A2939" t="str">
            <v>PY-120716</v>
          </cell>
          <cell r="BG2939" t="str">
            <v>Não Montado</v>
          </cell>
        </row>
        <row r="2940">
          <cell r="A2940" t="str">
            <v>PZ-120037</v>
          </cell>
          <cell r="BG2940" t="str">
            <v>Não Montado</v>
          </cell>
        </row>
        <row r="2941">
          <cell r="A2941" t="str">
            <v>PZ-120044</v>
          </cell>
          <cell r="BG2941" t="str">
            <v>Não Montado</v>
          </cell>
        </row>
        <row r="2942">
          <cell r="A2942" t="str">
            <v>PZ-120067A</v>
          </cell>
          <cell r="BG2942" t="str">
            <v>Não Montado</v>
          </cell>
        </row>
        <row r="2943">
          <cell r="A2943" t="str">
            <v>PZ-120067B</v>
          </cell>
          <cell r="BG2943" t="str">
            <v>Não Montado</v>
          </cell>
        </row>
        <row r="2944">
          <cell r="A2944" t="str">
            <v>PZ-120093C</v>
          </cell>
          <cell r="BG2944" t="str">
            <v>Não Montado</v>
          </cell>
        </row>
        <row r="2945">
          <cell r="A2945" t="str">
            <v>PZ-120150C</v>
          </cell>
          <cell r="BG2945" t="str">
            <v>Não Montado</v>
          </cell>
        </row>
        <row r="2946">
          <cell r="A2946" t="str">
            <v>PZ-120174</v>
          </cell>
          <cell r="BG2946" t="str">
            <v>Não Montado</v>
          </cell>
        </row>
        <row r="2947">
          <cell r="A2947" t="str">
            <v>PZ-120404</v>
          </cell>
          <cell r="BG2947" t="str">
            <v>Não Montado</v>
          </cell>
        </row>
        <row r="2948">
          <cell r="A2948" t="str">
            <v>PZ-120437</v>
          </cell>
          <cell r="BG2948" t="str">
            <v>Não Montado</v>
          </cell>
        </row>
        <row r="2949">
          <cell r="A2949" t="str">
            <v>PZ-120438A</v>
          </cell>
          <cell r="BG2949" t="str">
            <v>Não Montado</v>
          </cell>
        </row>
        <row r="2950">
          <cell r="A2950" t="str">
            <v>PZ-120438B</v>
          </cell>
          <cell r="BG2950" t="str">
            <v>Não Montado</v>
          </cell>
        </row>
        <row r="2951">
          <cell r="A2951" t="str">
            <v>PZ-120440</v>
          </cell>
          <cell r="BG2951" t="str">
            <v>Não Montado</v>
          </cell>
        </row>
        <row r="2952">
          <cell r="A2952" t="str">
            <v>SE-120250A</v>
          </cell>
          <cell r="BG2952" t="str">
            <v>Não Montado</v>
          </cell>
        </row>
        <row r="2953">
          <cell r="A2953" t="str">
            <v>SE-120250B</v>
          </cell>
          <cell r="BG2953" t="str">
            <v>Não Montado</v>
          </cell>
        </row>
        <row r="2954">
          <cell r="A2954" t="str">
            <v>SE-120901</v>
          </cell>
          <cell r="BG2954" t="str">
            <v>Não Montado</v>
          </cell>
        </row>
        <row r="2955">
          <cell r="A2955" t="str">
            <v>SE-120902</v>
          </cell>
          <cell r="BG2955" t="str">
            <v>Não Montado</v>
          </cell>
        </row>
        <row r="2956">
          <cell r="A2956" t="str">
            <v>SE-120952</v>
          </cell>
          <cell r="BG2956" t="str">
            <v>Não Montado</v>
          </cell>
        </row>
        <row r="2957">
          <cell r="A2957" t="str">
            <v>SE-120953</v>
          </cell>
          <cell r="BG2957" t="str">
            <v>Não Montado</v>
          </cell>
        </row>
        <row r="2958">
          <cell r="A2958" t="str">
            <v>SE-120954</v>
          </cell>
          <cell r="BG2958" t="str">
            <v>Não Montado</v>
          </cell>
        </row>
        <row r="2959">
          <cell r="A2959" t="str">
            <v>SE-120955</v>
          </cell>
          <cell r="BG2959" t="str">
            <v>Não Montado</v>
          </cell>
        </row>
        <row r="2960">
          <cell r="A2960" t="str">
            <v>SE-120957</v>
          </cell>
          <cell r="BG2960" t="str">
            <v>Não Montado</v>
          </cell>
        </row>
        <row r="2961">
          <cell r="A2961" t="str">
            <v>SE-120958</v>
          </cell>
          <cell r="BG2961" t="str">
            <v>Não Montado</v>
          </cell>
        </row>
        <row r="2962">
          <cell r="A2962" t="str">
            <v>SE-122025A</v>
          </cell>
          <cell r="BG2962" t="str">
            <v>Não Montado</v>
          </cell>
        </row>
        <row r="2963">
          <cell r="A2963" t="str">
            <v>SE-122025B</v>
          </cell>
          <cell r="BG2963" t="str">
            <v>Não Montado</v>
          </cell>
        </row>
        <row r="2964">
          <cell r="A2964" t="str">
            <v>SE-122040</v>
          </cell>
          <cell r="BG2964" t="str">
            <v>Não Montado</v>
          </cell>
        </row>
        <row r="2965">
          <cell r="A2965" t="str">
            <v>SI-120951</v>
          </cell>
          <cell r="BG2965" t="str">
            <v>Não Montado</v>
          </cell>
        </row>
        <row r="2966">
          <cell r="A2966" t="str">
            <v>SI-122025</v>
          </cell>
          <cell r="BG2966" t="str">
            <v>Não Montado</v>
          </cell>
        </row>
        <row r="2967">
          <cell r="A2967" t="str">
            <v>SI-122040</v>
          </cell>
          <cell r="BG2967" t="str">
            <v>Não Montado</v>
          </cell>
        </row>
        <row r="2968">
          <cell r="A2968" t="str">
            <v>SIC-120250</v>
          </cell>
          <cell r="BG2968" t="str">
            <v>Não Montado</v>
          </cell>
        </row>
        <row r="2969">
          <cell r="A2969" t="str">
            <v>SIC-120901</v>
          </cell>
          <cell r="BG2969" t="str">
            <v>Não Montado</v>
          </cell>
        </row>
        <row r="2970">
          <cell r="A2970" t="str">
            <v>SIC-120951</v>
          </cell>
          <cell r="BG2970" t="str">
            <v>Não Montado</v>
          </cell>
        </row>
        <row r="2971">
          <cell r="A2971" t="str">
            <v>SIC-120956</v>
          </cell>
          <cell r="BG2971" t="str">
            <v>Programar</v>
          </cell>
        </row>
        <row r="2972">
          <cell r="A2972" t="str">
            <v>SIC-120959</v>
          </cell>
          <cell r="BG2972" t="str">
            <v>Não Montado</v>
          </cell>
        </row>
        <row r="2973">
          <cell r="A2973" t="str">
            <v>SIC-122025</v>
          </cell>
          <cell r="BG2973" t="str">
            <v>Não Montado</v>
          </cell>
        </row>
        <row r="2974">
          <cell r="A2974" t="str">
            <v>ST-120601</v>
          </cell>
          <cell r="BG2974" t="str">
            <v>Não Montado</v>
          </cell>
        </row>
        <row r="2975">
          <cell r="A2975" t="str">
            <v>ST-120602</v>
          </cell>
          <cell r="BG2975" t="str">
            <v>Não Montado</v>
          </cell>
        </row>
        <row r="2976">
          <cell r="A2976" t="str">
            <v>ST-120603</v>
          </cell>
          <cell r="BG2976" t="str">
            <v>Não Montado</v>
          </cell>
        </row>
        <row r="2977">
          <cell r="A2977" t="str">
            <v>SY-120901</v>
          </cell>
          <cell r="BG2977" t="str">
            <v>Não Montado</v>
          </cell>
        </row>
        <row r="2978">
          <cell r="A2978" t="str">
            <v>SY-122025</v>
          </cell>
          <cell r="BG2978" t="str">
            <v>Não Montado</v>
          </cell>
        </row>
        <row r="2979">
          <cell r="A2979" t="str">
            <v>SY-122040</v>
          </cell>
          <cell r="BG2979" t="str">
            <v>Não Montado</v>
          </cell>
        </row>
        <row r="2980">
          <cell r="A2980" t="str">
            <v>TE-120001</v>
          </cell>
          <cell r="BG2980" t="str">
            <v>Programar</v>
          </cell>
        </row>
        <row r="2981">
          <cell r="A2981" t="str">
            <v>TE-120002</v>
          </cell>
          <cell r="BG2981" t="str">
            <v>Programar</v>
          </cell>
        </row>
        <row r="2982">
          <cell r="A2982" t="str">
            <v>TE-120003</v>
          </cell>
          <cell r="BG2982" t="str">
            <v>Programar</v>
          </cell>
        </row>
        <row r="2983">
          <cell r="A2983" t="str">
            <v>TE-120004</v>
          </cell>
          <cell r="BG2983" t="str">
            <v>Programar</v>
          </cell>
        </row>
        <row r="2984">
          <cell r="A2984" t="str">
            <v>TE-120005</v>
          </cell>
          <cell r="BG2984" t="str">
            <v>Programar</v>
          </cell>
        </row>
        <row r="2985">
          <cell r="A2985" t="str">
            <v>TE-120006</v>
          </cell>
          <cell r="BG2985" t="str">
            <v>Programar</v>
          </cell>
        </row>
        <row r="2986">
          <cell r="A2986" t="str">
            <v>TE-120007</v>
          </cell>
          <cell r="BG2986" t="str">
            <v>Programar</v>
          </cell>
        </row>
        <row r="2987">
          <cell r="A2987" t="str">
            <v>TE-120008</v>
          </cell>
          <cell r="BG2987" t="str">
            <v>Programar</v>
          </cell>
        </row>
        <row r="2988">
          <cell r="A2988" t="str">
            <v>TE-120009</v>
          </cell>
          <cell r="BG2988" t="str">
            <v>Programar</v>
          </cell>
        </row>
        <row r="2989">
          <cell r="A2989" t="str">
            <v>TE-120010</v>
          </cell>
          <cell r="BG2989" t="str">
            <v>Programar</v>
          </cell>
        </row>
        <row r="2990">
          <cell r="A2990" t="str">
            <v>TE-120012</v>
          </cell>
          <cell r="BG2990" t="str">
            <v>Programar</v>
          </cell>
        </row>
        <row r="2991">
          <cell r="A2991" t="str">
            <v>TE-120013</v>
          </cell>
          <cell r="BG2991" t="str">
            <v>Programar</v>
          </cell>
        </row>
        <row r="2992">
          <cell r="A2992" t="str">
            <v>TE-120014</v>
          </cell>
          <cell r="BG2992" t="str">
            <v>Programar</v>
          </cell>
        </row>
        <row r="2993">
          <cell r="A2993" t="str">
            <v>TE-120014B</v>
          </cell>
          <cell r="BG2993" t="str">
            <v>Não Montado</v>
          </cell>
        </row>
        <row r="2994">
          <cell r="A2994" t="str">
            <v>TE-120015</v>
          </cell>
          <cell r="BG2994" t="str">
            <v>Programar</v>
          </cell>
        </row>
        <row r="2995">
          <cell r="A2995" t="str">
            <v>TE-120016</v>
          </cell>
          <cell r="BG2995" t="str">
            <v>Programar</v>
          </cell>
        </row>
        <row r="2996">
          <cell r="A2996" t="str">
            <v>TE-120017</v>
          </cell>
          <cell r="BG2996" t="str">
            <v>Programar</v>
          </cell>
        </row>
        <row r="2997">
          <cell r="A2997" t="str">
            <v>TE-120018</v>
          </cell>
          <cell r="BG2997" t="str">
            <v>Programar</v>
          </cell>
        </row>
        <row r="2998">
          <cell r="A2998" t="str">
            <v>TE-120019</v>
          </cell>
          <cell r="BG2998" t="str">
            <v>Não Montado</v>
          </cell>
        </row>
        <row r="2999">
          <cell r="A2999" t="str">
            <v>TE-120020</v>
          </cell>
          <cell r="BG2999" t="str">
            <v>Programar</v>
          </cell>
        </row>
        <row r="3000">
          <cell r="A3000" t="str">
            <v>TE-120021</v>
          </cell>
          <cell r="BG3000" t="str">
            <v>Programar</v>
          </cell>
        </row>
        <row r="3001">
          <cell r="A3001" t="str">
            <v>TE-120022</v>
          </cell>
          <cell r="BG3001" t="str">
            <v>Programar</v>
          </cell>
        </row>
        <row r="3002">
          <cell r="A3002" t="str">
            <v>TE-120023</v>
          </cell>
          <cell r="BG3002" t="str">
            <v>Programar</v>
          </cell>
        </row>
        <row r="3003">
          <cell r="A3003" t="str">
            <v>TE-120024</v>
          </cell>
          <cell r="BG3003" t="str">
            <v>Programar</v>
          </cell>
        </row>
        <row r="3004">
          <cell r="A3004" t="str">
            <v>TE-120025</v>
          </cell>
          <cell r="BG3004" t="str">
            <v>Programar</v>
          </cell>
        </row>
        <row r="3005">
          <cell r="A3005" t="str">
            <v>TE-120026</v>
          </cell>
          <cell r="BG3005" t="str">
            <v>Programar</v>
          </cell>
        </row>
        <row r="3006">
          <cell r="A3006" t="str">
            <v>TE-120027</v>
          </cell>
          <cell r="BG3006" t="str">
            <v>Programar</v>
          </cell>
        </row>
        <row r="3007">
          <cell r="A3007" t="str">
            <v>TE-120028</v>
          </cell>
          <cell r="BG3007" t="str">
            <v>Programar</v>
          </cell>
        </row>
        <row r="3008">
          <cell r="A3008" t="str">
            <v>TE-120030</v>
          </cell>
          <cell r="BG3008" t="str">
            <v>Programar</v>
          </cell>
        </row>
        <row r="3009">
          <cell r="A3009" t="str">
            <v>TE-120031</v>
          </cell>
          <cell r="BG3009" t="str">
            <v>Programar</v>
          </cell>
        </row>
        <row r="3010">
          <cell r="A3010" t="str">
            <v>TE-120032</v>
          </cell>
          <cell r="BG3010" t="str">
            <v>Programar</v>
          </cell>
        </row>
        <row r="3011">
          <cell r="A3011" t="str">
            <v>TE-120033</v>
          </cell>
          <cell r="BG3011" t="str">
            <v>Programar</v>
          </cell>
        </row>
        <row r="3012">
          <cell r="A3012" t="str">
            <v>TE-120035</v>
          </cell>
          <cell r="BG3012" t="str">
            <v>Programar</v>
          </cell>
        </row>
        <row r="3013">
          <cell r="A3013" t="str">
            <v>TE-120037</v>
          </cell>
          <cell r="BG3013" t="str">
            <v>Não Montado</v>
          </cell>
        </row>
        <row r="3014">
          <cell r="A3014" t="str">
            <v>TE-120038</v>
          </cell>
          <cell r="BG3014" t="str">
            <v>Programar</v>
          </cell>
        </row>
        <row r="3015">
          <cell r="A3015" t="str">
            <v>TE-120042</v>
          </cell>
          <cell r="BG3015" t="str">
            <v>Não Montado</v>
          </cell>
        </row>
        <row r="3016">
          <cell r="A3016" t="str">
            <v>TE-120043</v>
          </cell>
          <cell r="BG3016" t="str">
            <v>Não Montado</v>
          </cell>
        </row>
        <row r="3017">
          <cell r="A3017" t="str">
            <v>TE-120044</v>
          </cell>
          <cell r="BG3017" t="str">
            <v>Não Montado</v>
          </cell>
        </row>
        <row r="3018">
          <cell r="A3018" t="str">
            <v>TE-120045</v>
          </cell>
          <cell r="BG3018" t="str">
            <v>Não Montado</v>
          </cell>
        </row>
        <row r="3019">
          <cell r="A3019" t="str">
            <v>TE-120046</v>
          </cell>
          <cell r="BG3019" t="str">
            <v>Não Montado</v>
          </cell>
        </row>
        <row r="3020">
          <cell r="A3020" t="str">
            <v>TE-120047</v>
          </cell>
          <cell r="BG3020" t="str">
            <v>Programar</v>
          </cell>
        </row>
        <row r="3021">
          <cell r="A3021" t="str">
            <v>TE-120048</v>
          </cell>
          <cell r="BG3021" t="str">
            <v>Não Montado</v>
          </cell>
        </row>
        <row r="3022">
          <cell r="A3022" t="str">
            <v>TE-120049</v>
          </cell>
          <cell r="BG3022" t="str">
            <v>Não Montado</v>
          </cell>
        </row>
        <row r="3023">
          <cell r="A3023" t="str">
            <v>TE-120050</v>
          </cell>
          <cell r="BG3023" t="str">
            <v>Programar</v>
          </cell>
        </row>
        <row r="3024">
          <cell r="A3024" t="str">
            <v>TE-120051</v>
          </cell>
          <cell r="BG3024" t="str">
            <v>Programar</v>
          </cell>
        </row>
        <row r="3025">
          <cell r="A3025" t="str">
            <v>TE-120052</v>
          </cell>
          <cell r="BG3025" t="str">
            <v>Programar</v>
          </cell>
        </row>
        <row r="3026">
          <cell r="A3026" t="str">
            <v>TE-120053</v>
          </cell>
          <cell r="BG3026" t="str">
            <v>Não Montado</v>
          </cell>
        </row>
        <row r="3027">
          <cell r="A3027" t="str">
            <v>TE-120054</v>
          </cell>
          <cell r="BG3027" t="str">
            <v>Programar</v>
          </cell>
        </row>
        <row r="3028">
          <cell r="A3028" t="str">
            <v>TE-120055</v>
          </cell>
          <cell r="BG3028" t="str">
            <v>Programar</v>
          </cell>
        </row>
        <row r="3029">
          <cell r="A3029" t="str">
            <v>TE-120056</v>
          </cell>
          <cell r="BG3029" t="str">
            <v>Programar</v>
          </cell>
        </row>
        <row r="3030">
          <cell r="A3030" t="str">
            <v>TE-120057</v>
          </cell>
          <cell r="BG3030" t="str">
            <v>Programar</v>
          </cell>
        </row>
        <row r="3031">
          <cell r="A3031" t="str">
            <v>TE-120058</v>
          </cell>
          <cell r="BG3031" t="str">
            <v>Programar</v>
          </cell>
        </row>
        <row r="3032">
          <cell r="A3032" t="str">
            <v>TE-120059</v>
          </cell>
          <cell r="BG3032" t="str">
            <v>Não Montado</v>
          </cell>
        </row>
        <row r="3033">
          <cell r="A3033" t="str">
            <v>TE-120060</v>
          </cell>
          <cell r="BG3033" t="str">
            <v>Programar</v>
          </cell>
        </row>
        <row r="3034">
          <cell r="A3034" t="str">
            <v>TE-120062</v>
          </cell>
          <cell r="BG3034" t="str">
            <v>Programar</v>
          </cell>
        </row>
        <row r="3035">
          <cell r="A3035" t="str">
            <v>TE-120063</v>
          </cell>
          <cell r="BG3035" t="str">
            <v>Programar</v>
          </cell>
        </row>
        <row r="3036">
          <cell r="A3036" t="str">
            <v>TE-120064</v>
          </cell>
          <cell r="BG3036" t="str">
            <v>Programar</v>
          </cell>
        </row>
        <row r="3037">
          <cell r="A3037" t="str">
            <v>TE-120065</v>
          </cell>
          <cell r="BG3037" t="str">
            <v>Programar</v>
          </cell>
        </row>
        <row r="3038">
          <cell r="A3038" t="str">
            <v>TE-120066</v>
          </cell>
          <cell r="BG3038" t="str">
            <v>Programar</v>
          </cell>
        </row>
        <row r="3039">
          <cell r="A3039" t="str">
            <v>TE-120067</v>
          </cell>
          <cell r="BG3039" t="str">
            <v>Programar</v>
          </cell>
        </row>
        <row r="3040">
          <cell r="A3040" t="str">
            <v>TE-120068</v>
          </cell>
          <cell r="BG3040" t="str">
            <v>Programar</v>
          </cell>
        </row>
        <row r="3041">
          <cell r="A3041" t="str">
            <v>TE-120069</v>
          </cell>
          <cell r="BG3041" t="str">
            <v>Programar</v>
          </cell>
        </row>
        <row r="3042">
          <cell r="A3042" t="str">
            <v>TE-120070</v>
          </cell>
          <cell r="BG3042" t="str">
            <v>Programar</v>
          </cell>
        </row>
        <row r="3043">
          <cell r="A3043" t="str">
            <v>TE-120071</v>
          </cell>
          <cell r="BG3043" t="str">
            <v>Programar</v>
          </cell>
        </row>
        <row r="3044">
          <cell r="A3044" t="str">
            <v>TE-120072</v>
          </cell>
          <cell r="BG3044" t="str">
            <v>Programar</v>
          </cell>
        </row>
        <row r="3045">
          <cell r="A3045" t="str">
            <v>TE-120073</v>
          </cell>
          <cell r="BG3045" t="str">
            <v>Programar</v>
          </cell>
        </row>
        <row r="3046">
          <cell r="A3046" t="str">
            <v>TE-120074</v>
          </cell>
          <cell r="BG3046" t="str">
            <v>Programar</v>
          </cell>
        </row>
        <row r="3047">
          <cell r="A3047" t="str">
            <v>TE-120075</v>
          </cell>
          <cell r="BG3047" t="str">
            <v>Programar</v>
          </cell>
        </row>
        <row r="3048">
          <cell r="A3048" t="str">
            <v>TE-120076</v>
          </cell>
          <cell r="BG3048" t="str">
            <v>Programar</v>
          </cell>
        </row>
        <row r="3049">
          <cell r="A3049" t="str">
            <v>TE-120077</v>
          </cell>
          <cell r="BG3049" t="str">
            <v>Programar</v>
          </cell>
        </row>
        <row r="3050">
          <cell r="A3050" t="str">
            <v>TE-120078</v>
          </cell>
          <cell r="BG3050" t="str">
            <v>Programar</v>
          </cell>
        </row>
        <row r="3051">
          <cell r="A3051" t="str">
            <v>TE-120079</v>
          </cell>
          <cell r="BG3051" t="str">
            <v>Não Montado</v>
          </cell>
        </row>
        <row r="3052">
          <cell r="A3052" t="str">
            <v>TE-120081</v>
          </cell>
          <cell r="BG3052" t="str">
            <v>Programar</v>
          </cell>
        </row>
        <row r="3053">
          <cell r="A3053" t="str">
            <v>TE-120082</v>
          </cell>
          <cell r="BG3053" t="str">
            <v>Programar</v>
          </cell>
        </row>
        <row r="3054">
          <cell r="A3054" t="str">
            <v>TE-120083</v>
          </cell>
          <cell r="BG3054" t="str">
            <v>Programar</v>
          </cell>
        </row>
        <row r="3055">
          <cell r="A3055" t="str">
            <v>TE-120084</v>
          </cell>
          <cell r="BG3055" t="str">
            <v>Programar</v>
          </cell>
        </row>
        <row r="3056">
          <cell r="A3056" t="str">
            <v>TE-120085</v>
          </cell>
          <cell r="BG3056" t="str">
            <v>Não Montado</v>
          </cell>
        </row>
        <row r="3057">
          <cell r="A3057" t="str">
            <v>TE-120086</v>
          </cell>
          <cell r="BG3057" t="str">
            <v>Programar</v>
          </cell>
        </row>
        <row r="3058">
          <cell r="A3058" t="str">
            <v>TE-120087</v>
          </cell>
          <cell r="BG3058" t="str">
            <v>Programar</v>
          </cell>
        </row>
        <row r="3059">
          <cell r="A3059" t="str">
            <v>TE-120088</v>
          </cell>
          <cell r="BG3059" t="str">
            <v>Programar</v>
          </cell>
        </row>
        <row r="3060">
          <cell r="A3060" t="str">
            <v>TE-120089</v>
          </cell>
          <cell r="BG3060" t="str">
            <v>Programar</v>
          </cell>
        </row>
        <row r="3061">
          <cell r="A3061" t="str">
            <v>TE-120090</v>
          </cell>
          <cell r="BG3061" t="str">
            <v>Programar</v>
          </cell>
        </row>
        <row r="3062">
          <cell r="A3062" t="str">
            <v>TE-120091</v>
          </cell>
          <cell r="BG3062" t="str">
            <v>Programar</v>
          </cell>
        </row>
        <row r="3063">
          <cell r="A3063" t="str">
            <v>TE-120092</v>
          </cell>
          <cell r="BG3063" t="str">
            <v>Não Montado</v>
          </cell>
        </row>
        <row r="3064">
          <cell r="A3064" t="str">
            <v>TE-120093</v>
          </cell>
          <cell r="BG3064" t="str">
            <v>Não Montado</v>
          </cell>
        </row>
        <row r="3065">
          <cell r="A3065" t="str">
            <v>TE-120094</v>
          </cell>
          <cell r="BG3065" t="str">
            <v>Não Montado</v>
          </cell>
        </row>
        <row r="3066">
          <cell r="A3066" t="str">
            <v>TE-120095</v>
          </cell>
          <cell r="BG3066" t="str">
            <v>Programar</v>
          </cell>
        </row>
        <row r="3067">
          <cell r="A3067" t="str">
            <v>TE-120096</v>
          </cell>
          <cell r="BG3067" t="str">
            <v>Programar</v>
          </cell>
        </row>
        <row r="3068">
          <cell r="A3068" t="str">
            <v>TE-120097</v>
          </cell>
          <cell r="BG3068" t="str">
            <v>Programar</v>
          </cell>
        </row>
        <row r="3069">
          <cell r="A3069" t="str">
            <v>TE-120098</v>
          </cell>
          <cell r="BG3069" t="str">
            <v>Não Montado</v>
          </cell>
        </row>
        <row r="3070">
          <cell r="A3070" t="str">
            <v>TE-120099</v>
          </cell>
          <cell r="BG3070" t="str">
            <v>Programar</v>
          </cell>
        </row>
        <row r="3071">
          <cell r="A3071" t="str">
            <v>TE-120100</v>
          </cell>
          <cell r="BG3071" t="str">
            <v>Não Montado</v>
          </cell>
        </row>
        <row r="3072">
          <cell r="A3072" t="str">
            <v>TE-120102</v>
          </cell>
          <cell r="BG3072" t="str">
            <v>Programar</v>
          </cell>
        </row>
        <row r="3073">
          <cell r="A3073" t="str">
            <v>TE-120103</v>
          </cell>
          <cell r="BG3073" t="str">
            <v>Programar</v>
          </cell>
        </row>
        <row r="3074">
          <cell r="A3074" t="str">
            <v>TE-120104</v>
          </cell>
          <cell r="BG3074" t="str">
            <v>Programar</v>
          </cell>
        </row>
        <row r="3075">
          <cell r="A3075" t="str">
            <v>TE-120105</v>
          </cell>
          <cell r="BG3075" t="str">
            <v>Programar</v>
          </cell>
        </row>
        <row r="3076">
          <cell r="A3076" t="str">
            <v>TE-120106</v>
          </cell>
          <cell r="BG3076" t="str">
            <v>Não Montado</v>
          </cell>
        </row>
        <row r="3077">
          <cell r="A3077" t="str">
            <v>TE-120107</v>
          </cell>
          <cell r="BG3077" t="str">
            <v>Programar</v>
          </cell>
        </row>
        <row r="3078">
          <cell r="A3078" t="str">
            <v>TE-120108</v>
          </cell>
          <cell r="BG3078" t="str">
            <v>Programar</v>
          </cell>
        </row>
        <row r="3079">
          <cell r="A3079" t="str">
            <v>TE-120110</v>
          </cell>
          <cell r="BG3079" t="str">
            <v>Não Montado</v>
          </cell>
        </row>
        <row r="3080">
          <cell r="A3080" t="str">
            <v>TE-120111</v>
          </cell>
          <cell r="BG3080" t="str">
            <v>Não Montado</v>
          </cell>
        </row>
        <row r="3081">
          <cell r="A3081" t="str">
            <v>TE-120112</v>
          </cell>
          <cell r="BG3081" t="str">
            <v>Programar</v>
          </cell>
        </row>
        <row r="3082">
          <cell r="A3082" t="str">
            <v>TE-120113</v>
          </cell>
          <cell r="BG3082" t="str">
            <v>Programar</v>
          </cell>
        </row>
        <row r="3083">
          <cell r="A3083" t="str">
            <v>TE-120114</v>
          </cell>
          <cell r="BG3083" t="str">
            <v>Programar</v>
          </cell>
        </row>
        <row r="3084">
          <cell r="A3084" t="str">
            <v>TE-120115</v>
          </cell>
          <cell r="BG3084" t="str">
            <v>Programar</v>
          </cell>
        </row>
        <row r="3085">
          <cell r="A3085" t="str">
            <v>TE-120116</v>
          </cell>
          <cell r="BG3085" t="str">
            <v>Programar</v>
          </cell>
        </row>
        <row r="3086">
          <cell r="A3086" t="str">
            <v>TE-120117</v>
          </cell>
          <cell r="BG3086" t="str">
            <v>Programar</v>
          </cell>
        </row>
        <row r="3087">
          <cell r="A3087" t="str">
            <v>TE-120118</v>
          </cell>
          <cell r="BG3087" t="str">
            <v>Não Montado</v>
          </cell>
        </row>
        <row r="3088">
          <cell r="A3088" t="str">
            <v>TE-120119</v>
          </cell>
          <cell r="BG3088" t="str">
            <v>Programar</v>
          </cell>
        </row>
        <row r="3089">
          <cell r="A3089" t="str">
            <v>TE-120120</v>
          </cell>
          <cell r="BG3089" t="str">
            <v>Não Montado</v>
          </cell>
        </row>
        <row r="3090">
          <cell r="A3090" t="str">
            <v>TE-120121</v>
          </cell>
          <cell r="BG3090" t="str">
            <v>Não Montado</v>
          </cell>
        </row>
        <row r="3091">
          <cell r="A3091" t="str">
            <v>TE-120122</v>
          </cell>
          <cell r="BG3091" t="str">
            <v>Programar</v>
          </cell>
        </row>
        <row r="3092">
          <cell r="A3092" t="str">
            <v>TE-120123</v>
          </cell>
          <cell r="BG3092" t="str">
            <v>Programar</v>
          </cell>
        </row>
        <row r="3093">
          <cell r="A3093" t="str">
            <v>TE-120124</v>
          </cell>
          <cell r="BG3093" t="str">
            <v>Programar</v>
          </cell>
        </row>
        <row r="3094">
          <cell r="A3094" t="str">
            <v>TE-120125</v>
          </cell>
          <cell r="BG3094" t="str">
            <v>Não Montado</v>
          </cell>
        </row>
        <row r="3095">
          <cell r="A3095" t="str">
            <v>TE-120126</v>
          </cell>
          <cell r="BG3095" t="str">
            <v>Não Montado</v>
          </cell>
        </row>
        <row r="3096">
          <cell r="A3096" t="str">
            <v>TE-120128</v>
          </cell>
          <cell r="BG3096" t="str">
            <v>Programar</v>
          </cell>
        </row>
        <row r="3097">
          <cell r="A3097" t="str">
            <v>TE-120129</v>
          </cell>
          <cell r="BG3097" t="str">
            <v>Programar</v>
          </cell>
        </row>
        <row r="3098">
          <cell r="A3098" t="str">
            <v>TE-120130</v>
          </cell>
          <cell r="BG3098" t="str">
            <v>Programar</v>
          </cell>
        </row>
        <row r="3099">
          <cell r="A3099" t="str">
            <v>TE-120131</v>
          </cell>
          <cell r="BG3099" t="str">
            <v>Não Montado</v>
          </cell>
        </row>
        <row r="3100">
          <cell r="A3100" t="str">
            <v>TE-120132</v>
          </cell>
          <cell r="BG3100" t="str">
            <v>Não Montado</v>
          </cell>
        </row>
        <row r="3101">
          <cell r="A3101" t="str">
            <v>TE-120133</v>
          </cell>
          <cell r="BG3101" t="str">
            <v>Não Montado</v>
          </cell>
        </row>
        <row r="3102">
          <cell r="A3102" t="str">
            <v>TE-120134</v>
          </cell>
          <cell r="BG3102" t="str">
            <v>Não Montado</v>
          </cell>
        </row>
        <row r="3103">
          <cell r="A3103" t="str">
            <v>TE-120135</v>
          </cell>
          <cell r="BG3103" t="str">
            <v>Não Montado</v>
          </cell>
        </row>
        <row r="3104">
          <cell r="A3104" t="str">
            <v>TE-120136</v>
          </cell>
          <cell r="BG3104" t="str">
            <v>Não Montado</v>
          </cell>
        </row>
        <row r="3105">
          <cell r="A3105" t="str">
            <v>TE-120137</v>
          </cell>
          <cell r="BG3105" t="str">
            <v>Programar</v>
          </cell>
        </row>
        <row r="3106">
          <cell r="A3106" t="str">
            <v>TE-120138</v>
          </cell>
          <cell r="BG3106" t="str">
            <v>Programar</v>
          </cell>
        </row>
        <row r="3107">
          <cell r="A3107" t="str">
            <v>TE-120139</v>
          </cell>
          <cell r="BG3107" t="str">
            <v>Programar</v>
          </cell>
        </row>
        <row r="3108">
          <cell r="A3108" t="str">
            <v>TE-120140</v>
          </cell>
          <cell r="BG3108" t="str">
            <v>Não Montado</v>
          </cell>
        </row>
        <row r="3109">
          <cell r="A3109" t="str">
            <v>TE-120142</v>
          </cell>
          <cell r="BG3109" t="str">
            <v>Não Montado</v>
          </cell>
        </row>
        <row r="3110">
          <cell r="A3110" t="str">
            <v>TE-120143</v>
          </cell>
          <cell r="BG3110" t="str">
            <v>Programar</v>
          </cell>
        </row>
        <row r="3111">
          <cell r="A3111" t="str">
            <v>TE-120144</v>
          </cell>
          <cell r="BG3111" t="str">
            <v>Programar</v>
          </cell>
        </row>
        <row r="3112">
          <cell r="A3112" t="str">
            <v>TE-120145</v>
          </cell>
          <cell r="BG3112" t="str">
            <v>Não Montado</v>
          </cell>
        </row>
        <row r="3113">
          <cell r="A3113" t="str">
            <v>TE-120146</v>
          </cell>
          <cell r="BG3113" t="str">
            <v>Não Montado</v>
          </cell>
        </row>
        <row r="3114">
          <cell r="A3114" t="str">
            <v>TE-120147</v>
          </cell>
          <cell r="BG3114" t="str">
            <v>Programar</v>
          </cell>
        </row>
        <row r="3115">
          <cell r="A3115" t="str">
            <v>TE-120148A</v>
          </cell>
          <cell r="BG3115" t="str">
            <v>Programar</v>
          </cell>
        </row>
        <row r="3116">
          <cell r="A3116" t="str">
            <v>TE-120148B</v>
          </cell>
          <cell r="BG3116" t="str">
            <v>Programar</v>
          </cell>
        </row>
        <row r="3117">
          <cell r="A3117" t="str">
            <v>TE-120148C</v>
          </cell>
          <cell r="BG3117" t="str">
            <v>Programar</v>
          </cell>
        </row>
        <row r="3118">
          <cell r="A3118" t="str">
            <v>TE-120148D</v>
          </cell>
          <cell r="BG3118" t="str">
            <v>Programar</v>
          </cell>
        </row>
        <row r="3119">
          <cell r="A3119" t="str">
            <v>TE-120149</v>
          </cell>
          <cell r="BG3119" t="str">
            <v>Não Montado</v>
          </cell>
        </row>
        <row r="3120">
          <cell r="A3120" t="str">
            <v>TE-120150</v>
          </cell>
          <cell r="BG3120" t="str">
            <v>Não Montado</v>
          </cell>
        </row>
        <row r="3121">
          <cell r="A3121" t="str">
            <v>TE-120151</v>
          </cell>
          <cell r="BG3121" t="str">
            <v>Não Montado</v>
          </cell>
        </row>
        <row r="3122">
          <cell r="A3122" t="str">
            <v>TE-120152</v>
          </cell>
          <cell r="BG3122" t="str">
            <v>Programar</v>
          </cell>
        </row>
        <row r="3123">
          <cell r="A3123" t="str">
            <v>TE-120153</v>
          </cell>
          <cell r="BG3123" t="str">
            <v>Não Montado</v>
          </cell>
        </row>
        <row r="3124">
          <cell r="A3124" t="str">
            <v>TE-120154</v>
          </cell>
          <cell r="BG3124" t="str">
            <v>Não Montado</v>
          </cell>
        </row>
        <row r="3125">
          <cell r="A3125" t="str">
            <v>TE-120155</v>
          </cell>
          <cell r="BG3125" t="str">
            <v>Não Montado</v>
          </cell>
        </row>
        <row r="3126">
          <cell r="A3126" t="str">
            <v>TE-120156</v>
          </cell>
          <cell r="BG3126" t="str">
            <v>Não Montado</v>
          </cell>
        </row>
        <row r="3127">
          <cell r="A3127" t="str">
            <v>TE-120157</v>
          </cell>
          <cell r="BG3127" t="str">
            <v>Programar</v>
          </cell>
        </row>
        <row r="3128">
          <cell r="A3128" t="str">
            <v>TE-120158</v>
          </cell>
          <cell r="BG3128" t="str">
            <v>Programar</v>
          </cell>
        </row>
        <row r="3129">
          <cell r="A3129" t="str">
            <v>TE-120159</v>
          </cell>
          <cell r="BG3129" t="str">
            <v>Programar</v>
          </cell>
        </row>
        <row r="3130">
          <cell r="A3130" t="str">
            <v>TE-120163</v>
          </cell>
          <cell r="BG3130" t="str">
            <v>Não Montado</v>
          </cell>
        </row>
        <row r="3131">
          <cell r="A3131" t="str">
            <v>TE-120164</v>
          </cell>
          <cell r="BG3131" t="str">
            <v>Programar</v>
          </cell>
        </row>
        <row r="3132">
          <cell r="A3132" t="str">
            <v>TE-120165</v>
          </cell>
          <cell r="BG3132" t="str">
            <v>Programar</v>
          </cell>
        </row>
        <row r="3133">
          <cell r="A3133" t="str">
            <v>TE-120166</v>
          </cell>
          <cell r="BG3133" t="str">
            <v>Programar</v>
          </cell>
        </row>
        <row r="3134">
          <cell r="A3134" t="str">
            <v>TE-120167</v>
          </cell>
          <cell r="BG3134" t="str">
            <v>Programar</v>
          </cell>
        </row>
        <row r="3135">
          <cell r="A3135" t="str">
            <v>TE-120168</v>
          </cell>
          <cell r="BG3135" t="str">
            <v>Não Montado</v>
          </cell>
        </row>
        <row r="3136">
          <cell r="A3136" t="str">
            <v>TE-120169</v>
          </cell>
          <cell r="BG3136" t="str">
            <v>Programar</v>
          </cell>
        </row>
        <row r="3137">
          <cell r="A3137" t="str">
            <v>TE-120170</v>
          </cell>
          <cell r="BG3137" t="str">
            <v>Não Montado</v>
          </cell>
        </row>
        <row r="3138">
          <cell r="A3138" t="str">
            <v>TE-120171</v>
          </cell>
          <cell r="BG3138" t="str">
            <v>Não Montado</v>
          </cell>
        </row>
        <row r="3139">
          <cell r="A3139" t="str">
            <v>TE-120172</v>
          </cell>
          <cell r="BG3139" t="str">
            <v>Não Montado</v>
          </cell>
        </row>
        <row r="3140">
          <cell r="A3140" t="str">
            <v>TE-120173</v>
          </cell>
          <cell r="BG3140" t="str">
            <v>Não Montado</v>
          </cell>
        </row>
        <row r="3141">
          <cell r="A3141" t="str">
            <v>TE-120174</v>
          </cell>
          <cell r="BG3141" t="str">
            <v>Programar</v>
          </cell>
        </row>
        <row r="3142">
          <cell r="A3142" t="str">
            <v>TE-120175</v>
          </cell>
          <cell r="BG3142" t="str">
            <v>Não Montado</v>
          </cell>
        </row>
        <row r="3143">
          <cell r="A3143" t="str">
            <v>TE-120176</v>
          </cell>
          <cell r="BG3143" t="str">
            <v>Não Montado</v>
          </cell>
        </row>
        <row r="3144">
          <cell r="A3144" t="str">
            <v>TE-120177</v>
          </cell>
          <cell r="BG3144" t="str">
            <v>Não Montado</v>
          </cell>
        </row>
        <row r="3145">
          <cell r="A3145" t="str">
            <v>TE-120178</v>
          </cell>
          <cell r="BG3145" t="str">
            <v>Não Montado</v>
          </cell>
        </row>
        <row r="3146">
          <cell r="A3146" t="str">
            <v>TE-120179</v>
          </cell>
          <cell r="BG3146" t="str">
            <v>Não Montado</v>
          </cell>
        </row>
        <row r="3147">
          <cell r="A3147" t="str">
            <v>TE-120180A</v>
          </cell>
          <cell r="BG3147" t="str">
            <v>Não Montado</v>
          </cell>
        </row>
        <row r="3148">
          <cell r="A3148" t="str">
            <v>TE-120180B</v>
          </cell>
          <cell r="BG3148" t="str">
            <v>Não Montado</v>
          </cell>
        </row>
        <row r="3149">
          <cell r="A3149" t="str">
            <v>TE-120180C</v>
          </cell>
          <cell r="BG3149" t="str">
            <v>Não Montado</v>
          </cell>
        </row>
        <row r="3150">
          <cell r="A3150" t="str">
            <v>TE-120180D</v>
          </cell>
          <cell r="BG3150" t="str">
            <v>Não Montado</v>
          </cell>
        </row>
        <row r="3151">
          <cell r="A3151" t="str">
            <v>TE-120181</v>
          </cell>
          <cell r="BG3151" t="str">
            <v>Não Montado</v>
          </cell>
        </row>
        <row r="3152">
          <cell r="A3152" t="str">
            <v>TE-120182</v>
          </cell>
          <cell r="BG3152" t="str">
            <v>Programar</v>
          </cell>
        </row>
        <row r="3153">
          <cell r="A3153" t="str">
            <v>TE-120183</v>
          </cell>
          <cell r="BG3153" t="str">
            <v>Não Montado</v>
          </cell>
        </row>
        <row r="3154">
          <cell r="A3154" t="str">
            <v>TE-120184</v>
          </cell>
          <cell r="BG3154" t="str">
            <v>Não Montado</v>
          </cell>
        </row>
        <row r="3155">
          <cell r="A3155" t="str">
            <v>TE-120185</v>
          </cell>
          <cell r="BG3155" t="str">
            <v>Não Montado</v>
          </cell>
        </row>
        <row r="3156">
          <cell r="A3156" t="str">
            <v>TE-120186</v>
          </cell>
          <cell r="BG3156" t="str">
            <v>Não Montado</v>
          </cell>
        </row>
        <row r="3157">
          <cell r="A3157" t="str">
            <v>TE-120187</v>
          </cell>
          <cell r="BG3157" t="str">
            <v>Não Montado</v>
          </cell>
        </row>
        <row r="3158">
          <cell r="A3158" t="str">
            <v>TE-120188</v>
          </cell>
          <cell r="BG3158" t="str">
            <v>Programar</v>
          </cell>
        </row>
        <row r="3159">
          <cell r="A3159" t="str">
            <v>TE-120190</v>
          </cell>
          <cell r="BG3159" t="str">
            <v>Programar</v>
          </cell>
        </row>
        <row r="3160">
          <cell r="A3160" t="str">
            <v>TE-120191</v>
          </cell>
          <cell r="BG3160" t="str">
            <v>Não Montado</v>
          </cell>
        </row>
        <row r="3161">
          <cell r="A3161" t="str">
            <v>TE-120252</v>
          </cell>
          <cell r="BG3161" t="str">
            <v>Não Montado</v>
          </cell>
        </row>
        <row r="3162">
          <cell r="A3162" t="str">
            <v>TE-120253</v>
          </cell>
          <cell r="BG3162" t="str">
            <v>Não Montado</v>
          </cell>
        </row>
        <row r="3163">
          <cell r="A3163" t="str">
            <v>TE-120254</v>
          </cell>
          <cell r="BG3163" t="str">
            <v>Programar</v>
          </cell>
        </row>
        <row r="3164">
          <cell r="A3164" t="str">
            <v>TE-120348</v>
          </cell>
          <cell r="BG3164" t="str">
            <v>Não Montado</v>
          </cell>
        </row>
        <row r="3165">
          <cell r="A3165" t="str">
            <v>TE-120362</v>
          </cell>
          <cell r="BG3165" t="str">
            <v>Não Montado</v>
          </cell>
        </row>
        <row r="3166">
          <cell r="A3166" t="str">
            <v>TE-120400</v>
          </cell>
          <cell r="BG3166" t="str">
            <v>Não Montado</v>
          </cell>
        </row>
        <row r="3167">
          <cell r="A3167" t="str">
            <v>TE-120401A</v>
          </cell>
          <cell r="BG3167" t="str">
            <v>Programar</v>
          </cell>
        </row>
        <row r="3168">
          <cell r="A3168" t="str">
            <v>TE-120401B</v>
          </cell>
          <cell r="BG3168" t="str">
            <v>Programar</v>
          </cell>
        </row>
        <row r="3169">
          <cell r="A3169" t="str">
            <v>TE-120402A</v>
          </cell>
          <cell r="BG3169" t="str">
            <v>Programar</v>
          </cell>
        </row>
        <row r="3170">
          <cell r="A3170" t="str">
            <v>TE-120402B</v>
          </cell>
          <cell r="BG3170" t="str">
            <v>Programar</v>
          </cell>
        </row>
        <row r="3171">
          <cell r="A3171" t="str">
            <v>TE-120403</v>
          </cell>
          <cell r="BG3171" t="str">
            <v>Programar</v>
          </cell>
        </row>
        <row r="3172">
          <cell r="A3172" t="str">
            <v>TE-120404</v>
          </cell>
          <cell r="BG3172" t="str">
            <v>Programar</v>
          </cell>
        </row>
        <row r="3173">
          <cell r="A3173" t="str">
            <v>TE-120405</v>
          </cell>
          <cell r="BG3173" t="str">
            <v>Programar</v>
          </cell>
        </row>
        <row r="3174">
          <cell r="A3174" t="str">
            <v>TE-120406</v>
          </cell>
          <cell r="BG3174" t="str">
            <v>Programar</v>
          </cell>
        </row>
        <row r="3175">
          <cell r="A3175" t="str">
            <v>TE-120407</v>
          </cell>
          <cell r="BG3175" t="str">
            <v>Programar</v>
          </cell>
        </row>
        <row r="3176">
          <cell r="A3176" t="str">
            <v>TE-120408</v>
          </cell>
          <cell r="BG3176" t="str">
            <v>Programar</v>
          </cell>
        </row>
        <row r="3177">
          <cell r="A3177" t="str">
            <v>TE-120409</v>
          </cell>
          <cell r="BG3177" t="str">
            <v>Não Montado</v>
          </cell>
        </row>
        <row r="3178">
          <cell r="A3178" t="str">
            <v>TE-120410</v>
          </cell>
          <cell r="BG3178" t="str">
            <v>Não Montado</v>
          </cell>
        </row>
        <row r="3179">
          <cell r="A3179" t="str">
            <v>TE-120411</v>
          </cell>
          <cell r="BG3179" t="str">
            <v>Programar</v>
          </cell>
        </row>
        <row r="3180">
          <cell r="A3180" t="str">
            <v>TE-120412</v>
          </cell>
          <cell r="BG3180" t="str">
            <v>Não Montado</v>
          </cell>
        </row>
        <row r="3181">
          <cell r="A3181" t="str">
            <v>TE-120413</v>
          </cell>
          <cell r="BG3181" t="str">
            <v>Não Montado</v>
          </cell>
        </row>
        <row r="3182">
          <cell r="A3182" t="str">
            <v>TE-120414</v>
          </cell>
          <cell r="BG3182" t="str">
            <v>Não Montado</v>
          </cell>
        </row>
        <row r="3183">
          <cell r="A3183" t="str">
            <v>TE-120415</v>
          </cell>
          <cell r="BG3183" t="str">
            <v>Não Montado</v>
          </cell>
        </row>
        <row r="3184">
          <cell r="A3184" t="str">
            <v>TE-120416</v>
          </cell>
          <cell r="BG3184" t="str">
            <v>Não Montado</v>
          </cell>
        </row>
        <row r="3185">
          <cell r="A3185" t="str">
            <v>TE-120417</v>
          </cell>
          <cell r="BG3185" t="str">
            <v>Programar</v>
          </cell>
        </row>
        <row r="3186">
          <cell r="A3186" t="str">
            <v>TE-120418</v>
          </cell>
          <cell r="BG3186" t="str">
            <v>Não Montado</v>
          </cell>
        </row>
        <row r="3187">
          <cell r="A3187" t="str">
            <v>TE-120419</v>
          </cell>
          <cell r="BG3187" t="str">
            <v>Não Montado</v>
          </cell>
        </row>
        <row r="3188">
          <cell r="A3188" t="str">
            <v>TE-120458</v>
          </cell>
          <cell r="BG3188" t="str">
            <v>Não Montado</v>
          </cell>
        </row>
        <row r="3189">
          <cell r="A3189" t="str">
            <v>TE-120493</v>
          </cell>
          <cell r="BG3189" t="str">
            <v>Programar</v>
          </cell>
        </row>
        <row r="3190">
          <cell r="A3190" t="str">
            <v>TE-120600</v>
          </cell>
          <cell r="BG3190" t="str">
            <v>Não Montado</v>
          </cell>
        </row>
        <row r="3191">
          <cell r="A3191" t="str">
            <v>TE-120601</v>
          </cell>
          <cell r="BG3191" t="str">
            <v>Programar</v>
          </cell>
        </row>
        <row r="3192">
          <cell r="A3192" t="str">
            <v>TE-120602</v>
          </cell>
          <cell r="BG3192" t="str">
            <v>Não Montado</v>
          </cell>
        </row>
        <row r="3193">
          <cell r="A3193" t="str">
            <v>TE-120603</v>
          </cell>
          <cell r="BG3193" t="str">
            <v>Não Montado</v>
          </cell>
        </row>
        <row r="3194">
          <cell r="A3194" t="str">
            <v>TE-120604</v>
          </cell>
          <cell r="BG3194" t="str">
            <v>Não Montado</v>
          </cell>
        </row>
        <row r="3195">
          <cell r="A3195" t="str">
            <v>TE-120605</v>
          </cell>
          <cell r="BG3195" t="str">
            <v>Não Montado</v>
          </cell>
        </row>
        <row r="3196">
          <cell r="A3196" t="str">
            <v>TE-120606</v>
          </cell>
          <cell r="BG3196" t="str">
            <v>Programar</v>
          </cell>
        </row>
        <row r="3197">
          <cell r="A3197" t="str">
            <v>TE-120607</v>
          </cell>
          <cell r="BG3197" t="str">
            <v>Não Montado</v>
          </cell>
        </row>
        <row r="3198">
          <cell r="A3198" t="str">
            <v>TE-120608</v>
          </cell>
          <cell r="BG3198" t="str">
            <v>Não Montado</v>
          </cell>
        </row>
        <row r="3199">
          <cell r="A3199" t="str">
            <v>TE-120609</v>
          </cell>
          <cell r="BG3199" t="str">
            <v>Não Montado</v>
          </cell>
        </row>
        <row r="3200">
          <cell r="A3200" t="str">
            <v>TE-120610</v>
          </cell>
          <cell r="BG3200" t="str">
            <v>Não Montado</v>
          </cell>
        </row>
        <row r="3201">
          <cell r="A3201" t="str">
            <v>TE-120611</v>
          </cell>
          <cell r="BG3201" t="str">
            <v>Não Montado</v>
          </cell>
        </row>
        <row r="3202">
          <cell r="A3202" t="str">
            <v>TE-120612</v>
          </cell>
          <cell r="BG3202" t="str">
            <v>Não Montado</v>
          </cell>
        </row>
        <row r="3203">
          <cell r="A3203" t="str">
            <v>TE-120613</v>
          </cell>
          <cell r="BG3203" t="str">
            <v>Não Montado</v>
          </cell>
        </row>
        <row r="3204">
          <cell r="A3204" t="str">
            <v>TE-120614</v>
          </cell>
          <cell r="BG3204" t="str">
            <v>Não Montado</v>
          </cell>
        </row>
        <row r="3205">
          <cell r="A3205" t="str">
            <v>TE-120615</v>
          </cell>
          <cell r="BG3205" t="str">
            <v>Não Montado</v>
          </cell>
        </row>
        <row r="3206">
          <cell r="A3206" t="str">
            <v>TE-120616</v>
          </cell>
          <cell r="BG3206" t="str">
            <v>Programar</v>
          </cell>
        </row>
        <row r="3207">
          <cell r="A3207" t="str">
            <v>TE-120617</v>
          </cell>
          <cell r="BG3207" t="str">
            <v>Não Montado</v>
          </cell>
        </row>
        <row r="3208">
          <cell r="A3208" t="str">
            <v>TE-120618</v>
          </cell>
          <cell r="BG3208" t="str">
            <v>Não Montado</v>
          </cell>
        </row>
        <row r="3209">
          <cell r="A3209" t="str">
            <v>TE-120619</v>
          </cell>
          <cell r="BG3209" t="str">
            <v>Não Montado</v>
          </cell>
        </row>
        <row r="3210">
          <cell r="A3210" t="str">
            <v>TE-120620</v>
          </cell>
          <cell r="BG3210" t="str">
            <v>Não Montado</v>
          </cell>
        </row>
        <row r="3211">
          <cell r="A3211" t="str">
            <v>TE-120621</v>
          </cell>
          <cell r="BG3211" t="str">
            <v>Não Montado</v>
          </cell>
        </row>
        <row r="3212">
          <cell r="A3212" t="str">
            <v>TE-120625</v>
          </cell>
          <cell r="BG3212" t="str">
            <v>Não Montado</v>
          </cell>
        </row>
        <row r="3213">
          <cell r="A3213" t="str">
            <v>TE-120626</v>
          </cell>
          <cell r="BG3213" t="str">
            <v>Não Montado</v>
          </cell>
        </row>
        <row r="3214">
          <cell r="A3214" t="str">
            <v>TE-120629</v>
          </cell>
          <cell r="BG3214" t="str">
            <v>Não Montado</v>
          </cell>
        </row>
        <row r="3215">
          <cell r="A3215" t="str">
            <v>TE-120630</v>
          </cell>
          <cell r="BG3215" t="str">
            <v>Não Montado</v>
          </cell>
        </row>
        <row r="3216">
          <cell r="A3216" t="str">
            <v>TE-120631</v>
          </cell>
          <cell r="BG3216" t="str">
            <v>Não Montado</v>
          </cell>
        </row>
        <row r="3217">
          <cell r="A3217" t="str">
            <v>TE-120632</v>
          </cell>
          <cell r="BG3217" t="str">
            <v>Não Montado</v>
          </cell>
        </row>
        <row r="3218">
          <cell r="A3218" t="str">
            <v>TE-120635</v>
          </cell>
          <cell r="BG3218" t="str">
            <v>Não Montado</v>
          </cell>
        </row>
        <row r="3219">
          <cell r="A3219" t="str">
            <v>TE-120636</v>
          </cell>
          <cell r="BG3219" t="str">
            <v>Programar</v>
          </cell>
        </row>
        <row r="3220">
          <cell r="A3220" t="str">
            <v>TE-120638</v>
          </cell>
          <cell r="BG3220" t="str">
            <v>Não Montado</v>
          </cell>
        </row>
        <row r="3221">
          <cell r="A3221" t="str">
            <v>TE-120639</v>
          </cell>
          <cell r="BG3221" t="str">
            <v>Não Montado</v>
          </cell>
        </row>
        <row r="3222">
          <cell r="A3222" t="str">
            <v>TE-120640</v>
          </cell>
          <cell r="BG3222" t="str">
            <v>Não Montado</v>
          </cell>
        </row>
        <row r="3223">
          <cell r="A3223" t="str">
            <v>TE-120641</v>
          </cell>
          <cell r="BG3223" t="str">
            <v>Não Montado</v>
          </cell>
        </row>
        <row r="3224">
          <cell r="A3224" t="str">
            <v>TE-120642</v>
          </cell>
          <cell r="BG3224" t="str">
            <v>Não Montado</v>
          </cell>
        </row>
        <row r="3225">
          <cell r="A3225" t="str">
            <v>TE-120643</v>
          </cell>
          <cell r="BG3225" t="str">
            <v>Não Montado</v>
          </cell>
        </row>
        <row r="3226">
          <cell r="A3226" t="str">
            <v>TE-120644</v>
          </cell>
          <cell r="BG3226" t="str">
            <v>Não Montado</v>
          </cell>
        </row>
        <row r="3227">
          <cell r="A3227" t="str">
            <v>TE-120645</v>
          </cell>
          <cell r="BG3227" t="str">
            <v>Não Montado</v>
          </cell>
        </row>
        <row r="3228">
          <cell r="A3228" t="str">
            <v>TE-120649</v>
          </cell>
          <cell r="BG3228" t="str">
            <v>Não Montado</v>
          </cell>
        </row>
        <row r="3229">
          <cell r="A3229" t="str">
            <v>TE-120650</v>
          </cell>
          <cell r="BG3229" t="str">
            <v>Não Montado</v>
          </cell>
        </row>
        <row r="3230">
          <cell r="A3230" t="str">
            <v>TE-120651</v>
          </cell>
          <cell r="BG3230" t="str">
            <v>Não Montado</v>
          </cell>
        </row>
        <row r="3231">
          <cell r="A3231" t="str">
            <v>TE-120660</v>
          </cell>
          <cell r="BG3231" t="str">
            <v>Não Montado</v>
          </cell>
        </row>
        <row r="3232">
          <cell r="A3232" t="str">
            <v>TE-120662A</v>
          </cell>
          <cell r="BG3232" t="str">
            <v>Não Montado</v>
          </cell>
        </row>
        <row r="3233">
          <cell r="A3233" t="str">
            <v>TE-120662B</v>
          </cell>
          <cell r="BG3233" t="str">
            <v>Não Montado</v>
          </cell>
        </row>
        <row r="3234">
          <cell r="A3234" t="str">
            <v>TE-120662C</v>
          </cell>
          <cell r="BG3234" t="str">
            <v>Programar</v>
          </cell>
        </row>
        <row r="3235">
          <cell r="A3235" t="str">
            <v>TE-120662D</v>
          </cell>
          <cell r="BG3235" t="str">
            <v>Não Montado</v>
          </cell>
        </row>
        <row r="3236">
          <cell r="A3236" t="str">
            <v>TE-120662E</v>
          </cell>
          <cell r="BG3236" t="str">
            <v>Não Montado</v>
          </cell>
        </row>
        <row r="3237">
          <cell r="A3237" t="str">
            <v>TE-120662F</v>
          </cell>
          <cell r="BG3237" t="str">
            <v>Não Montado</v>
          </cell>
        </row>
        <row r="3238">
          <cell r="A3238" t="str">
            <v>TE-120700</v>
          </cell>
          <cell r="BG3238" t="str">
            <v>Não Montado</v>
          </cell>
        </row>
        <row r="3239">
          <cell r="A3239" t="str">
            <v>TE-120701</v>
          </cell>
          <cell r="BG3239" t="str">
            <v>Não Montado</v>
          </cell>
        </row>
        <row r="3240">
          <cell r="A3240" t="str">
            <v>TE-120702</v>
          </cell>
          <cell r="BG3240" t="str">
            <v>Não Montado</v>
          </cell>
        </row>
        <row r="3241">
          <cell r="A3241" t="str">
            <v>TE-120703</v>
          </cell>
          <cell r="BG3241" t="str">
            <v>Não Montado</v>
          </cell>
        </row>
        <row r="3242">
          <cell r="A3242" t="str">
            <v>TE-120704</v>
          </cell>
          <cell r="BG3242" t="str">
            <v>Não Montado</v>
          </cell>
        </row>
        <row r="3243">
          <cell r="A3243" t="str">
            <v>TE-120705</v>
          </cell>
          <cell r="BG3243" t="str">
            <v>Não Montado</v>
          </cell>
        </row>
        <row r="3244">
          <cell r="A3244" t="str">
            <v>TE-120706</v>
          </cell>
          <cell r="BG3244" t="str">
            <v>Não Montado</v>
          </cell>
        </row>
        <row r="3245">
          <cell r="A3245" t="str">
            <v>TE-120707</v>
          </cell>
          <cell r="BG3245" t="str">
            <v>Não Montado</v>
          </cell>
        </row>
        <row r="3246">
          <cell r="A3246" t="str">
            <v>TE-120708</v>
          </cell>
          <cell r="BG3246" t="str">
            <v>Não Montado</v>
          </cell>
        </row>
        <row r="3247">
          <cell r="A3247" t="str">
            <v>TE-120709</v>
          </cell>
          <cell r="BG3247" t="str">
            <v>Não Montado</v>
          </cell>
        </row>
        <row r="3248">
          <cell r="A3248" t="str">
            <v>TE-120710</v>
          </cell>
          <cell r="BG3248" t="str">
            <v>Não Montado</v>
          </cell>
        </row>
        <row r="3249">
          <cell r="A3249" t="str">
            <v>TE-120711</v>
          </cell>
          <cell r="BG3249" t="str">
            <v>Não Montado</v>
          </cell>
        </row>
        <row r="3250">
          <cell r="A3250" t="str">
            <v>TE-120712</v>
          </cell>
          <cell r="BG3250" t="str">
            <v>Não Montado</v>
          </cell>
        </row>
        <row r="3251">
          <cell r="A3251" t="str">
            <v>TE-120713</v>
          </cell>
          <cell r="BG3251" t="str">
            <v>Não Montado</v>
          </cell>
        </row>
        <row r="3252">
          <cell r="A3252" t="str">
            <v>TE-120714</v>
          </cell>
          <cell r="BG3252" t="str">
            <v>Não Montado</v>
          </cell>
        </row>
        <row r="3253">
          <cell r="A3253" t="str">
            <v>TE-120715</v>
          </cell>
          <cell r="BG3253" t="str">
            <v>Não Montado</v>
          </cell>
        </row>
        <row r="3254">
          <cell r="A3254" t="str">
            <v>TE-120716</v>
          </cell>
          <cell r="BG3254" t="str">
            <v>Não Montado</v>
          </cell>
        </row>
        <row r="3255">
          <cell r="A3255" t="str">
            <v>TE-120717</v>
          </cell>
          <cell r="BG3255" t="str">
            <v>Não Montado</v>
          </cell>
        </row>
        <row r="3256">
          <cell r="A3256" t="str">
            <v>TE-120718</v>
          </cell>
          <cell r="BG3256" t="str">
            <v>Não Montado</v>
          </cell>
        </row>
        <row r="3257">
          <cell r="A3257" t="str">
            <v>TE-120719</v>
          </cell>
          <cell r="BG3257" t="str">
            <v>Não Montado</v>
          </cell>
        </row>
        <row r="3258">
          <cell r="A3258" t="str">
            <v>TE-120725</v>
          </cell>
          <cell r="BG3258" t="str">
            <v>Não Montado</v>
          </cell>
        </row>
        <row r="3259">
          <cell r="A3259" t="str">
            <v>TE-120726</v>
          </cell>
          <cell r="BG3259" t="str">
            <v>Não Montado</v>
          </cell>
        </row>
        <row r="3260">
          <cell r="A3260" t="str">
            <v>TE-120729</v>
          </cell>
          <cell r="BG3260" t="str">
            <v>Não Montado</v>
          </cell>
        </row>
        <row r="3261">
          <cell r="A3261" t="str">
            <v>TE-120730</v>
          </cell>
          <cell r="BG3261" t="str">
            <v>Não Montado</v>
          </cell>
        </row>
        <row r="3262">
          <cell r="A3262" t="str">
            <v>TE-120731</v>
          </cell>
          <cell r="BG3262" t="str">
            <v>Não Montado</v>
          </cell>
        </row>
        <row r="3263">
          <cell r="A3263" t="str">
            <v>TE-120732</v>
          </cell>
          <cell r="BG3263" t="str">
            <v>Não Montado</v>
          </cell>
        </row>
        <row r="3264">
          <cell r="A3264" t="str">
            <v>TE-120743</v>
          </cell>
          <cell r="BG3264" t="str">
            <v>Não Montado</v>
          </cell>
        </row>
        <row r="3265">
          <cell r="A3265" t="str">
            <v>TE-120744</v>
          </cell>
          <cell r="BG3265" t="str">
            <v>Não Montado</v>
          </cell>
        </row>
        <row r="3266">
          <cell r="A3266" t="str">
            <v>TE-120745</v>
          </cell>
          <cell r="BG3266" t="str">
            <v>Não Montado</v>
          </cell>
        </row>
        <row r="3267">
          <cell r="A3267" t="str">
            <v>TE-120901</v>
          </cell>
          <cell r="BG3267" t="str">
            <v>Não Montado</v>
          </cell>
        </row>
        <row r="3268">
          <cell r="A3268" t="str">
            <v>TE-120902</v>
          </cell>
          <cell r="BG3268" t="str">
            <v>Não Montado</v>
          </cell>
        </row>
        <row r="3269">
          <cell r="A3269" t="str">
            <v>TE-120951</v>
          </cell>
          <cell r="BG3269" t="str">
            <v>Programar</v>
          </cell>
        </row>
        <row r="3270">
          <cell r="A3270" t="str">
            <v>TE-120962</v>
          </cell>
          <cell r="BG3270" t="str">
            <v>Não Montado</v>
          </cell>
        </row>
        <row r="3271">
          <cell r="A3271" t="str">
            <v>TE-120984</v>
          </cell>
          <cell r="BG3271" t="str">
            <v>Não Montado</v>
          </cell>
        </row>
        <row r="3272">
          <cell r="A3272" t="str">
            <v>TE-120985</v>
          </cell>
          <cell r="BG3272" t="str">
            <v>Não Montado</v>
          </cell>
        </row>
        <row r="3273">
          <cell r="A3273" t="str">
            <v>TE-120986</v>
          </cell>
          <cell r="BG3273" t="str">
            <v>Não Montado</v>
          </cell>
        </row>
        <row r="3274">
          <cell r="A3274" t="str">
            <v>TE-120987</v>
          </cell>
          <cell r="BG3274" t="str">
            <v>Não Montado</v>
          </cell>
        </row>
        <row r="3275">
          <cell r="A3275" t="str">
            <v>TE-120988</v>
          </cell>
          <cell r="BG3275" t="str">
            <v>Não Montado</v>
          </cell>
        </row>
        <row r="3276">
          <cell r="A3276" t="str">
            <v>TE-120989</v>
          </cell>
          <cell r="BG3276" t="str">
            <v>Não Montado</v>
          </cell>
        </row>
        <row r="3277">
          <cell r="A3277" t="str">
            <v>TE-120990</v>
          </cell>
          <cell r="BG3277" t="str">
            <v>Não Montado</v>
          </cell>
        </row>
        <row r="3278">
          <cell r="A3278" t="str">
            <v>TE-120991</v>
          </cell>
          <cell r="BG3278" t="str">
            <v>Não Montado</v>
          </cell>
        </row>
        <row r="3279">
          <cell r="A3279" t="str">
            <v>TE-120992</v>
          </cell>
          <cell r="BG3279" t="str">
            <v>Não Montado</v>
          </cell>
        </row>
        <row r="3280">
          <cell r="A3280" t="str">
            <v>TE-120993</v>
          </cell>
          <cell r="BG3280" t="str">
            <v>Não Montado</v>
          </cell>
        </row>
        <row r="3281">
          <cell r="A3281" t="str">
            <v>TE-120994</v>
          </cell>
          <cell r="BG3281" t="str">
            <v>Não Montado</v>
          </cell>
        </row>
        <row r="3282">
          <cell r="A3282" t="str">
            <v>TE-121301</v>
          </cell>
          <cell r="BG3282" t="str">
            <v>Não Montado</v>
          </cell>
        </row>
        <row r="3283">
          <cell r="A3283" t="str">
            <v>TE-121312</v>
          </cell>
          <cell r="BG3283" t="str">
            <v>Não Montado</v>
          </cell>
        </row>
        <row r="3284">
          <cell r="A3284" t="str">
            <v>TE-121313</v>
          </cell>
          <cell r="BG3284" t="str">
            <v>Não Montado</v>
          </cell>
        </row>
        <row r="3285">
          <cell r="A3285" t="str">
            <v>TE-121314</v>
          </cell>
          <cell r="BG3285" t="str">
            <v>Não Montado</v>
          </cell>
        </row>
        <row r="3286">
          <cell r="A3286" t="str">
            <v>TE-121315</v>
          </cell>
          <cell r="BG3286" t="str">
            <v>Não Montado</v>
          </cell>
        </row>
        <row r="3287">
          <cell r="A3287" t="str">
            <v>TE-121316</v>
          </cell>
          <cell r="BG3287" t="str">
            <v>Não Montado</v>
          </cell>
        </row>
        <row r="3288">
          <cell r="A3288" t="str">
            <v>TE-121317</v>
          </cell>
          <cell r="BG3288" t="str">
            <v>Não Montado</v>
          </cell>
        </row>
        <row r="3289">
          <cell r="A3289" t="str">
            <v>TE-121318</v>
          </cell>
          <cell r="BG3289" t="str">
            <v>Não Montado</v>
          </cell>
        </row>
        <row r="3290">
          <cell r="A3290" t="str">
            <v>TE-121319</v>
          </cell>
          <cell r="BG3290" t="str">
            <v>Não Montado</v>
          </cell>
        </row>
        <row r="3291">
          <cell r="A3291" t="str">
            <v>TE-121322</v>
          </cell>
          <cell r="BG3291" t="str">
            <v>Não Montado</v>
          </cell>
        </row>
        <row r="3292">
          <cell r="A3292" t="str">
            <v>TE-121323</v>
          </cell>
          <cell r="BG3292" t="str">
            <v>Não Montado</v>
          </cell>
        </row>
        <row r="3293">
          <cell r="A3293" t="str">
            <v>TE-121324</v>
          </cell>
          <cell r="BG3293" t="str">
            <v>Não Montado</v>
          </cell>
        </row>
        <row r="3294">
          <cell r="A3294" t="str">
            <v>TE-121325</v>
          </cell>
          <cell r="BG3294" t="str">
            <v>Não Montado</v>
          </cell>
        </row>
        <row r="3295">
          <cell r="A3295" t="str">
            <v>TE-121326</v>
          </cell>
          <cell r="BG3295" t="str">
            <v>Não Montado</v>
          </cell>
        </row>
        <row r="3296">
          <cell r="A3296" t="str">
            <v>TE-121327</v>
          </cell>
          <cell r="BG3296" t="str">
            <v>Não Montado</v>
          </cell>
        </row>
        <row r="3297">
          <cell r="A3297" t="str">
            <v>TE-121328</v>
          </cell>
          <cell r="BG3297" t="str">
            <v>Não Montado</v>
          </cell>
        </row>
        <row r="3298">
          <cell r="A3298" t="str">
            <v>TE-121329</v>
          </cell>
          <cell r="BG3298" t="str">
            <v>Não Montado</v>
          </cell>
        </row>
        <row r="3299">
          <cell r="A3299" t="str">
            <v>TE-121330</v>
          </cell>
          <cell r="BG3299" t="str">
            <v>Não Montado</v>
          </cell>
        </row>
        <row r="3300">
          <cell r="A3300" t="str">
            <v>TE-121331</v>
          </cell>
          <cell r="BG3300" t="str">
            <v>Não Montado</v>
          </cell>
        </row>
        <row r="3301">
          <cell r="A3301" t="str">
            <v>TE-121332</v>
          </cell>
          <cell r="BG3301" t="str">
            <v>Não Montado</v>
          </cell>
        </row>
        <row r="3302">
          <cell r="A3302" t="str">
            <v>TE-121332A</v>
          </cell>
          <cell r="BG3302" t="str">
            <v>Não Montado</v>
          </cell>
        </row>
        <row r="3303">
          <cell r="A3303" t="str">
            <v>TE-121332B</v>
          </cell>
          <cell r="BG3303" t="str">
            <v>Não Montado</v>
          </cell>
        </row>
        <row r="3304">
          <cell r="A3304" t="str">
            <v>TE-121333</v>
          </cell>
          <cell r="BG3304" t="str">
            <v>Não Montado</v>
          </cell>
        </row>
        <row r="3305">
          <cell r="A3305" t="str">
            <v>TE-121333A</v>
          </cell>
          <cell r="BG3305" t="str">
            <v>Não Montado</v>
          </cell>
        </row>
        <row r="3306">
          <cell r="A3306" t="str">
            <v>TE-121333B</v>
          </cell>
          <cell r="BG3306" t="str">
            <v>Não Montado</v>
          </cell>
        </row>
        <row r="3307">
          <cell r="A3307" t="str">
            <v>TE-121334</v>
          </cell>
          <cell r="BG3307" t="str">
            <v>Não Montado</v>
          </cell>
        </row>
        <row r="3308">
          <cell r="A3308" t="str">
            <v>TE-121335</v>
          </cell>
          <cell r="BG3308" t="str">
            <v>Não Montado</v>
          </cell>
        </row>
        <row r="3309">
          <cell r="A3309" t="str">
            <v>TE-121338</v>
          </cell>
          <cell r="BG3309" t="str">
            <v>Não Montado</v>
          </cell>
        </row>
        <row r="3310">
          <cell r="A3310" t="str">
            <v>TE-121340</v>
          </cell>
          <cell r="BG3310" t="str">
            <v>Não Montado</v>
          </cell>
        </row>
        <row r="3311">
          <cell r="A3311" t="str">
            <v>TE-121341</v>
          </cell>
          <cell r="BG3311" t="str">
            <v>Não Montado</v>
          </cell>
        </row>
        <row r="3312">
          <cell r="A3312" t="str">
            <v>TE-121341A</v>
          </cell>
          <cell r="BG3312" t="str">
            <v>Não Montado</v>
          </cell>
        </row>
        <row r="3313">
          <cell r="A3313" t="str">
            <v>TE-121341B</v>
          </cell>
          <cell r="BG3313" t="str">
            <v>Não Montado</v>
          </cell>
        </row>
        <row r="3314">
          <cell r="A3314" t="str">
            <v>TE-121342</v>
          </cell>
          <cell r="BG3314" t="str">
            <v>Não Montado</v>
          </cell>
        </row>
        <row r="3315">
          <cell r="A3315" t="str">
            <v>TE-121342A</v>
          </cell>
          <cell r="BG3315" t="str">
            <v>Não Montado</v>
          </cell>
        </row>
        <row r="3316">
          <cell r="A3316" t="str">
            <v>TE-121342B</v>
          </cell>
          <cell r="BG3316" t="str">
            <v>Não Montado</v>
          </cell>
        </row>
        <row r="3317">
          <cell r="A3317" t="str">
            <v>TE-121343A</v>
          </cell>
          <cell r="BG3317" t="str">
            <v>Não Montado</v>
          </cell>
        </row>
        <row r="3318">
          <cell r="A3318" t="str">
            <v>TE-121343B</v>
          </cell>
          <cell r="BG3318" t="str">
            <v>Não Montado</v>
          </cell>
        </row>
        <row r="3319">
          <cell r="A3319" t="str">
            <v>TE-121343B-A</v>
          </cell>
          <cell r="BG3319" t="str">
            <v>Não Montado</v>
          </cell>
        </row>
        <row r="3320">
          <cell r="A3320" t="str">
            <v>TE-121343B-B</v>
          </cell>
          <cell r="BG3320" t="str">
            <v>Não Montado</v>
          </cell>
        </row>
        <row r="3321">
          <cell r="A3321" t="str">
            <v>TE-121344</v>
          </cell>
          <cell r="BG3321" t="str">
            <v>Não Montado</v>
          </cell>
        </row>
        <row r="3322">
          <cell r="A3322" t="str">
            <v>TE-121344A</v>
          </cell>
          <cell r="BG3322" t="str">
            <v>Não Montado</v>
          </cell>
        </row>
        <row r="3323">
          <cell r="A3323" t="str">
            <v>TE-121344B</v>
          </cell>
          <cell r="BG3323" t="str">
            <v>Não Montado</v>
          </cell>
        </row>
        <row r="3324">
          <cell r="A3324" t="str">
            <v>TE-121345A</v>
          </cell>
          <cell r="BG3324" t="str">
            <v>Não Montado</v>
          </cell>
        </row>
        <row r="3325">
          <cell r="A3325" t="str">
            <v>TE-121345A-A</v>
          </cell>
          <cell r="BG3325" t="str">
            <v>Não Montado</v>
          </cell>
        </row>
        <row r="3326">
          <cell r="A3326" t="str">
            <v>TE-121345A-B</v>
          </cell>
          <cell r="BG3326" t="str">
            <v>Não Montado</v>
          </cell>
        </row>
        <row r="3327">
          <cell r="A3327" t="str">
            <v>TE-121345B</v>
          </cell>
          <cell r="BG3327" t="str">
            <v>Não Montado</v>
          </cell>
        </row>
        <row r="3328">
          <cell r="A3328" t="str">
            <v>TE-121345B-A</v>
          </cell>
          <cell r="BG3328" t="str">
            <v>Não Montado</v>
          </cell>
        </row>
        <row r="3329">
          <cell r="A3329" t="str">
            <v>TE-121345B-B</v>
          </cell>
          <cell r="BG3329" t="str">
            <v>Não Montado</v>
          </cell>
        </row>
        <row r="3330">
          <cell r="A3330" t="str">
            <v>TE-121346</v>
          </cell>
          <cell r="BG3330" t="str">
            <v>Não Montado</v>
          </cell>
        </row>
        <row r="3331">
          <cell r="A3331" t="str">
            <v>TE-121347</v>
          </cell>
          <cell r="BG3331" t="str">
            <v>Não Montado</v>
          </cell>
        </row>
        <row r="3332">
          <cell r="A3332" t="str">
            <v>TE-121347A</v>
          </cell>
          <cell r="BG3332" t="str">
            <v>Não Montado</v>
          </cell>
        </row>
        <row r="3333">
          <cell r="A3333" t="str">
            <v>TE-121347B</v>
          </cell>
          <cell r="BG3333" t="str">
            <v>Não Montado</v>
          </cell>
        </row>
        <row r="3334">
          <cell r="A3334" t="str">
            <v>TE-121348</v>
          </cell>
          <cell r="BG3334" t="str">
            <v>Não Montado</v>
          </cell>
        </row>
        <row r="3335">
          <cell r="A3335" t="str">
            <v>TE-121348A</v>
          </cell>
          <cell r="BG3335" t="str">
            <v>Não Montado</v>
          </cell>
        </row>
        <row r="3336">
          <cell r="A3336" t="str">
            <v>TE-121348B</v>
          </cell>
          <cell r="BG3336" t="str">
            <v>Não Montado</v>
          </cell>
        </row>
        <row r="3337">
          <cell r="A3337" t="str">
            <v>TE-121412</v>
          </cell>
          <cell r="BG3337" t="str">
            <v>Não Montado</v>
          </cell>
        </row>
        <row r="3338">
          <cell r="A3338" t="str">
            <v>TE-121413</v>
          </cell>
          <cell r="BG3338" t="str">
            <v>Não Montado</v>
          </cell>
        </row>
        <row r="3339">
          <cell r="A3339" t="str">
            <v>TE-121414</v>
          </cell>
          <cell r="BG3339" t="str">
            <v>Não Montado</v>
          </cell>
        </row>
        <row r="3340">
          <cell r="A3340" t="str">
            <v>TE-121415</v>
          </cell>
          <cell r="BG3340" t="str">
            <v>Não Montado</v>
          </cell>
        </row>
        <row r="3341">
          <cell r="A3341" t="str">
            <v>TE-121416</v>
          </cell>
          <cell r="BG3341" t="str">
            <v>Não Montado</v>
          </cell>
        </row>
        <row r="3342">
          <cell r="A3342" t="str">
            <v>TE-121417</v>
          </cell>
          <cell r="BG3342" t="str">
            <v>Não Montado</v>
          </cell>
        </row>
        <row r="3343">
          <cell r="A3343" t="str">
            <v>TE-121418</v>
          </cell>
          <cell r="BG3343" t="str">
            <v>Não Montado</v>
          </cell>
        </row>
        <row r="3344">
          <cell r="A3344" t="str">
            <v>TE-121419</v>
          </cell>
          <cell r="BG3344" t="str">
            <v>Não Montado</v>
          </cell>
        </row>
        <row r="3345">
          <cell r="A3345" t="str">
            <v>TE-121422</v>
          </cell>
          <cell r="BG3345" t="str">
            <v>Não Montado</v>
          </cell>
        </row>
        <row r="3346">
          <cell r="A3346" t="str">
            <v>TE-121423</v>
          </cell>
          <cell r="BG3346" t="str">
            <v>Não Montado</v>
          </cell>
        </row>
        <row r="3347">
          <cell r="A3347" t="str">
            <v>TE-121424</v>
          </cell>
          <cell r="BG3347" t="str">
            <v>Não Montado</v>
          </cell>
        </row>
        <row r="3348">
          <cell r="A3348" t="str">
            <v>TE-121425</v>
          </cell>
          <cell r="BG3348" t="str">
            <v>Não Montado</v>
          </cell>
        </row>
        <row r="3349">
          <cell r="A3349" t="str">
            <v>TE-121426</v>
          </cell>
          <cell r="BG3349" t="str">
            <v>Não Montado</v>
          </cell>
        </row>
        <row r="3350">
          <cell r="A3350" t="str">
            <v>TE-121427</v>
          </cell>
          <cell r="BG3350" t="str">
            <v>Não Montado</v>
          </cell>
        </row>
        <row r="3351">
          <cell r="A3351" t="str">
            <v>TE-121428</v>
          </cell>
          <cell r="BG3351" t="str">
            <v>Não Montado</v>
          </cell>
        </row>
        <row r="3352">
          <cell r="A3352" t="str">
            <v>TE-121429</v>
          </cell>
          <cell r="BG3352" t="str">
            <v>Não Montado</v>
          </cell>
        </row>
        <row r="3353">
          <cell r="A3353" t="str">
            <v>TE-121430</v>
          </cell>
          <cell r="BG3353" t="str">
            <v>Não Montado</v>
          </cell>
        </row>
        <row r="3354">
          <cell r="A3354" t="str">
            <v>TE-121431</v>
          </cell>
          <cell r="BG3354" t="str">
            <v>Não Montado</v>
          </cell>
        </row>
        <row r="3355">
          <cell r="A3355" t="str">
            <v>TE-121432</v>
          </cell>
          <cell r="BG3355" t="str">
            <v>Não Montado</v>
          </cell>
        </row>
        <row r="3356">
          <cell r="A3356" t="str">
            <v>TE-121433</v>
          </cell>
          <cell r="BG3356" t="str">
            <v>Não Montado</v>
          </cell>
        </row>
        <row r="3357">
          <cell r="A3357" t="str">
            <v>TE-121434</v>
          </cell>
          <cell r="BG3357" t="str">
            <v>Não Montado</v>
          </cell>
        </row>
        <row r="3358">
          <cell r="A3358" t="str">
            <v>TE-121435</v>
          </cell>
          <cell r="BG3358" t="str">
            <v>Não Montado</v>
          </cell>
        </row>
        <row r="3359">
          <cell r="A3359" t="str">
            <v>TE-121438</v>
          </cell>
          <cell r="BG3359" t="str">
            <v>Não Montado</v>
          </cell>
        </row>
        <row r="3360">
          <cell r="A3360" t="str">
            <v>TE-121440</v>
          </cell>
          <cell r="BG3360" t="str">
            <v>Não Montado</v>
          </cell>
        </row>
        <row r="3361">
          <cell r="A3361" t="str">
            <v>TE-121440A</v>
          </cell>
          <cell r="BG3361" t="str">
            <v>Não Montado</v>
          </cell>
        </row>
        <row r="3362">
          <cell r="A3362" t="str">
            <v>TE-121440B</v>
          </cell>
          <cell r="BG3362" t="str">
            <v>Não Montado</v>
          </cell>
        </row>
        <row r="3363">
          <cell r="A3363" t="str">
            <v>TE-121441</v>
          </cell>
          <cell r="BG3363" t="str">
            <v>Não Montado</v>
          </cell>
        </row>
        <row r="3364">
          <cell r="A3364" t="str">
            <v>TE-121442</v>
          </cell>
          <cell r="BG3364" t="str">
            <v>Não Montado</v>
          </cell>
        </row>
        <row r="3365">
          <cell r="A3365" t="str">
            <v>TE-121443A</v>
          </cell>
          <cell r="BG3365" t="str">
            <v>Não Montado</v>
          </cell>
        </row>
        <row r="3366">
          <cell r="A3366" t="str">
            <v>TE-121443A-A</v>
          </cell>
          <cell r="BG3366" t="str">
            <v>Não Montado</v>
          </cell>
        </row>
        <row r="3367">
          <cell r="A3367" t="str">
            <v>TE-121443A-B</v>
          </cell>
          <cell r="BG3367" t="str">
            <v>Não Montado</v>
          </cell>
        </row>
        <row r="3368">
          <cell r="A3368" t="str">
            <v>TE-121443B</v>
          </cell>
          <cell r="BG3368" t="str">
            <v>Não Montado</v>
          </cell>
        </row>
        <row r="3369">
          <cell r="A3369" t="str">
            <v>TE-121443B-A</v>
          </cell>
          <cell r="BG3369" t="str">
            <v>Não Montado</v>
          </cell>
        </row>
        <row r="3370">
          <cell r="A3370" t="str">
            <v>TE-121443B-B</v>
          </cell>
          <cell r="BG3370" t="str">
            <v>Não Montado</v>
          </cell>
        </row>
        <row r="3371">
          <cell r="A3371" t="str">
            <v>TE-121444</v>
          </cell>
          <cell r="BG3371" t="str">
            <v>Não Montado</v>
          </cell>
        </row>
        <row r="3372">
          <cell r="A3372" t="str">
            <v>TE-121445A</v>
          </cell>
          <cell r="BG3372" t="str">
            <v>Não Montado</v>
          </cell>
        </row>
        <row r="3373">
          <cell r="A3373" t="str">
            <v>TE-121445A-A</v>
          </cell>
          <cell r="BG3373" t="str">
            <v>Não Montado</v>
          </cell>
        </row>
        <row r="3374">
          <cell r="A3374" t="str">
            <v>TE-121445A-B</v>
          </cell>
          <cell r="BG3374" t="str">
            <v>Não Montado</v>
          </cell>
        </row>
        <row r="3375">
          <cell r="A3375" t="str">
            <v>TE-121445B</v>
          </cell>
          <cell r="BG3375" t="str">
            <v>Não Montado</v>
          </cell>
        </row>
        <row r="3376">
          <cell r="A3376" t="str">
            <v>TE-121445B-A</v>
          </cell>
          <cell r="BG3376" t="str">
            <v>Não Montado</v>
          </cell>
        </row>
        <row r="3377">
          <cell r="A3377" t="str">
            <v>TE-121445B-B</v>
          </cell>
          <cell r="BG3377" t="str">
            <v>Não Montado</v>
          </cell>
        </row>
        <row r="3378">
          <cell r="A3378" t="str">
            <v>TE-121446</v>
          </cell>
          <cell r="BG3378" t="str">
            <v>Não Montado</v>
          </cell>
        </row>
        <row r="3379">
          <cell r="A3379" t="str">
            <v>TE-121447</v>
          </cell>
          <cell r="BG3379" t="str">
            <v>Não Montado</v>
          </cell>
        </row>
        <row r="3380">
          <cell r="A3380" t="str">
            <v>TE-121448</v>
          </cell>
          <cell r="BG3380" t="str">
            <v>Não Montado</v>
          </cell>
        </row>
        <row r="3381">
          <cell r="A3381" t="str">
            <v>TE-121448A</v>
          </cell>
          <cell r="BG3381" t="str">
            <v>Não Montado</v>
          </cell>
        </row>
        <row r="3382">
          <cell r="A3382" t="str">
            <v>TE-121448B</v>
          </cell>
          <cell r="BG3382" t="str">
            <v>Não Montado</v>
          </cell>
        </row>
        <row r="3383">
          <cell r="A3383" t="str">
            <v>TE-121500</v>
          </cell>
          <cell r="BG3383" t="str">
            <v>Não Montado</v>
          </cell>
        </row>
        <row r="3384">
          <cell r="A3384" t="str">
            <v>TE-121501</v>
          </cell>
          <cell r="BG3384" t="str">
            <v>Não Montado</v>
          </cell>
        </row>
        <row r="3385">
          <cell r="A3385" t="str">
            <v>TE-121502</v>
          </cell>
          <cell r="BG3385" t="str">
            <v>Não Montado</v>
          </cell>
        </row>
        <row r="3386">
          <cell r="A3386" t="str">
            <v>TE-121503</v>
          </cell>
          <cell r="BG3386" t="str">
            <v>Não Montado</v>
          </cell>
        </row>
        <row r="3387">
          <cell r="A3387" t="str">
            <v>TE-121504</v>
          </cell>
          <cell r="BG3387" t="str">
            <v>Não Montado</v>
          </cell>
        </row>
        <row r="3388">
          <cell r="A3388" t="str">
            <v>TE-121505</v>
          </cell>
          <cell r="BG3388" t="str">
            <v>Não Montado</v>
          </cell>
        </row>
        <row r="3389">
          <cell r="A3389" t="str">
            <v>TE-121520</v>
          </cell>
          <cell r="BG3389" t="str">
            <v>Não Montado</v>
          </cell>
        </row>
        <row r="3390">
          <cell r="A3390" t="str">
            <v>TE-121521</v>
          </cell>
          <cell r="BG3390" t="str">
            <v>Não Montado</v>
          </cell>
        </row>
        <row r="3391">
          <cell r="A3391" t="str">
            <v>TE-121522</v>
          </cell>
          <cell r="BG3391" t="str">
            <v>Não Montado</v>
          </cell>
        </row>
        <row r="3392">
          <cell r="A3392" t="str">
            <v>TE-121523</v>
          </cell>
          <cell r="BG3392" t="str">
            <v>Não Montado</v>
          </cell>
        </row>
        <row r="3393">
          <cell r="A3393" t="str">
            <v>TE-121524</v>
          </cell>
          <cell r="BG3393" t="str">
            <v>Não Montado</v>
          </cell>
        </row>
        <row r="3394">
          <cell r="A3394" t="str">
            <v>TE-121525</v>
          </cell>
          <cell r="BG3394" t="str">
            <v>Não Montado</v>
          </cell>
        </row>
        <row r="3395">
          <cell r="A3395" t="str">
            <v>TE-121931</v>
          </cell>
          <cell r="BG3395" t="str">
            <v>Não Montado</v>
          </cell>
        </row>
        <row r="3396">
          <cell r="A3396" t="str">
            <v>TE-121932</v>
          </cell>
          <cell r="BG3396" t="str">
            <v>Não Montado</v>
          </cell>
        </row>
        <row r="3397">
          <cell r="A3397" t="str">
            <v>TE-121933</v>
          </cell>
          <cell r="BG3397" t="str">
            <v>Não Montado</v>
          </cell>
        </row>
        <row r="3398">
          <cell r="A3398" t="str">
            <v>TE-121934</v>
          </cell>
          <cell r="BG3398" t="str">
            <v>Não Montado</v>
          </cell>
        </row>
        <row r="3399">
          <cell r="A3399" t="str">
            <v>TE-121935</v>
          </cell>
          <cell r="BG3399" t="str">
            <v>Não Montado</v>
          </cell>
        </row>
        <row r="3400">
          <cell r="A3400" t="str">
            <v>TE-121936</v>
          </cell>
          <cell r="BG3400" t="str">
            <v>Não Montado</v>
          </cell>
        </row>
        <row r="3401">
          <cell r="A3401" t="str">
            <v>TE-121937</v>
          </cell>
          <cell r="BG3401" t="str">
            <v>Não Montado</v>
          </cell>
        </row>
        <row r="3402">
          <cell r="A3402" t="str">
            <v>TE-121938</v>
          </cell>
          <cell r="BG3402" t="str">
            <v>Não Montado</v>
          </cell>
        </row>
        <row r="3403">
          <cell r="A3403" t="str">
            <v>TE-121939</v>
          </cell>
          <cell r="BG3403" t="str">
            <v>Não Montado</v>
          </cell>
        </row>
        <row r="3404">
          <cell r="A3404" t="str">
            <v>TE-121940</v>
          </cell>
          <cell r="BG3404" t="str">
            <v>Não Montado</v>
          </cell>
        </row>
        <row r="3405">
          <cell r="A3405" t="str">
            <v>TE-121951</v>
          </cell>
          <cell r="BG3405" t="str">
            <v>Não Montado</v>
          </cell>
        </row>
        <row r="3406">
          <cell r="A3406" t="str">
            <v>TE-121952</v>
          </cell>
          <cell r="BG3406" t="str">
            <v>Não Montado</v>
          </cell>
        </row>
        <row r="3407">
          <cell r="A3407" t="str">
            <v>TE-121953</v>
          </cell>
          <cell r="BG3407" t="str">
            <v>Não Montado</v>
          </cell>
        </row>
        <row r="3408">
          <cell r="A3408" t="str">
            <v>TE-121954</v>
          </cell>
          <cell r="BG3408" t="str">
            <v>Não Montado</v>
          </cell>
        </row>
        <row r="3409">
          <cell r="A3409" t="str">
            <v>TE-121955</v>
          </cell>
          <cell r="BG3409" t="str">
            <v>Não Montado</v>
          </cell>
        </row>
        <row r="3410">
          <cell r="A3410" t="str">
            <v>TE-121956</v>
          </cell>
          <cell r="BG3410" t="str">
            <v>Não Montado</v>
          </cell>
        </row>
        <row r="3411">
          <cell r="A3411" t="str">
            <v>TE-121957</v>
          </cell>
          <cell r="BG3411" t="str">
            <v>Não Montado</v>
          </cell>
        </row>
        <row r="3412">
          <cell r="A3412" t="str">
            <v>TE-121958</v>
          </cell>
          <cell r="BG3412" t="str">
            <v>Não Montado</v>
          </cell>
        </row>
        <row r="3413">
          <cell r="A3413" t="str">
            <v>TE-121959</v>
          </cell>
          <cell r="BG3413" t="str">
            <v>Não Montado</v>
          </cell>
        </row>
        <row r="3414">
          <cell r="A3414" t="str">
            <v>TE-121960</v>
          </cell>
          <cell r="BG3414" t="str">
            <v>Não Montado</v>
          </cell>
        </row>
        <row r="3415">
          <cell r="A3415" t="str">
            <v>TE-121961</v>
          </cell>
          <cell r="BG3415" t="str">
            <v>Não Montado</v>
          </cell>
        </row>
        <row r="3416">
          <cell r="A3416" t="str">
            <v>TE-121962</v>
          </cell>
          <cell r="BG3416" t="str">
            <v>Não Montado</v>
          </cell>
        </row>
        <row r="3417">
          <cell r="A3417" t="str">
            <v>TE-121963</v>
          </cell>
          <cell r="BG3417" t="str">
            <v>Não Montado</v>
          </cell>
        </row>
        <row r="3418">
          <cell r="A3418" t="str">
            <v>TE-121964</v>
          </cell>
          <cell r="BG3418" t="str">
            <v>Não Montado</v>
          </cell>
        </row>
        <row r="3419">
          <cell r="A3419" t="str">
            <v>TE-121965</v>
          </cell>
          <cell r="BG3419" t="str">
            <v>Não Montado</v>
          </cell>
        </row>
        <row r="3420">
          <cell r="A3420" t="str">
            <v>TE-121966</v>
          </cell>
          <cell r="BG3420" t="str">
            <v>Não Montado</v>
          </cell>
        </row>
        <row r="3421">
          <cell r="A3421" t="str">
            <v>TE-121967</v>
          </cell>
          <cell r="BG3421" t="str">
            <v>Não Montado</v>
          </cell>
        </row>
        <row r="3422">
          <cell r="A3422" t="str">
            <v>TE-121968</v>
          </cell>
          <cell r="BG3422" t="str">
            <v>Não Montado</v>
          </cell>
        </row>
        <row r="3423">
          <cell r="A3423" t="str">
            <v>TE-121969</v>
          </cell>
          <cell r="BG3423" t="str">
            <v>Não Montado</v>
          </cell>
        </row>
        <row r="3424">
          <cell r="A3424" t="str">
            <v>TE-121970</v>
          </cell>
          <cell r="BG3424" t="str">
            <v>Não Montado</v>
          </cell>
        </row>
        <row r="3425">
          <cell r="A3425" t="str">
            <v>TE-121971</v>
          </cell>
          <cell r="BG3425" t="str">
            <v>Não Montado</v>
          </cell>
        </row>
        <row r="3426">
          <cell r="A3426" t="str">
            <v>TE-121972</v>
          </cell>
          <cell r="BG3426" t="str">
            <v>Não Montado</v>
          </cell>
        </row>
        <row r="3427">
          <cell r="A3427" t="str">
            <v>TE-121973</v>
          </cell>
          <cell r="BG3427" t="str">
            <v>Não Montado</v>
          </cell>
        </row>
        <row r="3428">
          <cell r="A3428" t="str">
            <v>TE-121974</v>
          </cell>
          <cell r="BG3428" t="str">
            <v>Não Montado</v>
          </cell>
        </row>
        <row r="3429">
          <cell r="A3429" t="str">
            <v>TE-121975</v>
          </cell>
          <cell r="BG3429" t="str">
            <v>Não Montado</v>
          </cell>
        </row>
        <row r="3430">
          <cell r="A3430" t="str">
            <v>TE-121976</v>
          </cell>
          <cell r="BG3430" t="str">
            <v>Não Montado</v>
          </cell>
        </row>
        <row r="3431">
          <cell r="A3431" t="str">
            <v>TE-121977</v>
          </cell>
          <cell r="BG3431" t="str">
            <v>Não Montado</v>
          </cell>
        </row>
        <row r="3432">
          <cell r="A3432" t="str">
            <v>TE-121978</v>
          </cell>
          <cell r="BG3432" t="str">
            <v>Não Montado</v>
          </cell>
        </row>
        <row r="3433">
          <cell r="A3433" t="str">
            <v>TE-121979</v>
          </cell>
          <cell r="BG3433" t="str">
            <v>Não Montado</v>
          </cell>
        </row>
        <row r="3434">
          <cell r="A3434" t="str">
            <v>TE-121980</v>
          </cell>
          <cell r="BG3434" t="str">
            <v>Não Montado</v>
          </cell>
        </row>
        <row r="3435">
          <cell r="A3435" t="str">
            <v>TE-121981</v>
          </cell>
          <cell r="BG3435" t="str">
            <v>Não Montado</v>
          </cell>
        </row>
        <row r="3436">
          <cell r="A3436" t="str">
            <v>TE-121982</v>
          </cell>
          <cell r="BG3436" t="str">
            <v>Não Montado</v>
          </cell>
        </row>
        <row r="3437">
          <cell r="A3437" t="str">
            <v>TE-121983</v>
          </cell>
          <cell r="BG3437" t="str">
            <v>Não Montado</v>
          </cell>
        </row>
        <row r="3438">
          <cell r="A3438" t="str">
            <v>TE-121984</v>
          </cell>
          <cell r="BG3438" t="str">
            <v>Não Montado</v>
          </cell>
        </row>
        <row r="3439">
          <cell r="A3439" t="str">
            <v>TE-121985</v>
          </cell>
          <cell r="BG3439" t="str">
            <v>Não Montado</v>
          </cell>
        </row>
        <row r="3440">
          <cell r="A3440" t="str">
            <v>TE-121986</v>
          </cell>
          <cell r="BG3440" t="str">
            <v>Não Montado</v>
          </cell>
        </row>
        <row r="3441">
          <cell r="A3441" t="str">
            <v>TE-121987</v>
          </cell>
          <cell r="BG3441" t="str">
            <v>Não Montado</v>
          </cell>
        </row>
        <row r="3442">
          <cell r="A3442" t="str">
            <v>TE-121988</v>
          </cell>
          <cell r="BG3442" t="str">
            <v>Não Montado</v>
          </cell>
        </row>
        <row r="3443">
          <cell r="A3443" t="str">
            <v>TE-121989</v>
          </cell>
          <cell r="BG3443" t="str">
            <v>Não Montado</v>
          </cell>
        </row>
        <row r="3444">
          <cell r="A3444" t="str">
            <v>TE-121990</v>
          </cell>
          <cell r="BG3444" t="str">
            <v>Não Montado</v>
          </cell>
        </row>
        <row r="3445">
          <cell r="A3445" t="str">
            <v>TE-122001</v>
          </cell>
          <cell r="BG3445" t="str">
            <v>Não Montado</v>
          </cell>
        </row>
        <row r="3446">
          <cell r="A3446" t="str">
            <v>TE-122027</v>
          </cell>
          <cell r="BG3446" t="str">
            <v>Não Montado</v>
          </cell>
        </row>
        <row r="3447">
          <cell r="A3447" t="str">
            <v>TE-122029</v>
          </cell>
          <cell r="BG3447" t="str">
            <v>Não Montado</v>
          </cell>
        </row>
        <row r="3448">
          <cell r="A3448" t="str">
            <v>TE-122030</v>
          </cell>
          <cell r="BG3448" t="str">
            <v>Não Montado</v>
          </cell>
        </row>
        <row r="3449">
          <cell r="A3449" t="str">
            <v>TE-122031</v>
          </cell>
          <cell r="BG3449" t="str">
            <v>Não Montado</v>
          </cell>
        </row>
        <row r="3450">
          <cell r="A3450" t="str">
            <v>TE-122033</v>
          </cell>
          <cell r="BG3450" t="str">
            <v>Não Montado</v>
          </cell>
        </row>
        <row r="3451">
          <cell r="A3451" t="str">
            <v>TE-122034</v>
          </cell>
          <cell r="BG3451" t="str">
            <v>Não Montado</v>
          </cell>
        </row>
        <row r="3452">
          <cell r="A3452" t="str">
            <v>TE-122035</v>
          </cell>
          <cell r="BG3452" t="str">
            <v>Não Montado</v>
          </cell>
        </row>
        <row r="3453">
          <cell r="A3453" t="str">
            <v>TE-122036</v>
          </cell>
          <cell r="BG3453" t="str">
            <v>Não Montado</v>
          </cell>
        </row>
        <row r="3454">
          <cell r="A3454" t="str">
            <v>TE-122048</v>
          </cell>
          <cell r="BG3454" t="str">
            <v>Não Montado</v>
          </cell>
        </row>
        <row r="3455">
          <cell r="A3455" t="str">
            <v>TI-120250</v>
          </cell>
          <cell r="BG3455" t="str">
            <v>Não Montado</v>
          </cell>
        </row>
        <row r="3456">
          <cell r="A3456" t="str">
            <v>TI-120251</v>
          </cell>
          <cell r="BG3456" t="str">
            <v>Não Montado</v>
          </cell>
        </row>
        <row r="3457">
          <cell r="A3457" t="str">
            <v>TI-120301</v>
          </cell>
          <cell r="BG3457" t="str">
            <v>Não Montado</v>
          </cell>
        </row>
        <row r="3458">
          <cell r="A3458" t="str">
            <v>TI-120302</v>
          </cell>
          <cell r="BG3458" t="str">
            <v>Não Montado</v>
          </cell>
        </row>
        <row r="3459">
          <cell r="A3459" t="str">
            <v>TI-120400</v>
          </cell>
          <cell r="BG3459" t="str">
            <v>Não Montado</v>
          </cell>
        </row>
        <row r="3460">
          <cell r="A3460" t="str">
            <v>TI-120403</v>
          </cell>
          <cell r="BG3460" t="str">
            <v>Não Montado</v>
          </cell>
        </row>
        <row r="3461">
          <cell r="A3461" t="str">
            <v>TI-120406</v>
          </cell>
          <cell r="BG3461" t="str">
            <v>Não Montado</v>
          </cell>
        </row>
        <row r="3462">
          <cell r="A3462" t="str">
            <v>TI-120423</v>
          </cell>
          <cell r="BG3462" t="str">
            <v>Não Montado</v>
          </cell>
        </row>
        <row r="3463">
          <cell r="A3463" t="str">
            <v>TI-120425</v>
          </cell>
          <cell r="BG3463" t="str">
            <v>Não Montado</v>
          </cell>
        </row>
        <row r="3464">
          <cell r="A3464" t="str">
            <v>TI-120428</v>
          </cell>
          <cell r="BG3464" t="str">
            <v>Não Montado</v>
          </cell>
        </row>
        <row r="3465">
          <cell r="A3465" t="str">
            <v>TI-120432</v>
          </cell>
          <cell r="BG3465" t="str">
            <v>Não Montado</v>
          </cell>
        </row>
        <row r="3466">
          <cell r="A3466" t="str">
            <v>TI-120434</v>
          </cell>
          <cell r="BG3466" t="str">
            <v>Não Montado</v>
          </cell>
        </row>
        <row r="3467">
          <cell r="A3467" t="str">
            <v>TI-120435</v>
          </cell>
          <cell r="BG3467" t="str">
            <v>Não Montado</v>
          </cell>
        </row>
        <row r="3468">
          <cell r="A3468" t="str">
            <v>TI-120436</v>
          </cell>
          <cell r="BG3468" t="str">
            <v>Não Montado</v>
          </cell>
        </row>
        <row r="3469">
          <cell r="A3469" t="str">
            <v>TI-120437</v>
          </cell>
          <cell r="BG3469" t="str">
            <v>Não Montado</v>
          </cell>
        </row>
        <row r="3470">
          <cell r="A3470" t="str">
            <v>TI-120438</v>
          </cell>
          <cell r="BG3470" t="str">
            <v>Não Montado</v>
          </cell>
        </row>
        <row r="3471">
          <cell r="A3471" t="str">
            <v>TI-120439</v>
          </cell>
          <cell r="BG3471" t="str">
            <v>Não Montado</v>
          </cell>
        </row>
        <row r="3472">
          <cell r="A3472" t="str">
            <v>TI-120440</v>
          </cell>
          <cell r="BG3472" t="str">
            <v>Não Montado</v>
          </cell>
        </row>
        <row r="3473">
          <cell r="A3473" t="str">
            <v>TI-120441</v>
          </cell>
          <cell r="BG3473" t="str">
            <v>Não Montado</v>
          </cell>
        </row>
        <row r="3474">
          <cell r="A3474" t="str">
            <v>TI-120442</v>
          </cell>
          <cell r="BG3474" t="str">
            <v>Não Montado</v>
          </cell>
        </row>
        <row r="3475">
          <cell r="A3475" t="str">
            <v>TI-120448</v>
          </cell>
          <cell r="BG3475" t="str">
            <v>Não Montado</v>
          </cell>
        </row>
        <row r="3476">
          <cell r="A3476" t="str">
            <v>TI-120449</v>
          </cell>
          <cell r="BG3476" t="str">
            <v>Não Montado</v>
          </cell>
        </row>
        <row r="3477">
          <cell r="A3477" t="str">
            <v>TI-120480</v>
          </cell>
          <cell r="BG3477" t="str">
            <v>Não Montado</v>
          </cell>
        </row>
        <row r="3478">
          <cell r="A3478" t="str">
            <v>TI-120622</v>
          </cell>
          <cell r="BG3478" t="str">
            <v>Não Montado</v>
          </cell>
        </row>
        <row r="3479">
          <cell r="A3479" t="str">
            <v>TI-120633</v>
          </cell>
          <cell r="BG3479" t="str">
            <v>Não Montado</v>
          </cell>
        </row>
        <row r="3480">
          <cell r="A3480" t="str">
            <v>TI-120634</v>
          </cell>
          <cell r="BG3480" t="str">
            <v>Não Montado</v>
          </cell>
        </row>
        <row r="3481">
          <cell r="A3481" t="str">
            <v>TI-120637</v>
          </cell>
          <cell r="BG3481" t="str">
            <v>Não Montado</v>
          </cell>
        </row>
        <row r="3482">
          <cell r="A3482" t="str">
            <v>TI-120646</v>
          </cell>
          <cell r="BG3482" t="str">
            <v>Não Montado</v>
          </cell>
        </row>
        <row r="3483">
          <cell r="A3483" t="str">
            <v>TI-120647</v>
          </cell>
          <cell r="BG3483" t="str">
            <v>Programar</v>
          </cell>
        </row>
        <row r="3484">
          <cell r="A3484" t="str">
            <v>TI-120648</v>
          </cell>
          <cell r="BG3484" t="str">
            <v>Não Montado</v>
          </cell>
        </row>
        <row r="3485">
          <cell r="A3485" t="str">
            <v>TI-120652</v>
          </cell>
          <cell r="BG3485" t="str">
            <v>Não Montado</v>
          </cell>
        </row>
        <row r="3486">
          <cell r="A3486" t="str">
            <v>TI-120653</v>
          </cell>
          <cell r="BG3486" t="str">
            <v>Não Montado</v>
          </cell>
        </row>
        <row r="3487">
          <cell r="A3487" t="str">
            <v>TI-120654</v>
          </cell>
          <cell r="BG3487" t="str">
            <v>Programar</v>
          </cell>
        </row>
        <row r="3488">
          <cell r="A3488" t="str">
            <v>TI-120655</v>
          </cell>
          <cell r="BG3488" t="str">
            <v>Programar</v>
          </cell>
        </row>
        <row r="3489">
          <cell r="A3489" t="str">
            <v>TI-120656</v>
          </cell>
          <cell r="BG3489" t="str">
            <v>Não Montado</v>
          </cell>
        </row>
        <row r="3490">
          <cell r="A3490" t="str">
            <v>TI-120657</v>
          </cell>
          <cell r="BG3490" t="str">
            <v>Não Montado</v>
          </cell>
        </row>
        <row r="3491">
          <cell r="A3491" t="str">
            <v>TI-120658</v>
          </cell>
          <cell r="BG3491" t="str">
            <v>Programar</v>
          </cell>
        </row>
        <row r="3492">
          <cell r="A3492" t="str">
            <v>TI-120722</v>
          </cell>
          <cell r="BG3492" t="str">
            <v>Programar</v>
          </cell>
        </row>
        <row r="3493">
          <cell r="A3493" t="str">
            <v>TI-120733</v>
          </cell>
          <cell r="BG3493" t="str">
            <v>Não Montado</v>
          </cell>
        </row>
        <row r="3494">
          <cell r="A3494" t="str">
            <v>TI-120746</v>
          </cell>
          <cell r="BG3494" t="str">
            <v>Não Montado</v>
          </cell>
        </row>
        <row r="3495">
          <cell r="A3495" t="str">
            <v>TI-120747</v>
          </cell>
          <cell r="BG3495" t="str">
            <v>Não Montado</v>
          </cell>
        </row>
        <row r="3496">
          <cell r="A3496" t="str">
            <v>TI-120748</v>
          </cell>
          <cell r="BG3496" t="str">
            <v>Não Montado</v>
          </cell>
        </row>
        <row r="3497">
          <cell r="A3497" t="str">
            <v>TI-120755</v>
          </cell>
          <cell r="BG3497" t="str">
            <v>Programar</v>
          </cell>
        </row>
        <row r="3498">
          <cell r="A3498" t="str">
            <v>TI-120756</v>
          </cell>
          <cell r="BG3498" t="str">
            <v>Não Montado</v>
          </cell>
        </row>
        <row r="3499">
          <cell r="A3499" t="str">
            <v>TI-120901</v>
          </cell>
          <cell r="BG3499" t="str">
            <v>Não Montado</v>
          </cell>
        </row>
        <row r="3500">
          <cell r="A3500" t="str">
            <v>TI-120902</v>
          </cell>
          <cell r="BG3500" t="str">
            <v>Não Montado</v>
          </cell>
        </row>
        <row r="3501">
          <cell r="A3501" t="str">
            <v>TI-120903</v>
          </cell>
          <cell r="BG3501" t="str">
            <v>Não Montado</v>
          </cell>
        </row>
        <row r="3502">
          <cell r="A3502" t="str">
            <v>TI-120904</v>
          </cell>
          <cell r="BG3502" t="str">
            <v>Não Montado</v>
          </cell>
        </row>
        <row r="3503">
          <cell r="A3503" t="str">
            <v>TI-120905</v>
          </cell>
          <cell r="BG3503" t="str">
            <v>Não Montado</v>
          </cell>
        </row>
        <row r="3504">
          <cell r="A3504" t="str">
            <v>TI-120906</v>
          </cell>
          <cell r="BG3504" t="str">
            <v>Não Montado</v>
          </cell>
        </row>
        <row r="3505">
          <cell r="A3505" t="str">
            <v>TI-120907</v>
          </cell>
          <cell r="BG3505" t="str">
            <v>Não Montado</v>
          </cell>
        </row>
        <row r="3506">
          <cell r="A3506" t="str">
            <v>TI-120908</v>
          </cell>
          <cell r="BG3506" t="str">
            <v>Não Montado</v>
          </cell>
        </row>
        <row r="3507">
          <cell r="A3507" t="str">
            <v>TI-120909</v>
          </cell>
          <cell r="BG3507" t="str">
            <v>Não Montado</v>
          </cell>
        </row>
        <row r="3508">
          <cell r="A3508" t="str">
            <v>TI-120910</v>
          </cell>
          <cell r="BG3508" t="str">
            <v>Não Montado</v>
          </cell>
        </row>
        <row r="3509">
          <cell r="A3509" t="str">
            <v>TI-120911</v>
          </cell>
          <cell r="BG3509" t="str">
            <v>Não Montado</v>
          </cell>
        </row>
        <row r="3510">
          <cell r="A3510" t="str">
            <v>TI-120912</v>
          </cell>
          <cell r="BG3510" t="str">
            <v>Não Montado</v>
          </cell>
        </row>
        <row r="3511">
          <cell r="A3511" t="str">
            <v>TI-120913</v>
          </cell>
          <cell r="BG3511" t="str">
            <v>Não Montado</v>
          </cell>
        </row>
        <row r="3512">
          <cell r="A3512" t="str">
            <v>TI-120914</v>
          </cell>
          <cell r="BG3512" t="str">
            <v>Não Montado</v>
          </cell>
        </row>
        <row r="3513">
          <cell r="A3513" t="str">
            <v>TI-120915</v>
          </cell>
          <cell r="BG3513" t="str">
            <v>Não Montado</v>
          </cell>
        </row>
        <row r="3514">
          <cell r="A3514" t="str">
            <v>TI-120916</v>
          </cell>
          <cell r="BG3514" t="str">
            <v>Não Montado</v>
          </cell>
        </row>
        <row r="3515">
          <cell r="A3515" t="str">
            <v>TI-120917</v>
          </cell>
          <cell r="BG3515" t="str">
            <v>Não Montado</v>
          </cell>
        </row>
        <row r="3516">
          <cell r="A3516" t="str">
            <v>TI-120918</v>
          </cell>
          <cell r="BG3516" t="str">
            <v>Não Montado</v>
          </cell>
        </row>
        <row r="3517">
          <cell r="A3517" t="str">
            <v>TI-120919</v>
          </cell>
          <cell r="BG3517" t="str">
            <v>Não Montado</v>
          </cell>
        </row>
        <row r="3518">
          <cell r="A3518" t="str">
            <v>TI-120920</v>
          </cell>
          <cell r="BG3518" t="str">
            <v>Não Montado</v>
          </cell>
        </row>
        <row r="3519">
          <cell r="A3519" t="str">
            <v>TI-120921</v>
          </cell>
          <cell r="BG3519" t="str">
            <v>Não Montado</v>
          </cell>
        </row>
        <row r="3520">
          <cell r="A3520" t="str">
            <v>TI-120922</v>
          </cell>
          <cell r="BG3520" t="str">
            <v>Não Montado</v>
          </cell>
        </row>
        <row r="3521">
          <cell r="A3521" t="str">
            <v>TI-120923</v>
          </cell>
          <cell r="BG3521" t="str">
            <v>Não Montado</v>
          </cell>
        </row>
        <row r="3522">
          <cell r="A3522" t="str">
            <v>TI-120924</v>
          </cell>
          <cell r="BG3522" t="str">
            <v>Não Montado</v>
          </cell>
        </row>
        <row r="3523">
          <cell r="A3523" t="str">
            <v>TI-120925</v>
          </cell>
          <cell r="BG3523" t="str">
            <v>Não Montado</v>
          </cell>
        </row>
        <row r="3524">
          <cell r="A3524" t="str">
            <v>TI-120926</v>
          </cell>
          <cell r="BG3524" t="str">
            <v>Não Montado</v>
          </cell>
        </row>
        <row r="3525">
          <cell r="A3525" t="str">
            <v>TI-120927</v>
          </cell>
          <cell r="BG3525" t="str">
            <v>Não Montado</v>
          </cell>
        </row>
        <row r="3526">
          <cell r="A3526" t="str">
            <v>TI-120928</v>
          </cell>
          <cell r="BG3526" t="str">
            <v>Não Montado</v>
          </cell>
        </row>
        <row r="3527">
          <cell r="A3527" t="str">
            <v>TI-120929</v>
          </cell>
          <cell r="BG3527" t="str">
            <v>Não Montado</v>
          </cell>
        </row>
        <row r="3528">
          <cell r="A3528" t="str">
            <v>TI-120930</v>
          </cell>
          <cell r="BG3528" t="str">
            <v>Não Montado</v>
          </cell>
        </row>
        <row r="3529">
          <cell r="A3529" t="str">
            <v>TI-120931</v>
          </cell>
          <cell r="BG3529" t="str">
            <v>Não Montado</v>
          </cell>
        </row>
        <row r="3530">
          <cell r="A3530" t="str">
            <v>TI-120932</v>
          </cell>
          <cell r="BG3530" t="str">
            <v>Não Montado</v>
          </cell>
        </row>
        <row r="3531">
          <cell r="A3531" t="str">
            <v>TI-120933</v>
          </cell>
          <cell r="BG3531" t="str">
            <v>Não Montado</v>
          </cell>
        </row>
        <row r="3532">
          <cell r="A3532" t="str">
            <v>TI-120952</v>
          </cell>
          <cell r="BG3532" t="str">
            <v>Não Montado</v>
          </cell>
        </row>
        <row r="3533">
          <cell r="A3533" t="str">
            <v>TI-120953</v>
          </cell>
          <cell r="BG3533" t="str">
            <v>Não Montado</v>
          </cell>
        </row>
        <row r="3534">
          <cell r="A3534" t="str">
            <v>TI-120954</v>
          </cell>
          <cell r="BG3534" t="str">
            <v>Não Montado</v>
          </cell>
        </row>
        <row r="3535">
          <cell r="A3535" t="str">
            <v>TI-120955</v>
          </cell>
          <cell r="BG3535" t="str">
            <v>Não Montado</v>
          </cell>
        </row>
        <row r="3536">
          <cell r="A3536" t="str">
            <v>TI-120956</v>
          </cell>
          <cell r="BG3536" t="str">
            <v>Não Montado</v>
          </cell>
        </row>
        <row r="3537">
          <cell r="A3537" t="str">
            <v>TI-120957</v>
          </cell>
          <cell r="BG3537" t="str">
            <v>Não Montado</v>
          </cell>
        </row>
        <row r="3538">
          <cell r="A3538" t="str">
            <v>TI-120958</v>
          </cell>
          <cell r="BG3538" t="str">
            <v>Não Montado</v>
          </cell>
        </row>
        <row r="3539">
          <cell r="A3539" t="str">
            <v>TI-120959</v>
          </cell>
          <cell r="BG3539" t="str">
            <v>Não Montado</v>
          </cell>
        </row>
        <row r="3540">
          <cell r="A3540" t="str">
            <v>TI-120960</v>
          </cell>
          <cell r="BG3540" t="str">
            <v>Não Montado</v>
          </cell>
        </row>
        <row r="3541">
          <cell r="A3541" t="str">
            <v>TI-120961</v>
          </cell>
          <cell r="BG3541" t="str">
            <v>Não Montado</v>
          </cell>
        </row>
        <row r="3542">
          <cell r="A3542" t="str">
            <v>TI-120961B</v>
          </cell>
          <cell r="BG3542" t="str">
            <v>Não Montado</v>
          </cell>
        </row>
        <row r="3543">
          <cell r="A3543" t="str">
            <v>TI-120962</v>
          </cell>
          <cell r="BG3543" t="str">
            <v>Não Montado</v>
          </cell>
        </row>
        <row r="3544">
          <cell r="A3544" t="str">
            <v>TI-120963</v>
          </cell>
          <cell r="BG3544" t="str">
            <v>Não Montado</v>
          </cell>
        </row>
        <row r="3545">
          <cell r="A3545" t="str">
            <v>TI-120964</v>
          </cell>
          <cell r="BG3545" t="str">
            <v>Não Montado</v>
          </cell>
        </row>
        <row r="3546">
          <cell r="A3546" t="str">
            <v>TI-120965</v>
          </cell>
          <cell r="BG3546" t="str">
            <v>Não Montado</v>
          </cell>
        </row>
        <row r="3547">
          <cell r="A3547" t="str">
            <v>TI-120966</v>
          </cell>
          <cell r="BG3547" t="str">
            <v>Não Montado</v>
          </cell>
        </row>
        <row r="3548">
          <cell r="A3548" t="str">
            <v>TI-120967</v>
          </cell>
          <cell r="BG3548" t="str">
            <v>Não Montado</v>
          </cell>
        </row>
        <row r="3549">
          <cell r="A3549" t="str">
            <v>TI-120968</v>
          </cell>
          <cell r="BG3549" t="str">
            <v>Não Montado</v>
          </cell>
        </row>
        <row r="3550">
          <cell r="A3550" t="str">
            <v>TI-120969</v>
          </cell>
          <cell r="BG3550" t="str">
            <v>Não Montado</v>
          </cell>
        </row>
        <row r="3551">
          <cell r="A3551" t="str">
            <v>TI-120970</v>
          </cell>
          <cell r="BG3551" t="str">
            <v>Não Montado</v>
          </cell>
        </row>
        <row r="3552">
          <cell r="A3552" t="str">
            <v>TI-120971</v>
          </cell>
          <cell r="BG3552" t="str">
            <v>Não Montado</v>
          </cell>
        </row>
        <row r="3553">
          <cell r="A3553" t="str">
            <v>TI-120974</v>
          </cell>
          <cell r="BG3553" t="str">
            <v>Programar</v>
          </cell>
        </row>
        <row r="3554">
          <cell r="A3554" t="str">
            <v>TI-120975</v>
          </cell>
          <cell r="BG3554" t="str">
            <v>Não Montado</v>
          </cell>
        </row>
        <row r="3555">
          <cell r="A3555" t="str">
            <v>TI-120975B</v>
          </cell>
          <cell r="BG3555" t="str">
            <v>Não Montado</v>
          </cell>
        </row>
        <row r="3556">
          <cell r="A3556" t="str">
            <v>TI-120975C</v>
          </cell>
          <cell r="BG3556" t="str">
            <v>Não Montado</v>
          </cell>
        </row>
        <row r="3557">
          <cell r="A3557" t="str">
            <v>TI-120976</v>
          </cell>
          <cell r="BG3557" t="str">
            <v>Não Montado</v>
          </cell>
        </row>
        <row r="3558">
          <cell r="A3558" t="str">
            <v>TI-120977</v>
          </cell>
          <cell r="BG3558" t="str">
            <v>Não Montado</v>
          </cell>
        </row>
        <row r="3559">
          <cell r="A3559" t="str">
            <v>TI-120978</v>
          </cell>
          <cell r="BG3559" t="str">
            <v>Programar</v>
          </cell>
        </row>
        <row r="3560">
          <cell r="A3560" t="str">
            <v>TI-120979</v>
          </cell>
          <cell r="BG3560" t="str">
            <v>Não Montado</v>
          </cell>
        </row>
        <row r="3561">
          <cell r="A3561" t="str">
            <v>TI-120980</v>
          </cell>
          <cell r="BG3561" t="str">
            <v>Não Montado</v>
          </cell>
        </row>
        <row r="3562">
          <cell r="A3562" t="str">
            <v>TI-120981</v>
          </cell>
          <cell r="BG3562" t="str">
            <v>Não Montado</v>
          </cell>
        </row>
        <row r="3563">
          <cell r="A3563" t="str">
            <v>TI-120982</v>
          </cell>
          <cell r="BG3563" t="str">
            <v>Não Montado</v>
          </cell>
        </row>
        <row r="3564">
          <cell r="A3564" t="str">
            <v>TI-120983</v>
          </cell>
          <cell r="BG3564" t="str">
            <v>Não Montado</v>
          </cell>
        </row>
        <row r="3565">
          <cell r="A3565" t="str">
            <v>TI-120984</v>
          </cell>
          <cell r="BG3565" t="str">
            <v>Não Montado</v>
          </cell>
        </row>
        <row r="3566">
          <cell r="A3566" t="str">
            <v>TI-120985</v>
          </cell>
          <cell r="BG3566" t="str">
            <v>Não Montado</v>
          </cell>
        </row>
        <row r="3567">
          <cell r="A3567" t="str">
            <v>TI-121001</v>
          </cell>
          <cell r="BG3567" t="str">
            <v>Não Montado</v>
          </cell>
        </row>
        <row r="3568">
          <cell r="A3568" t="str">
            <v>TI-121002</v>
          </cell>
          <cell r="BG3568" t="str">
            <v>Não Montado</v>
          </cell>
        </row>
        <row r="3569">
          <cell r="A3569" t="str">
            <v>TI-121003</v>
          </cell>
          <cell r="BG3569" t="str">
            <v>Não Montado</v>
          </cell>
        </row>
        <row r="3570">
          <cell r="A3570" t="str">
            <v>TI-121004</v>
          </cell>
          <cell r="BG3570" t="str">
            <v>Não Montado</v>
          </cell>
        </row>
        <row r="3571">
          <cell r="A3571" t="str">
            <v>TI-121005</v>
          </cell>
          <cell r="BG3571" t="str">
            <v>Não Montado</v>
          </cell>
        </row>
        <row r="3572">
          <cell r="A3572" t="str">
            <v>TI-121006</v>
          </cell>
          <cell r="BG3572" t="str">
            <v>Não Montado</v>
          </cell>
        </row>
        <row r="3573">
          <cell r="A3573" t="str">
            <v>TI-121009</v>
          </cell>
          <cell r="BG3573" t="str">
            <v>Não Montado</v>
          </cell>
        </row>
        <row r="3574">
          <cell r="A3574" t="str">
            <v>TI-121010</v>
          </cell>
          <cell r="BG3574" t="str">
            <v>Não Montado</v>
          </cell>
        </row>
        <row r="3575">
          <cell r="A3575" t="str">
            <v>TI-121011</v>
          </cell>
          <cell r="BG3575" t="str">
            <v>Não Montado</v>
          </cell>
        </row>
        <row r="3576">
          <cell r="A3576" t="str">
            <v>TI-121012</v>
          </cell>
          <cell r="BG3576" t="str">
            <v>Não Montado</v>
          </cell>
        </row>
        <row r="3577">
          <cell r="A3577" t="str">
            <v>TI-121018</v>
          </cell>
          <cell r="BG3577" t="str">
            <v>Não Montado</v>
          </cell>
        </row>
        <row r="3578">
          <cell r="A3578" t="str">
            <v>TI-121019</v>
          </cell>
          <cell r="BG3578" t="str">
            <v>Não Montado</v>
          </cell>
        </row>
        <row r="3579">
          <cell r="A3579" t="str">
            <v>TI-121020</v>
          </cell>
          <cell r="BG3579" t="str">
            <v>Não Montado</v>
          </cell>
        </row>
        <row r="3580">
          <cell r="A3580" t="str">
            <v>TI-121021</v>
          </cell>
          <cell r="BG3580" t="str">
            <v>Não Montado</v>
          </cell>
        </row>
        <row r="3581">
          <cell r="A3581" t="str">
            <v>TI-121024</v>
          </cell>
          <cell r="BG3581" t="str">
            <v>Não Montado</v>
          </cell>
        </row>
        <row r="3582">
          <cell r="A3582" t="str">
            <v>TI-121025</v>
          </cell>
          <cell r="BG3582" t="str">
            <v>Não Montado</v>
          </cell>
        </row>
        <row r="3583">
          <cell r="A3583" t="str">
            <v>TI-121026</v>
          </cell>
          <cell r="BG3583" t="str">
            <v>Não Montado</v>
          </cell>
        </row>
        <row r="3584">
          <cell r="A3584" t="str">
            <v>TI-121027</v>
          </cell>
          <cell r="BG3584" t="str">
            <v>Não Montado</v>
          </cell>
        </row>
        <row r="3585">
          <cell r="A3585" t="str">
            <v>TI-121030</v>
          </cell>
          <cell r="BG3585" t="str">
            <v>Não Montado</v>
          </cell>
        </row>
        <row r="3586">
          <cell r="A3586" t="str">
            <v>TI-121031</v>
          </cell>
          <cell r="BG3586" t="str">
            <v>Não Montado</v>
          </cell>
        </row>
        <row r="3587">
          <cell r="A3587" t="str">
            <v>TI-121032</v>
          </cell>
          <cell r="BG3587" t="str">
            <v>Não Montado</v>
          </cell>
        </row>
        <row r="3588">
          <cell r="A3588" t="str">
            <v>TI-121033</v>
          </cell>
          <cell r="BG3588" t="str">
            <v>Não Montado</v>
          </cell>
        </row>
        <row r="3589">
          <cell r="A3589" t="str">
            <v>TI-121039</v>
          </cell>
          <cell r="BG3589" t="str">
            <v>Não Montado</v>
          </cell>
        </row>
        <row r="3590">
          <cell r="A3590" t="str">
            <v>TI-121040</v>
          </cell>
          <cell r="BG3590" t="str">
            <v>Não Montado</v>
          </cell>
        </row>
        <row r="3591">
          <cell r="A3591" t="str">
            <v>TI-121041</v>
          </cell>
          <cell r="BG3591" t="str">
            <v>Não Montado</v>
          </cell>
        </row>
        <row r="3592">
          <cell r="A3592" t="str">
            <v>TI-121042</v>
          </cell>
          <cell r="BG3592" t="str">
            <v>Não Montado</v>
          </cell>
        </row>
        <row r="3593">
          <cell r="A3593" t="str">
            <v>TI-121043</v>
          </cell>
          <cell r="BG3593" t="str">
            <v>Não Montado</v>
          </cell>
        </row>
        <row r="3594">
          <cell r="A3594" t="str">
            <v>TI-121044</v>
          </cell>
          <cell r="BG3594" t="str">
            <v>Não Montado</v>
          </cell>
        </row>
        <row r="3595">
          <cell r="A3595" t="str">
            <v>TI-121045</v>
          </cell>
          <cell r="BG3595" t="str">
            <v>Não Montado</v>
          </cell>
        </row>
        <row r="3596">
          <cell r="A3596" t="str">
            <v>TI-121046</v>
          </cell>
          <cell r="BG3596" t="str">
            <v>Não Montado</v>
          </cell>
        </row>
        <row r="3597">
          <cell r="A3597" t="str">
            <v>TI-121300</v>
          </cell>
          <cell r="BG3597" t="str">
            <v>Não Montado</v>
          </cell>
        </row>
        <row r="3598">
          <cell r="A3598" t="str">
            <v>TI-121301</v>
          </cell>
          <cell r="BG3598" t="str">
            <v>Não Montado</v>
          </cell>
        </row>
        <row r="3599">
          <cell r="A3599" t="str">
            <v>TI-121302</v>
          </cell>
          <cell r="BG3599" t="str">
            <v>Não Montado</v>
          </cell>
        </row>
        <row r="3600">
          <cell r="A3600" t="str">
            <v>TI-121303</v>
          </cell>
          <cell r="BG3600" t="str">
            <v>Não Montado</v>
          </cell>
        </row>
        <row r="3601">
          <cell r="A3601" t="str">
            <v>TI-121304</v>
          </cell>
          <cell r="BG3601" t="str">
            <v>Não Montado</v>
          </cell>
        </row>
        <row r="3602">
          <cell r="A3602" t="str">
            <v>TI-121305</v>
          </cell>
          <cell r="BG3602" t="str">
            <v>Não Montado</v>
          </cell>
        </row>
        <row r="3603">
          <cell r="A3603" t="str">
            <v>TI-121306</v>
          </cell>
          <cell r="BG3603" t="str">
            <v>Não Montado</v>
          </cell>
        </row>
        <row r="3604">
          <cell r="A3604" t="str">
            <v>TI-121307</v>
          </cell>
          <cell r="BG3604" t="str">
            <v>Não Montado</v>
          </cell>
        </row>
        <row r="3605">
          <cell r="A3605" t="str">
            <v>TI-121308</v>
          </cell>
          <cell r="BG3605" t="str">
            <v>Não Montado</v>
          </cell>
        </row>
        <row r="3606">
          <cell r="A3606" t="str">
            <v>TI-121309</v>
          </cell>
          <cell r="BG3606" t="str">
            <v>Não Montado</v>
          </cell>
        </row>
        <row r="3607">
          <cell r="A3607" t="str">
            <v>TI-121336</v>
          </cell>
          <cell r="BG3607" t="str">
            <v>Não Montado</v>
          </cell>
        </row>
        <row r="3608">
          <cell r="A3608" t="str">
            <v>TI-121337</v>
          </cell>
          <cell r="BG3608" t="str">
            <v>Não Montado</v>
          </cell>
        </row>
        <row r="3609">
          <cell r="A3609" t="str">
            <v>TI-121400</v>
          </cell>
          <cell r="BG3609" t="str">
            <v>Não Montado</v>
          </cell>
        </row>
        <row r="3610">
          <cell r="A3610" t="str">
            <v>TI-121401</v>
          </cell>
          <cell r="BG3610" t="str">
            <v>Não Montado</v>
          </cell>
        </row>
        <row r="3611">
          <cell r="A3611" t="str">
            <v>TI-121402</v>
          </cell>
          <cell r="BG3611" t="str">
            <v>Não Montado</v>
          </cell>
        </row>
        <row r="3612">
          <cell r="A3612" t="str">
            <v>TI-121403</v>
          </cell>
          <cell r="BG3612" t="str">
            <v>Não Montado</v>
          </cell>
        </row>
        <row r="3613">
          <cell r="A3613" t="str">
            <v>TI-121404</v>
          </cell>
          <cell r="BG3613" t="str">
            <v>Não Montado</v>
          </cell>
        </row>
        <row r="3614">
          <cell r="A3614" t="str">
            <v>TI-121405</v>
          </cell>
          <cell r="BG3614" t="str">
            <v>Não Montado</v>
          </cell>
        </row>
        <row r="3615">
          <cell r="A3615" t="str">
            <v>TI-121406</v>
          </cell>
          <cell r="BG3615" t="str">
            <v>Não Montado</v>
          </cell>
        </row>
        <row r="3616">
          <cell r="A3616" t="str">
            <v>TI-121407</v>
          </cell>
          <cell r="BG3616" t="str">
            <v>Não Montado</v>
          </cell>
        </row>
        <row r="3617">
          <cell r="A3617" t="str">
            <v>TI-121408</v>
          </cell>
          <cell r="BG3617" t="str">
            <v>Não Montado</v>
          </cell>
        </row>
        <row r="3618">
          <cell r="A3618" t="str">
            <v>TI-121409</v>
          </cell>
          <cell r="BG3618" t="str">
            <v>Não Montado</v>
          </cell>
        </row>
        <row r="3619">
          <cell r="A3619" t="str">
            <v>TI-121436</v>
          </cell>
          <cell r="BG3619" t="str">
            <v>Não Montado</v>
          </cell>
        </row>
        <row r="3620">
          <cell r="A3620" t="str">
            <v>TI-121437</v>
          </cell>
          <cell r="BG3620" t="str">
            <v>Não Montado</v>
          </cell>
        </row>
        <row r="3621">
          <cell r="A3621" t="str">
            <v>TI-121911</v>
          </cell>
          <cell r="BG3621" t="str">
            <v>Não Montado</v>
          </cell>
        </row>
        <row r="3622">
          <cell r="A3622" t="str">
            <v>TI-121912</v>
          </cell>
          <cell r="BG3622" t="str">
            <v>Não Montado</v>
          </cell>
        </row>
        <row r="3623">
          <cell r="A3623" t="str">
            <v>TI-121913</v>
          </cell>
          <cell r="BG3623" t="str">
            <v>Não Montado</v>
          </cell>
        </row>
        <row r="3624">
          <cell r="A3624" t="str">
            <v>TI-121914</v>
          </cell>
          <cell r="BG3624" t="str">
            <v>Não Montado</v>
          </cell>
        </row>
        <row r="3625">
          <cell r="A3625" t="str">
            <v>TI-121915</v>
          </cell>
          <cell r="BG3625" t="str">
            <v>Não Montado</v>
          </cell>
        </row>
        <row r="3626">
          <cell r="A3626" t="str">
            <v>TI-121916</v>
          </cell>
          <cell r="BG3626" t="str">
            <v>Não Montado</v>
          </cell>
        </row>
        <row r="3627">
          <cell r="A3627" t="str">
            <v>TI-121917</v>
          </cell>
          <cell r="BG3627" t="str">
            <v>Não Montado</v>
          </cell>
        </row>
        <row r="3628">
          <cell r="A3628" t="str">
            <v>TI-121918</v>
          </cell>
          <cell r="BG3628" t="str">
            <v>Não Montado</v>
          </cell>
        </row>
        <row r="3629">
          <cell r="A3629" t="str">
            <v>TI-121919</v>
          </cell>
          <cell r="BG3629" t="str">
            <v>Não Montado</v>
          </cell>
        </row>
        <row r="3630">
          <cell r="A3630" t="str">
            <v>TI-121920</v>
          </cell>
          <cell r="BG3630" t="str">
            <v>Não Montado</v>
          </cell>
        </row>
        <row r="3631">
          <cell r="A3631" t="str">
            <v>TI-121921</v>
          </cell>
          <cell r="BG3631" t="str">
            <v>Não Montado</v>
          </cell>
        </row>
        <row r="3632">
          <cell r="A3632" t="str">
            <v>TI-121922</v>
          </cell>
          <cell r="BG3632" t="str">
            <v>Não Montado</v>
          </cell>
        </row>
        <row r="3633">
          <cell r="A3633" t="str">
            <v>TI-122001</v>
          </cell>
          <cell r="BG3633" t="str">
            <v>Não Montado</v>
          </cell>
        </row>
        <row r="3634">
          <cell r="A3634" t="str">
            <v>TI-122027</v>
          </cell>
          <cell r="BG3634" t="str">
            <v>Não Montado</v>
          </cell>
        </row>
        <row r="3635">
          <cell r="A3635" t="str">
            <v>TI-122029</v>
          </cell>
          <cell r="BG3635" t="str">
            <v>Não Montado</v>
          </cell>
        </row>
        <row r="3636">
          <cell r="A3636" t="str">
            <v>TI-122030</v>
          </cell>
          <cell r="BG3636" t="str">
            <v>Não Montado</v>
          </cell>
        </row>
        <row r="3637">
          <cell r="A3637" t="str">
            <v>TI-122031</v>
          </cell>
          <cell r="BG3637" t="str">
            <v>Não Montado</v>
          </cell>
        </row>
        <row r="3638">
          <cell r="A3638" t="str">
            <v>TI-122033</v>
          </cell>
          <cell r="BG3638" t="str">
            <v>Não Montado</v>
          </cell>
        </row>
        <row r="3639">
          <cell r="A3639" t="str">
            <v>TI-122034</v>
          </cell>
          <cell r="BG3639" t="str">
            <v>Não Montado</v>
          </cell>
        </row>
        <row r="3640">
          <cell r="A3640" t="str">
            <v>TI-122035</v>
          </cell>
          <cell r="BG3640" t="str">
            <v>Não Montado</v>
          </cell>
        </row>
        <row r="3641">
          <cell r="A3641" t="str">
            <v>TI-122036</v>
          </cell>
          <cell r="BG3641" t="str">
            <v>Não Montado</v>
          </cell>
        </row>
        <row r="3642">
          <cell r="A3642" t="str">
            <v>TI-122037</v>
          </cell>
          <cell r="BG3642" t="str">
            <v>Não Montado</v>
          </cell>
        </row>
        <row r="3643">
          <cell r="A3643" t="str">
            <v>TI-122041</v>
          </cell>
          <cell r="BG3643" t="str">
            <v>Não Montado</v>
          </cell>
        </row>
        <row r="3644">
          <cell r="A3644" t="str">
            <v>TI-122042</v>
          </cell>
          <cell r="BG3644" t="str">
            <v>Não Montado</v>
          </cell>
        </row>
        <row r="3645">
          <cell r="A3645" t="str">
            <v>TI-122043</v>
          </cell>
          <cell r="BG3645" t="str">
            <v>Não Montado</v>
          </cell>
        </row>
        <row r="3646">
          <cell r="A3646" t="str">
            <v>TI-122048</v>
          </cell>
          <cell r="BG3646" t="str">
            <v>Não Montado</v>
          </cell>
        </row>
        <row r="3647">
          <cell r="A3647" t="str">
            <v>TI-122049</v>
          </cell>
          <cell r="BG3647" t="str">
            <v>Não Montado</v>
          </cell>
        </row>
        <row r="3648">
          <cell r="A3648" t="str">
            <v>TI-122050</v>
          </cell>
          <cell r="BG3648" t="str">
            <v>Não Montado</v>
          </cell>
        </row>
        <row r="3649">
          <cell r="A3649" t="str">
            <v>TI-122061</v>
          </cell>
          <cell r="BG3649" t="str">
            <v>Não Montado</v>
          </cell>
        </row>
        <row r="3650">
          <cell r="A3650" t="str">
            <v>TIT-120016</v>
          </cell>
          <cell r="BG3650" t="str">
            <v>Montado</v>
          </cell>
        </row>
        <row r="3651">
          <cell r="A3651" t="str">
            <v>TIT-120033</v>
          </cell>
          <cell r="BG3651" t="str">
            <v>Não Montado</v>
          </cell>
        </row>
        <row r="3652">
          <cell r="A3652" t="str">
            <v>TIT-120050</v>
          </cell>
          <cell r="BG3652" t="str">
            <v>Montado</v>
          </cell>
        </row>
        <row r="3653">
          <cell r="A3653" t="str">
            <v>TIT-120051</v>
          </cell>
          <cell r="BG3653" t="str">
            <v>Montado</v>
          </cell>
        </row>
        <row r="3654">
          <cell r="A3654" t="str">
            <v>TIT-120052</v>
          </cell>
          <cell r="BG3654" t="str">
            <v>Montado</v>
          </cell>
        </row>
        <row r="3655">
          <cell r="A3655" t="str">
            <v>TIT-120053</v>
          </cell>
          <cell r="BG3655" t="str">
            <v>Montado</v>
          </cell>
        </row>
        <row r="3656">
          <cell r="A3656" t="str">
            <v>TIT-120070</v>
          </cell>
          <cell r="BG3656" t="str">
            <v>Montado</v>
          </cell>
        </row>
        <row r="3657">
          <cell r="A3657" t="str">
            <v>TIT-120071</v>
          </cell>
          <cell r="BG3657" t="str">
            <v>Não Montado</v>
          </cell>
        </row>
        <row r="3658">
          <cell r="A3658" t="str">
            <v>TIT-120072</v>
          </cell>
          <cell r="BG3658" t="str">
            <v>Montado</v>
          </cell>
        </row>
        <row r="3659">
          <cell r="A3659" t="str">
            <v>TIT-120073</v>
          </cell>
          <cell r="BG3659" t="str">
            <v>Montado</v>
          </cell>
        </row>
        <row r="3660">
          <cell r="A3660" t="str">
            <v>TIT-120074</v>
          </cell>
          <cell r="BG3660" t="str">
            <v>Montado</v>
          </cell>
        </row>
        <row r="3661">
          <cell r="A3661" t="str">
            <v>TIT-120075</v>
          </cell>
          <cell r="BG3661" t="str">
            <v>Montado</v>
          </cell>
        </row>
        <row r="3662">
          <cell r="A3662" t="str">
            <v>TIT-120076</v>
          </cell>
          <cell r="BG3662" t="str">
            <v>Montado</v>
          </cell>
        </row>
        <row r="3663">
          <cell r="A3663" t="str">
            <v>TIT-120077</v>
          </cell>
          <cell r="BG3663" t="str">
            <v>Montado</v>
          </cell>
        </row>
        <row r="3664">
          <cell r="A3664" t="str">
            <v>TIT-120078</v>
          </cell>
          <cell r="BG3664" t="str">
            <v>Montado</v>
          </cell>
        </row>
        <row r="3665">
          <cell r="A3665" t="str">
            <v>TIT-120079</v>
          </cell>
          <cell r="BG3665" t="str">
            <v>Montado</v>
          </cell>
        </row>
        <row r="3666">
          <cell r="A3666" t="str">
            <v>TIT-120084</v>
          </cell>
          <cell r="BG3666" t="str">
            <v>Em programação</v>
          </cell>
        </row>
        <row r="3667">
          <cell r="A3667" t="str">
            <v>TIT-120085</v>
          </cell>
          <cell r="BG3667" t="str">
            <v>Em programação</v>
          </cell>
        </row>
        <row r="3668">
          <cell r="A3668" t="str">
            <v>TIT-120115</v>
          </cell>
          <cell r="BG3668" t="str">
            <v>Em programação</v>
          </cell>
        </row>
        <row r="3669">
          <cell r="A3669" t="str">
            <v>TIT-120121</v>
          </cell>
          <cell r="BG3669" t="str">
            <v>Não Montado</v>
          </cell>
        </row>
        <row r="3670">
          <cell r="A3670" t="str">
            <v>TIT-120122</v>
          </cell>
          <cell r="BG3670" t="str">
            <v>Não Montado</v>
          </cell>
        </row>
        <row r="3671">
          <cell r="A3671" t="str">
            <v>TIT-120123</v>
          </cell>
          <cell r="BG3671" t="str">
            <v>Não Montado</v>
          </cell>
        </row>
        <row r="3672">
          <cell r="A3672" t="str">
            <v>TIT-120140</v>
          </cell>
          <cell r="BG3672" t="str">
            <v>Montado</v>
          </cell>
        </row>
        <row r="3673">
          <cell r="A3673" t="str">
            <v>TIT-120152</v>
          </cell>
          <cell r="BG3673" t="str">
            <v>Não Montado</v>
          </cell>
        </row>
        <row r="3674">
          <cell r="A3674" t="str">
            <v>TIT-120158</v>
          </cell>
          <cell r="BG3674" t="str">
            <v>Não Montado</v>
          </cell>
        </row>
        <row r="3675">
          <cell r="A3675" t="str">
            <v>TIT-120159</v>
          </cell>
          <cell r="BG3675" t="str">
            <v>Montado</v>
          </cell>
        </row>
        <row r="3676">
          <cell r="A3676" t="str">
            <v>TIT-120252</v>
          </cell>
          <cell r="BG3676" t="str">
            <v>Não Montado</v>
          </cell>
        </row>
        <row r="3677">
          <cell r="A3677" t="str">
            <v>TIT-120253</v>
          </cell>
          <cell r="BG3677" t="str">
            <v>Não Montado</v>
          </cell>
        </row>
        <row r="3678">
          <cell r="A3678" t="str">
            <v>TIT-120254</v>
          </cell>
          <cell r="BG3678" t="str">
            <v>Não Montado</v>
          </cell>
        </row>
        <row r="3679">
          <cell r="A3679" t="str">
            <v>TIT-120493</v>
          </cell>
          <cell r="BG3679" t="str">
            <v>Não Montado</v>
          </cell>
        </row>
        <row r="3680">
          <cell r="A3680" t="str">
            <v>TIT-120638</v>
          </cell>
          <cell r="BG3680" t="str">
            <v>Não Montado</v>
          </cell>
        </row>
        <row r="3681">
          <cell r="A3681" t="str">
            <v>TIT-120639</v>
          </cell>
          <cell r="BG3681" t="str">
            <v>Montado</v>
          </cell>
        </row>
        <row r="3682">
          <cell r="A3682" t="str">
            <v>TIT-120641</v>
          </cell>
          <cell r="BG3682" t="str">
            <v>Montado</v>
          </cell>
        </row>
        <row r="3683">
          <cell r="A3683" t="str">
            <v>TIT-120660</v>
          </cell>
          <cell r="BG3683" t="str">
            <v>Não Montado</v>
          </cell>
        </row>
        <row r="3684">
          <cell r="A3684" t="str">
            <v>TIT-120901</v>
          </cell>
          <cell r="BG3684" t="str">
            <v>Programar</v>
          </cell>
        </row>
        <row r="3685">
          <cell r="A3685" t="str">
            <v>TIT-120902</v>
          </cell>
          <cell r="BG3685" t="str">
            <v>Programar</v>
          </cell>
        </row>
        <row r="3686">
          <cell r="A3686" t="str">
            <v>TIT-120951</v>
          </cell>
          <cell r="BG3686" t="str">
            <v>Não Montado</v>
          </cell>
        </row>
        <row r="3687">
          <cell r="A3687" t="str">
            <v>TIT-120962</v>
          </cell>
          <cell r="BG3687" t="str">
            <v>Não Montado</v>
          </cell>
        </row>
        <row r="3688">
          <cell r="A3688" t="str">
            <v>TIT-120984</v>
          </cell>
          <cell r="BG3688" t="str">
            <v>Não Montado</v>
          </cell>
        </row>
        <row r="3689">
          <cell r="A3689" t="str">
            <v>TIT-121008A</v>
          </cell>
          <cell r="BG3689" t="str">
            <v>Não Montado</v>
          </cell>
        </row>
        <row r="3690">
          <cell r="A3690" t="str">
            <v>TIT-121008B</v>
          </cell>
          <cell r="BG3690" t="str">
            <v>Não Montado</v>
          </cell>
        </row>
        <row r="3691">
          <cell r="A3691" t="str">
            <v>TIT-121008C</v>
          </cell>
          <cell r="BG3691" t="str">
            <v>Não Montado</v>
          </cell>
        </row>
        <row r="3692">
          <cell r="A3692" t="str">
            <v>TIT-121015</v>
          </cell>
          <cell r="BG3692" t="str">
            <v>Não Montado</v>
          </cell>
        </row>
        <row r="3693">
          <cell r="A3693" t="str">
            <v>TIT-121016</v>
          </cell>
          <cell r="BG3693" t="str">
            <v>Não Montado</v>
          </cell>
        </row>
        <row r="3694">
          <cell r="A3694" t="str">
            <v>TIT-121017</v>
          </cell>
          <cell r="BG3694" t="str">
            <v>Não Montado</v>
          </cell>
        </row>
        <row r="3695">
          <cell r="A3695" t="str">
            <v>TIT-121023</v>
          </cell>
          <cell r="BG3695" t="str">
            <v>Não Montado</v>
          </cell>
        </row>
        <row r="3696">
          <cell r="A3696" t="str">
            <v>TIT-121029A</v>
          </cell>
          <cell r="BG3696" t="str">
            <v>Não Montado</v>
          </cell>
        </row>
        <row r="3697">
          <cell r="A3697" t="str">
            <v>TIT-121029B</v>
          </cell>
          <cell r="BG3697" t="str">
            <v>Não Montado</v>
          </cell>
        </row>
        <row r="3698">
          <cell r="A3698" t="str">
            <v>TIT-121029C</v>
          </cell>
          <cell r="BG3698" t="str">
            <v>Não Montado</v>
          </cell>
        </row>
        <row r="3699">
          <cell r="A3699" t="str">
            <v>TIT-121035</v>
          </cell>
          <cell r="BG3699" t="str">
            <v>Não Montado</v>
          </cell>
        </row>
        <row r="3700">
          <cell r="A3700" t="str">
            <v>TIT-121036</v>
          </cell>
          <cell r="BG3700" t="str">
            <v>Não Montado</v>
          </cell>
        </row>
        <row r="3701">
          <cell r="A3701" t="str">
            <v>TIT-121037</v>
          </cell>
          <cell r="BG3701" t="str">
            <v>Não Montado</v>
          </cell>
        </row>
        <row r="3702">
          <cell r="A3702" t="str">
            <v>TIT-121048</v>
          </cell>
          <cell r="BG3702" t="str">
            <v>Não Montado</v>
          </cell>
        </row>
        <row r="3703">
          <cell r="A3703" t="str">
            <v>TIT-121049</v>
          </cell>
          <cell r="BG3703" t="str">
            <v>Não Montado</v>
          </cell>
        </row>
        <row r="3704">
          <cell r="A3704" t="str">
            <v>TIT-121050</v>
          </cell>
          <cell r="BG3704" t="str">
            <v>Montado</v>
          </cell>
        </row>
        <row r="3705">
          <cell r="A3705" t="str">
            <v>TIT-121312</v>
          </cell>
          <cell r="BG3705" t="str">
            <v>Programar</v>
          </cell>
        </row>
        <row r="3706">
          <cell r="A3706" t="str">
            <v>TIT-121313</v>
          </cell>
          <cell r="BG3706" t="str">
            <v>Programar</v>
          </cell>
        </row>
        <row r="3707">
          <cell r="A3707" t="str">
            <v>TIT-121338</v>
          </cell>
          <cell r="BG3707" t="str">
            <v>Não Montado</v>
          </cell>
        </row>
        <row r="3708">
          <cell r="A3708" t="str">
            <v>TIT-121340</v>
          </cell>
          <cell r="BG3708" t="str">
            <v>Programar</v>
          </cell>
        </row>
        <row r="3709">
          <cell r="A3709" t="str">
            <v>TIT-121341</v>
          </cell>
          <cell r="BG3709" t="str">
            <v>Não Montado</v>
          </cell>
        </row>
        <row r="3710">
          <cell r="A3710" t="str">
            <v>TIT-121342</v>
          </cell>
          <cell r="BG3710" t="str">
            <v>Programar</v>
          </cell>
        </row>
        <row r="3711">
          <cell r="A3711" t="str">
            <v>TIT-121343A</v>
          </cell>
          <cell r="BG3711" t="str">
            <v>Não Montado</v>
          </cell>
        </row>
        <row r="3712">
          <cell r="A3712" t="str">
            <v>TIT-121343B</v>
          </cell>
          <cell r="BG3712" t="str">
            <v>Programar</v>
          </cell>
        </row>
        <row r="3713">
          <cell r="A3713" t="str">
            <v>TIT-121344</v>
          </cell>
          <cell r="BG3713" t="str">
            <v>Programar</v>
          </cell>
        </row>
        <row r="3714">
          <cell r="A3714" t="str">
            <v>TIT-121345A</v>
          </cell>
          <cell r="BG3714" t="str">
            <v>Programar</v>
          </cell>
        </row>
        <row r="3715">
          <cell r="A3715" t="str">
            <v>TIT-121345B</v>
          </cell>
          <cell r="BG3715" t="str">
            <v>Programar</v>
          </cell>
        </row>
        <row r="3716">
          <cell r="A3716" t="str">
            <v>TIT-121346</v>
          </cell>
          <cell r="BG3716" t="str">
            <v>Programar</v>
          </cell>
        </row>
        <row r="3717">
          <cell r="A3717" t="str">
            <v>TIT-121347</v>
          </cell>
          <cell r="BG3717" t="str">
            <v>Programar</v>
          </cell>
        </row>
        <row r="3718">
          <cell r="A3718" t="str">
            <v>TIT-121348</v>
          </cell>
          <cell r="BG3718" t="str">
            <v>Programar</v>
          </cell>
        </row>
        <row r="3719">
          <cell r="A3719" t="str">
            <v>TIT-121412</v>
          </cell>
          <cell r="BG3719" t="str">
            <v>Não Montado</v>
          </cell>
        </row>
        <row r="3720">
          <cell r="A3720" t="str">
            <v>TIT-121413</v>
          </cell>
          <cell r="BG3720" t="str">
            <v>Não Montado</v>
          </cell>
        </row>
        <row r="3721">
          <cell r="A3721" t="str">
            <v>TIT-121438</v>
          </cell>
          <cell r="BG3721" t="str">
            <v>Programar</v>
          </cell>
        </row>
        <row r="3722">
          <cell r="A3722" t="str">
            <v>TIT-121440</v>
          </cell>
          <cell r="BG3722" t="str">
            <v>Não Montado</v>
          </cell>
        </row>
        <row r="3723">
          <cell r="A3723" t="str">
            <v>TIT-121441</v>
          </cell>
          <cell r="BG3723" t="str">
            <v>Programar</v>
          </cell>
        </row>
        <row r="3724">
          <cell r="A3724" t="str">
            <v>TIT-121442</v>
          </cell>
          <cell r="BG3724" t="str">
            <v>Não Montado</v>
          </cell>
        </row>
        <row r="3725">
          <cell r="A3725" t="str">
            <v>TIT-121443A</v>
          </cell>
          <cell r="BG3725" t="str">
            <v>Programar</v>
          </cell>
        </row>
        <row r="3726">
          <cell r="A3726" t="str">
            <v>TIT-121443B</v>
          </cell>
          <cell r="BG3726" t="str">
            <v>Programar</v>
          </cell>
        </row>
        <row r="3727">
          <cell r="A3727" t="str">
            <v>TIT-121444</v>
          </cell>
          <cell r="BG3727" t="str">
            <v>Não Montado</v>
          </cell>
        </row>
        <row r="3728">
          <cell r="A3728" t="str">
            <v>TIT-121445A</v>
          </cell>
          <cell r="BG3728" t="str">
            <v>Não Montado</v>
          </cell>
        </row>
        <row r="3729">
          <cell r="A3729" t="str">
            <v>TIT-121445B</v>
          </cell>
          <cell r="BG3729" t="str">
            <v>Programar</v>
          </cell>
        </row>
        <row r="3730">
          <cell r="A3730" t="str">
            <v>TIT-121446</v>
          </cell>
          <cell r="BG3730" t="str">
            <v>Programar</v>
          </cell>
        </row>
        <row r="3731">
          <cell r="A3731" t="str">
            <v>TIT-121447</v>
          </cell>
          <cell r="BG3731" t="str">
            <v>Não Montado</v>
          </cell>
        </row>
        <row r="3732">
          <cell r="A3732" t="str">
            <v>TIT-121448</v>
          </cell>
          <cell r="BG3732" t="str">
            <v>Não Montado</v>
          </cell>
        </row>
        <row r="3733">
          <cell r="A3733" t="str">
            <v>TIT-122001</v>
          </cell>
          <cell r="BG3733" t="str">
            <v>Montado</v>
          </cell>
        </row>
        <row r="3734">
          <cell r="A3734" t="str">
            <v>TIT-122027</v>
          </cell>
          <cell r="BG3734" t="str">
            <v>Em programação</v>
          </cell>
        </row>
        <row r="3735">
          <cell r="A3735" t="str">
            <v>TIT-122029</v>
          </cell>
          <cell r="BG3735" t="str">
            <v>Montado</v>
          </cell>
        </row>
        <row r="3736">
          <cell r="A3736" t="str">
            <v>TIT-122030</v>
          </cell>
          <cell r="BG3736" t="str">
            <v>Montado</v>
          </cell>
        </row>
        <row r="3737">
          <cell r="A3737" t="str">
            <v>TIT-122031</v>
          </cell>
          <cell r="BG3737" t="str">
            <v>Em programação</v>
          </cell>
        </row>
        <row r="3738">
          <cell r="A3738" t="str">
            <v>TIT-122033</v>
          </cell>
          <cell r="BG3738" t="str">
            <v>Montado</v>
          </cell>
        </row>
        <row r="3739">
          <cell r="A3739" t="str">
            <v>TIT-122034</v>
          </cell>
          <cell r="BG3739" t="str">
            <v>Montado</v>
          </cell>
        </row>
        <row r="3740">
          <cell r="A3740" t="str">
            <v>TIT-122035</v>
          </cell>
          <cell r="BG3740" t="str">
            <v>Montado</v>
          </cell>
        </row>
        <row r="3741">
          <cell r="A3741" t="str">
            <v>TIT-122036</v>
          </cell>
          <cell r="BG3741" t="str">
            <v>Montado</v>
          </cell>
        </row>
        <row r="3742">
          <cell r="A3742" t="str">
            <v>TIT-122048</v>
          </cell>
          <cell r="BG3742" t="str">
            <v>Montado</v>
          </cell>
        </row>
        <row r="3743">
          <cell r="A3743" t="str">
            <v>TJT-12-0001</v>
          </cell>
          <cell r="BG3743" t="str">
            <v>Não Montado</v>
          </cell>
        </row>
        <row r="3744">
          <cell r="A3744" t="str">
            <v>TJT-12-0002</v>
          </cell>
          <cell r="BG3744" t="str">
            <v>Não Montado</v>
          </cell>
        </row>
        <row r="3745">
          <cell r="A3745" t="str">
            <v>TJT-12-0003</v>
          </cell>
          <cell r="BG3745" t="str">
            <v>Não Montado</v>
          </cell>
        </row>
        <row r="3746">
          <cell r="A3746" t="str">
            <v>TJT-12-0004</v>
          </cell>
          <cell r="BG3746" t="str">
            <v>Não Montado</v>
          </cell>
        </row>
        <row r="3747">
          <cell r="A3747" t="str">
            <v>TJT-12-0005</v>
          </cell>
          <cell r="BG3747" t="str">
            <v>Não Montado</v>
          </cell>
        </row>
        <row r="3748">
          <cell r="A3748" t="str">
            <v>TJT-12-0006</v>
          </cell>
          <cell r="BG3748" t="str">
            <v>Não Montado</v>
          </cell>
        </row>
        <row r="3749">
          <cell r="A3749" t="str">
            <v>TJT-12-0007</v>
          </cell>
          <cell r="BG3749" t="str">
            <v>Não Montado</v>
          </cell>
        </row>
        <row r="3750">
          <cell r="A3750" t="str">
            <v>TJT-12-0008</v>
          </cell>
          <cell r="BG3750" t="str">
            <v>Não Montado</v>
          </cell>
        </row>
        <row r="3751">
          <cell r="A3751" t="str">
            <v>TJT-12-0009</v>
          </cell>
          <cell r="BG3751" t="str">
            <v>Não Montado</v>
          </cell>
        </row>
        <row r="3752">
          <cell r="A3752" t="str">
            <v>TJT-12-0010</v>
          </cell>
          <cell r="BG3752" t="str">
            <v>Não Montado</v>
          </cell>
        </row>
        <row r="3753">
          <cell r="A3753" t="str">
            <v>TJT-12-0011</v>
          </cell>
          <cell r="BG3753" t="str">
            <v>Não Montado</v>
          </cell>
        </row>
        <row r="3754">
          <cell r="A3754" t="str">
            <v>TJT-12-0012</v>
          </cell>
          <cell r="BG3754" t="str">
            <v>Não Montado</v>
          </cell>
        </row>
        <row r="3755">
          <cell r="A3755" t="str">
            <v>TJT-12-0013</v>
          </cell>
          <cell r="BG3755" t="str">
            <v>Não Montado</v>
          </cell>
        </row>
        <row r="3756">
          <cell r="A3756" t="str">
            <v>TJT-12-0014</v>
          </cell>
          <cell r="BG3756" t="str">
            <v>Não Montado</v>
          </cell>
        </row>
        <row r="3757">
          <cell r="A3757" t="str">
            <v>TJT-12-0015</v>
          </cell>
          <cell r="BG3757" t="str">
            <v>Não Montado</v>
          </cell>
        </row>
        <row r="3758">
          <cell r="A3758" t="str">
            <v>TJT-12-0016</v>
          </cell>
          <cell r="BG3758" t="str">
            <v>Não Montado</v>
          </cell>
        </row>
        <row r="3759">
          <cell r="A3759" t="str">
            <v>TJT-12-0017</v>
          </cell>
          <cell r="BG3759" t="str">
            <v>Não Montado</v>
          </cell>
        </row>
        <row r="3760">
          <cell r="A3760" t="str">
            <v>TJT-12-0018</v>
          </cell>
          <cell r="BG3760" t="str">
            <v>Não Montado</v>
          </cell>
        </row>
        <row r="3761">
          <cell r="A3761" t="str">
            <v>TJT-12-0019</v>
          </cell>
          <cell r="BG3761" t="str">
            <v>Não Montado</v>
          </cell>
        </row>
        <row r="3762">
          <cell r="A3762" t="str">
            <v>TJT-12-0020</v>
          </cell>
          <cell r="BG3762" t="str">
            <v>Não Montado</v>
          </cell>
        </row>
        <row r="3763">
          <cell r="A3763" t="str">
            <v>TJT-12-0021</v>
          </cell>
          <cell r="BG3763" t="str">
            <v>Não Montado</v>
          </cell>
        </row>
        <row r="3764">
          <cell r="A3764" t="str">
            <v>TJT-12-0022</v>
          </cell>
          <cell r="BG3764" t="str">
            <v>Não Montado</v>
          </cell>
        </row>
        <row r="3765">
          <cell r="A3765" t="str">
            <v>TJT-12-0023</v>
          </cell>
          <cell r="BG3765" t="str">
            <v>Não Montado</v>
          </cell>
        </row>
        <row r="3766">
          <cell r="A3766" t="str">
            <v>TJT-12-0024</v>
          </cell>
          <cell r="BG3766" t="str">
            <v>Não Montado</v>
          </cell>
        </row>
        <row r="3767">
          <cell r="A3767" t="str">
            <v>TJT-12-0025</v>
          </cell>
          <cell r="BG3767" t="str">
            <v>Não Montado</v>
          </cell>
        </row>
        <row r="3768">
          <cell r="A3768" t="str">
            <v>TJT-12-0026</v>
          </cell>
          <cell r="BG3768" t="str">
            <v>Não Montado</v>
          </cell>
        </row>
        <row r="3769">
          <cell r="A3769" t="str">
            <v>TJT-12-0027</v>
          </cell>
          <cell r="BG3769" t="str">
            <v>Não Montado</v>
          </cell>
        </row>
        <row r="3770">
          <cell r="A3770" t="str">
            <v>TJT-12-0028</v>
          </cell>
          <cell r="BG3770" t="str">
            <v>Não Montado</v>
          </cell>
        </row>
        <row r="3771">
          <cell r="A3771" t="str">
            <v>TJT-12-0029</v>
          </cell>
          <cell r="BG3771" t="str">
            <v>Não Montado</v>
          </cell>
        </row>
        <row r="3772">
          <cell r="A3772" t="str">
            <v>TJT-12-0030</v>
          </cell>
          <cell r="BG3772" t="str">
            <v>Não Montado</v>
          </cell>
        </row>
        <row r="3773">
          <cell r="A3773" t="str">
            <v>TJT-12-0031</v>
          </cell>
          <cell r="BG3773" t="str">
            <v>Não Montado</v>
          </cell>
        </row>
        <row r="3774">
          <cell r="A3774" t="str">
            <v>TJT-12-0032</v>
          </cell>
          <cell r="BG3774" t="str">
            <v>Não Montado</v>
          </cell>
        </row>
        <row r="3775">
          <cell r="A3775" t="str">
            <v>TJT-12-0033</v>
          </cell>
          <cell r="BG3775" t="str">
            <v>Não Montado</v>
          </cell>
        </row>
        <row r="3776">
          <cell r="A3776" t="str">
            <v>TJT-12-0034</v>
          </cell>
          <cell r="BG3776" t="str">
            <v>Não Montado</v>
          </cell>
        </row>
        <row r="3777">
          <cell r="A3777" t="str">
            <v>TJT-12-0035</v>
          </cell>
          <cell r="BG3777" t="str">
            <v>Não Montado</v>
          </cell>
        </row>
        <row r="3778">
          <cell r="A3778" t="str">
            <v>TJT-12-0036</v>
          </cell>
          <cell r="BG3778" t="str">
            <v>Não Montado</v>
          </cell>
        </row>
        <row r="3779">
          <cell r="A3779" t="str">
            <v>TJT-12-0037</v>
          </cell>
          <cell r="BG3779" t="str">
            <v>Não Montado</v>
          </cell>
        </row>
        <row r="3780">
          <cell r="A3780" t="str">
            <v>TJT-12-0038</v>
          </cell>
          <cell r="BG3780" t="str">
            <v>Não Montado</v>
          </cell>
        </row>
        <row r="3781">
          <cell r="A3781" t="str">
            <v>TJT-12-0039</v>
          </cell>
          <cell r="BG3781" t="str">
            <v>Não Montado</v>
          </cell>
        </row>
        <row r="3782">
          <cell r="A3782" t="str">
            <v>TJT-12-0040</v>
          </cell>
          <cell r="BG3782" t="str">
            <v>Não Montado</v>
          </cell>
        </row>
        <row r="3783">
          <cell r="A3783" t="str">
            <v>TJT-12-0041</v>
          </cell>
          <cell r="BG3783" t="str">
            <v>Não Montado</v>
          </cell>
        </row>
        <row r="3784">
          <cell r="A3784" t="str">
            <v>TJT-12-0042</v>
          </cell>
          <cell r="BG3784" t="str">
            <v>Não Montado</v>
          </cell>
        </row>
        <row r="3785">
          <cell r="A3785" t="str">
            <v>TJT-12-0043</v>
          </cell>
          <cell r="BG3785" t="str">
            <v>Não Montado</v>
          </cell>
        </row>
        <row r="3786">
          <cell r="A3786" t="str">
            <v>TJT-12-0044</v>
          </cell>
          <cell r="BG3786" t="str">
            <v>Não Montado</v>
          </cell>
        </row>
        <row r="3787">
          <cell r="A3787" t="str">
            <v>TJT-12-0045</v>
          </cell>
          <cell r="BG3787" t="str">
            <v>Não Montado</v>
          </cell>
        </row>
        <row r="3788">
          <cell r="A3788" t="str">
            <v>TJT-12-0046</v>
          </cell>
          <cell r="BG3788" t="str">
            <v>Não Montado</v>
          </cell>
        </row>
        <row r="3789">
          <cell r="A3789" t="str">
            <v>TJT-12-0047</v>
          </cell>
          <cell r="BG3789" t="str">
            <v>Não Montado</v>
          </cell>
        </row>
        <row r="3790">
          <cell r="A3790" t="str">
            <v>TJT-12-0048</v>
          </cell>
          <cell r="BG3790" t="str">
            <v>Não Montado</v>
          </cell>
        </row>
        <row r="3791">
          <cell r="A3791" t="str">
            <v>TJT-12-0049</v>
          </cell>
          <cell r="BG3791" t="str">
            <v>Não Montado</v>
          </cell>
        </row>
        <row r="3792">
          <cell r="A3792" t="str">
            <v>TJT-12-0050</v>
          </cell>
          <cell r="BG3792" t="str">
            <v>Não Montado</v>
          </cell>
        </row>
        <row r="3793">
          <cell r="A3793" t="str">
            <v>TJT-12-0051</v>
          </cell>
          <cell r="BG3793" t="str">
            <v>Não Montado</v>
          </cell>
        </row>
        <row r="3794">
          <cell r="A3794" t="str">
            <v>TJT-12-0052</v>
          </cell>
          <cell r="BG3794" t="str">
            <v>Não Montado</v>
          </cell>
        </row>
        <row r="3795">
          <cell r="A3795" t="str">
            <v>TJT-12-0053</v>
          </cell>
          <cell r="BG3795" t="str">
            <v>Não Montado</v>
          </cell>
        </row>
        <row r="3796">
          <cell r="A3796" t="str">
            <v>TJT-12-0054</v>
          </cell>
          <cell r="BG3796" t="str">
            <v>Não Montado</v>
          </cell>
        </row>
        <row r="3797">
          <cell r="A3797" t="str">
            <v>TJT-12-0055</v>
          </cell>
          <cell r="BG3797" t="str">
            <v>Não Montado</v>
          </cell>
        </row>
        <row r="3798">
          <cell r="A3798" t="str">
            <v>TJT-12-0056</v>
          </cell>
          <cell r="BG3798" t="str">
            <v>Não Montado</v>
          </cell>
        </row>
        <row r="3799">
          <cell r="A3799" t="str">
            <v>TJT-12-0057</v>
          </cell>
          <cell r="BG3799" t="str">
            <v>Não Montado</v>
          </cell>
        </row>
        <row r="3800">
          <cell r="A3800" t="str">
            <v>TJT-12-0640</v>
          </cell>
          <cell r="BG3800" t="str">
            <v>Não Montado</v>
          </cell>
        </row>
        <row r="3801">
          <cell r="A3801" t="str">
            <v>TSH-121013</v>
          </cell>
          <cell r="BG3801" t="str">
            <v>Não Montado</v>
          </cell>
        </row>
        <row r="3802">
          <cell r="A3802" t="str">
            <v>TSH-121014</v>
          </cell>
          <cell r="BG3802" t="str">
            <v>Não Montado</v>
          </cell>
        </row>
        <row r="3803">
          <cell r="A3803" t="str">
            <v>TSH-121028</v>
          </cell>
          <cell r="BG3803" t="str">
            <v>Não Montado</v>
          </cell>
        </row>
        <row r="3804">
          <cell r="A3804" t="str">
            <v>TT-121007</v>
          </cell>
          <cell r="BG3804" t="str">
            <v>Não Montado</v>
          </cell>
        </row>
        <row r="3805">
          <cell r="A3805" t="str">
            <v>TT-121013</v>
          </cell>
          <cell r="BG3805" t="str">
            <v>Não Montado</v>
          </cell>
        </row>
        <row r="3806">
          <cell r="A3806" t="str">
            <v>TT-121022</v>
          </cell>
          <cell r="BG3806" t="str">
            <v>Não Montado</v>
          </cell>
        </row>
        <row r="3807">
          <cell r="A3807" t="str">
            <v>TT-121028</v>
          </cell>
          <cell r="BG3807" t="str">
            <v>Não Montado</v>
          </cell>
        </row>
        <row r="3808">
          <cell r="A3808" t="str">
            <v>TT-121034</v>
          </cell>
          <cell r="BG3808" t="str">
            <v>Não Montado</v>
          </cell>
        </row>
        <row r="3809">
          <cell r="A3809" t="str">
            <v>TT-121038</v>
          </cell>
          <cell r="BG3809" t="str">
            <v>Não Montado</v>
          </cell>
        </row>
        <row r="3810">
          <cell r="A3810" t="str">
            <v>TT-121047A</v>
          </cell>
          <cell r="BG3810" t="str">
            <v>Não Montado</v>
          </cell>
        </row>
        <row r="3811">
          <cell r="A3811" t="str">
            <v>TT-121047B</v>
          </cell>
          <cell r="BG3811" t="str">
            <v>Não Montado</v>
          </cell>
        </row>
        <row r="3812">
          <cell r="A3812" t="str">
            <v>TT-121913</v>
          </cell>
          <cell r="BG3812" t="str">
            <v>Não Montado</v>
          </cell>
        </row>
        <row r="3813">
          <cell r="A3813" t="str">
            <v>TV-120016A</v>
          </cell>
          <cell r="BG3813" t="str">
            <v>Não Montado</v>
          </cell>
        </row>
        <row r="3814">
          <cell r="A3814" t="str">
            <v>TV-120016B</v>
          </cell>
          <cell r="BG3814" t="str">
            <v>Não Montado</v>
          </cell>
        </row>
        <row r="3815">
          <cell r="A3815" t="str">
            <v>TV-120016C</v>
          </cell>
          <cell r="BG3815" t="str">
            <v>Não Montado</v>
          </cell>
        </row>
        <row r="3816">
          <cell r="A3816" t="str">
            <v>TV-120018</v>
          </cell>
          <cell r="BG3816" t="str">
            <v>Não Montado</v>
          </cell>
        </row>
        <row r="3817">
          <cell r="A3817" t="str">
            <v>TV-120019</v>
          </cell>
          <cell r="BG3817" t="str">
            <v>Não Montado</v>
          </cell>
        </row>
        <row r="3818">
          <cell r="A3818" t="str">
            <v>TV-120033A</v>
          </cell>
          <cell r="BG3818" t="str">
            <v>Não Montado</v>
          </cell>
        </row>
        <row r="3819">
          <cell r="A3819" t="str">
            <v>TV-120033B</v>
          </cell>
          <cell r="BG3819" t="str">
            <v>Não Montado</v>
          </cell>
        </row>
        <row r="3820">
          <cell r="A3820" t="str">
            <v>TV-120115A1</v>
          </cell>
          <cell r="BG3820" t="str">
            <v>Não Montado</v>
          </cell>
        </row>
        <row r="3821">
          <cell r="A3821" t="str">
            <v>TV-120115A2</v>
          </cell>
          <cell r="BG3821" t="str">
            <v>Não Montado</v>
          </cell>
        </row>
        <row r="3822">
          <cell r="A3822" t="str">
            <v>TV-120115B</v>
          </cell>
          <cell r="BG3822" t="str">
            <v>Não Montado</v>
          </cell>
        </row>
        <row r="3823">
          <cell r="A3823" t="str">
            <v>TV-120639</v>
          </cell>
          <cell r="BG3823" t="str">
            <v>Não Montado</v>
          </cell>
        </row>
        <row r="3824">
          <cell r="A3824" t="str">
            <v>TV-120641</v>
          </cell>
          <cell r="BG3824" t="str">
            <v>Não Montado</v>
          </cell>
        </row>
        <row r="3825">
          <cell r="A3825" t="str">
            <v>TV-121002</v>
          </cell>
          <cell r="BG3825" t="str">
            <v>Não Montado</v>
          </cell>
        </row>
        <row r="3826">
          <cell r="A3826" t="str">
            <v>TV-121005</v>
          </cell>
          <cell r="BG3826" t="str">
            <v>Não Montado</v>
          </cell>
        </row>
        <row r="3827">
          <cell r="A3827" t="str">
            <v>TV-121006</v>
          </cell>
          <cell r="BG3827" t="str">
            <v>Não Montado</v>
          </cell>
        </row>
        <row r="3828">
          <cell r="A3828" t="str">
            <v>TV-121012</v>
          </cell>
          <cell r="BG3828" t="str">
            <v>Não Montado</v>
          </cell>
        </row>
        <row r="3829">
          <cell r="A3829" t="str">
            <v>TV-121013</v>
          </cell>
          <cell r="BG3829" t="str">
            <v>Não Montado</v>
          </cell>
        </row>
        <row r="3830">
          <cell r="A3830" t="str">
            <v>TV-121017</v>
          </cell>
          <cell r="BG3830" t="str">
            <v>Não Montado</v>
          </cell>
        </row>
        <row r="3831">
          <cell r="A3831" t="str">
            <v>TV-121019</v>
          </cell>
          <cell r="BG3831" t="str">
            <v>Não Montado</v>
          </cell>
        </row>
        <row r="3832">
          <cell r="A3832" t="str">
            <v>TV-121022</v>
          </cell>
          <cell r="BG3832" t="str">
            <v>Não Montado</v>
          </cell>
        </row>
        <row r="3833">
          <cell r="A3833" t="str">
            <v>TV-121024</v>
          </cell>
          <cell r="BG3833" t="str">
            <v>Não Montado</v>
          </cell>
        </row>
        <row r="3834">
          <cell r="A3834" t="str">
            <v>TV-121030</v>
          </cell>
          <cell r="BG3834" t="str">
            <v>Não Montado</v>
          </cell>
        </row>
        <row r="3835">
          <cell r="A3835" t="str">
            <v>TV-121031</v>
          </cell>
          <cell r="BG3835" t="str">
            <v>Não Montado</v>
          </cell>
        </row>
        <row r="3836">
          <cell r="A3836" t="str">
            <v>TZ-120016A</v>
          </cell>
          <cell r="BG3836" t="str">
            <v>Não Montado</v>
          </cell>
        </row>
        <row r="3837">
          <cell r="A3837" t="str">
            <v>TZ-120016B</v>
          </cell>
          <cell r="BG3837" t="str">
            <v>Não Montado</v>
          </cell>
        </row>
        <row r="3838">
          <cell r="A3838" t="str">
            <v>TZ-120033A</v>
          </cell>
          <cell r="BG3838" t="str">
            <v>Não Montado</v>
          </cell>
        </row>
        <row r="3839">
          <cell r="A3839" t="str">
            <v>TZ-120033B</v>
          </cell>
          <cell r="BG3839" t="str">
            <v>Não Montado</v>
          </cell>
        </row>
        <row r="3840">
          <cell r="A3840" t="str">
            <v>TZ-120115A1</v>
          </cell>
          <cell r="BG3840" t="str">
            <v>Não Montado</v>
          </cell>
        </row>
        <row r="3841">
          <cell r="A3841" t="str">
            <v>TZ-120115B</v>
          </cell>
          <cell r="BG3841" t="str">
            <v>Não Montado</v>
          </cell>
        </row>
        <row r="3842">
          <cell r="A3842" t="str">
            <v>VE-120250A</v>
          </cell>
          <cell r="BG3842" t="str">
            <v>Não Montado</v>
          </cell>
        </row>
        <row r="3843">
          <cell r="A3843" t="str">
            <v>VE-120250B</v>
          </cell>
          <cell r="BG3843" t="str">
            <v>Não Montado</v>
          </cell>
        </row>
        <row r="3844">
          <cell r="A3844" t="str">
            <v>VE-120251A</v>
          </cell>
          <cell r="BG3844" t="str">
            <v>Não Montado</v>
          </cell>
        </row>
        <row r="3845">
          <cell r="A3845" t="str">
            <v>VE-120252A</v>
          </cell>
          <cell r="BG3845" t="str">
            <v>Não Montado</v>
          </cell>
        </row>
        <row r="3846">
          <cell r="A3846" t="str">
            <v>VE-120252B</v>
          </cell>
          <cell r="BG3846" t="str">
            <v>Não Montado</v>
          </cell>
        </row>
        <row r="3847">
          <cell r="A3847" t="str">
            <v>VE-120253A</v>
          </cell>
          <cell r="BG3847" t="str">
            <v>Não Montado</v>
          </cell>
        </row>
        <row r="3848">
          <cell r="A3848" t="str">
            <v>VE-120254A</v>
          </cell>
          <cell r="BG3848" t="str">
            <v>Não Montado</v>
          </cell>
        </row>
        <row r="3849">
          <cell r="A3849" t="str">
            <v>VE-120254B</v>
          </cell>
          <cell r="BG3849" t="str">
            <v>Não Montado</v>
          </cell>
        </row>
        <row r="3850">
          <cell r="A3850" t="str">
            <v>VE-120255A</v>
          </cell>
          <cell r="BG3850" t="str">
            <v>Não Montado</v>
          </cell>
        </row>
        <row r="3851">
          <cell r="A3851" t="str">
            <v>VE-120255B</v>
          </cell>
          <cell r="BG3851" t="str">
            <v>Não Montado</v>
          </cell>
        </row>
        <row r="3852">
          <cell r="A3852" t="str">
            <v>VE-120950A</v>
          </cell>
          <cell r="BG3852" t="str">
            <v>Não Montado</v>
          </cell>
        </row>
        <row r="3853">
          <cell r="A3853" t="str">
            <v>VE-120950B</v>
          </cell>
          <cell r="BG3853" t="str">
            <v>Não Montado</v>
          </cell>
        </row>
        <row r="3854">
          <cell r="A3854" t="str">
            <v>VE-120951A</v>
          </cell>
          <cell r="BG3854" t="str">
            <v>Não Montado</v>
          </cell>
        </row>
        <row r="3855">
          <cell r="A3855" t="str">
            <v>VE-120952A</v>
          </cell>
          <cell r="BG3855" t="str">
            <v>Não Montado</v>
          </cell>
        </row>
        <row r="3856">
          <cell r="A3856" t="str">
            <v>VE-120952B</v>
          </cell>
          <cell r="BG3856" t="str">
            <v>Não Montado</v>
          </cell>
        </row>
        <row r="3857">
          <cell r="A3857" t="str">
            <v>VE-120953A</v>
          </cell>
          <cell r="BG3857" t="str">
            <v>Não Montado</v>
          </cell>
        </row>
        <row r="3858">
          <cell r="A3858" t="str">
            <v>VE-120953B</v>
          </cell>
          <cell r="BG3858" t="str">
            <v>Não Montado</v>
          </cell>
        </row>
        <row r="3859">
          <cell r="A3859" t="str">
            <v>VE-120954A</v>
          </cell>
          <cell r="BG3859" t="str">
            <v>Não Montado</v>
          </cell>
        </row>
        <row r="3860">
          <cell r="A3860" t="str">
            <v>VE-120954B</v>
          </cell>
          <cell r="BG3860" t="str">
            <v>Não Montado</v>
          </cell>
        </row>
        <row r="3861">
          <cell r="A3861" t="str">
            <v>VE-120955A</v>
          </cell>
          <cell r="BG3861" t="str">
            <v>Não Montado</v>
          </cell>
        </row>
        <row r="3862">
          <cell r="A3862" t="str">
            <v>VE-120955B</v>
          </cell>
          <cell r="BG3862" t="str">
            <v>Não Montado</v>
          </cell>
        </row>
        <row r="3863">
          <cell r="A3863" t="str">
            <v>VE-120956A</v>
          </cell>
          <cell r="BG3863" t="str">
            <v>Não Montado</v>
          </cell>
        </row>
        <row r="3864">
          <cell r="A3864" t="str">
            <v>VE-120957A</v>
          </cell>
          <cell r="BG3864" t="str">
            <v>Não Montado</v>
          </cell>
        </row>
        <row r="3865">
          <cell r="A3865" t="str">
            <v>VE-120957B</v>
          </cell>
          <cell r="BG3865" t="str">
            <v>Não Montado</v>
          </cell>
        </row>
        <row r="3866">
          <cell r="A3866" t="str">
            <v>VE-120958A</v>
          </cell>
          <cell r="BG3866" t="str">
            <v>Não Montado</v>
          </cell>
        </row>
        <row r="3867">
          <cell r="A3867" t="str">
            <v>VE-120958B</v>
          </cell>
          <cell r="BG3867" t="str">
            <v>Não Montado</v>
          </cell>
        </row>
        <row r="3868">
          <cell r="A3868" t="str">
            <v>VE-120959A</v>
          </cell>
          <cell r="BG3868" t="str">
            <v>Não Montado</v>
          </cell>
        </row>
        <row r="3869">
          <cell r="A3869" t="str">
            <v>VE-120959B</v>
          </cell>
          <cell r="BG3869" t="str">
            <v>Não Montado</v>
          </cell>
        </row>
        <row r="3870">
          <cell r="A3870" t="str">
            <v>VE-120960A</v>
          </cell>
          <cell r="BG3870" t="str">
            <v>Não Montado</v>
          </cell>
        </row>
        <row r="3871">
          <cell r="A3871" t="str">
            <v>VE-120961A</v>
          </cell>
          <cell r="BG3871" t="str">
            <v>Não Montado</v>
          </cell>
        </row>
        <row r="3872">
          <cell r="A3872" t="str">
            <v>VE-120961B</v>
          </cell>
          <cell r="BG3872" t="str">
            <v>Não Montado</v>
          </cell>
        </row>
        <row r="3873">
          <cell r="A3873" t="str">
            <v>VE-120962A</v>
          </cell>
          <cell r="BG3873" t="str">
            <v>Não Montado</v>
          </cell>
        </row>
        <row r="3874">
          <cell r="A3874" t="str">
            <v>VE-120962B</v>
          </cell>
          <cell r="BG3874" t="str">
            <v>Não Montado</v>
          </cell>
        </row>
        <row r="3875">
          <cell r="A3875" t="str">
            <v>VE-120963A</v>
          </cell>
          <cell r="BG3875" t="str">
            <v>Não Montado</v>
          </cell>
        </row>
        <row r="3876">
          <cell r="A3876" t="str">
            <v>VE-120963B</v>
          </cell>
          <cell r="BG3876" t="str">
            <v>Não Montado</v>
          </cell>
        </row>
        <row r="3877">
          <cell r="A3877" t="str">
            <v>VE-120964A</v>
          </cell>
          <cell r="BG3877" t="str">
            <v>Não Montado</v>
          </cell>
        </row>
        <row r="3878">
          <cell r="A3878" t="str">
            <v>VE-120964B</v>
          </cell>
          <cell r="BG3878" t="str">
            <v>Não Montado</v>
          </cell>
        </row>
        <row r="3879">
          <cell r="A3879" t="str">
            <v>VE-120965A</v>
          </cell>
          <cell r="BG3879" t="str">
            <v>Não Montado</v>
          </cell>
        </row>
        <row r="3880">
          <cell r="A3880" t="str">
            <v>VE-120965B</v>
          </cell>
          <cell r="BG3880" t="str">
            <v>Não Montado</v>
          </cell>
        </row>
        <row r="3881">
          <cell r="A3881" t="str">
            <v>VE-120966A</v>
          </cell>
          <cell r="BG3881" t="str">
            <v>Não Montado</v>
          </cell>
        </row>
        <row r="3882">
          <cell r="A3882" t="str">
            <v>VE-120966B</v>
          </cell>
          <cell r="BG3882" t="str">
            <v>Não Montado</v>
          </cell>
        </row>
        <row r="3883">
          <cell r="A3883" t="str">
            <v>VE-120967A</v>
          </cell>
          <cell r="BG3883" t="str">
            <v>Não Montado</v>
          </cell>
        </row>
        <row r="3884">
          <cell r="A3884" t="str">
            <v>VE-120967B</v>
          </cell>
          <cell r="BG3884" t="str">
            <v>Não Montado</v>
          </cell>
        </row>
        <row r="3885">
          <cell r="A3885" t="str">
            <v>VE-120968A</v>
          </cell>
          <cell r="BG3885" t="str">
            <v>Não Montado</v>
          </cell>
        </row>
        <row r="3886">
          <cell r="A3886" t="str">
            <v>VE-120968B</v>
          </cell>
          <cell r="BG3886" t="str">
            <v>Não Montado</v>
          </cell>
        </row>
        <row r="3887">
          <cell r="A3887" t="str">
            <v>VE-120969A</v>
          </cell>
          <cell r="BG3887" t="str">
            <v>Não Montado</v>
          </cell>
        </row>
        <row r="3888">
          <cell r="A3888" t="str">
            <v>VE-120969B</v>
          </cell>
          <cell r="BG3888" t="str">
            <v>Não Montado</v>
          </cell>
        </row>
        <row r="3889">
          <cell r="A3889" t="str">
            <v>VE-120970A</v>
          </cell>
          <cell r="BG3889" t="str">
            <v>Não Montado</v>
          </cell>
        </row>
        <row r="3890">
          <cell r="A3890" t="str">
            <v>VE-120970B</v>
          </cell>
          <cell r="BG3890" t="str">
            <v>Não Montado</v>
          </cell>
        </row>
        <row r="3891">
          <cell r="A3891" t="str">
            <v>VE-120971A</v>
          </cell>
          <cell r="BG3891" t="str">
            <v>Não Montado</v>
          </cell>
        </row>
        <row r="3892">
          <cell r="A3892" t="str">
            <v>VE-120971B</v>
          </cell>
          <cell r="BG3892" t="str">
            <v>Não Montado</v>
          </cell>
        </row>
        <row r="3893">
          <cell r="A3893" t="str">
            <v>VE-120972A</v>
          </cell>
          <cell r="BG3893" t="str">
            <v>Não Montado</v>
          </cell>
        </row>
        <row r="3894">
          <cell r="A3894" t="str">
            <v>VE-120972B</v>
          </cell>
          <cell r="BG3894" t="str">
            <v>Não Montado</v>
          </cell>
        </row>
        <row r="3895">
          <cell r="A3895" t="str">
            <v>VE-120973A</v>
          </cell>
          <cell r="BG3895" t="str">
            <v>Não Montado</v>
          </cell>
        </row>
        <row r="3896">
          <cell r="A3896" t="str">
            <v>VE-120973B</v>
          </cell>
          <cell r="BG3896" t="str">
            <v>Não Montado</v>
          </cell>
        </row>
        <row r="3897">
          <cell r="A3897" t="str">
            <v>VE-120974A</v>
          </cell>
          <cell r="BG3897" t="str">
            <v>Não Montado</v>
          </cell>
        </row>
        <row r="3898">
          <cell r="A3898" t="str">
            <v>VE-120974B</v>
          </cell>
          <cell r="BG3898" t="str">
            <v>Não Montado</v>
          </cell>
        </row>
        <row r="3899">
          <cell r="A3899" t="str">
            <v>VE-120975A</v>
          </cell>
          <cell r="BG3899" t="str">
            <v>Não Montado</v>
          </cell>
        </row>
        <row r="3900">
          <cell r="A3900" t="str">
            <v>VE-120975B</v>
          </cell>
          <cell r="BG3900" t="str">
            <v>Não Montado</v>
          </cell>
        </row>
        <row r="3901">
          <cell r="A3901" t="str">
            <v>VE-120976A</v>
          </cell>
          <cell r="BG3901" t="str">
            <v>Não Montado</v>
          </cell>
        </row>
        <row r="3902">
          <cell r="A3902" t="str">
            <v>VE-120976B</v>
          </cell>
          <cell r="BG3902" t="str">
            <v>Não Montado</v>
          </cell>
        </row>
        <row r="3903">
          <cell r="A3903" t="str">
            <v>VE-120977A</v>
          </cell>
          <cell r="BG3903" t="str">
            <v>Não Montado</v>
          </cell>
        </row>
        <row r="3904">
          <cell r="A3904" t="str">
            <v>VE-120977B</v>
          </cell>
          <cell r="BG3904" t="str">
            <v>Não Montado</v>
          </cell>
        </row>
        <row r="3905">
          <cell r="A3905" t="str">
            <v>VE-120978A</v>
          </cell>
          <cell r="BG3905" t="str">
            <v>Não Montado</v>
          </cell>
        </row>
        <row r="3906">
          <cell r="A3906" t="str">
            <v>VE-120978B</v>
          </cell>
          <cell r="BG3906" t="str">
            <v>Não Montado</v>
          </cell>
        </row>
        <row r="3907">
          <cell r="A3907" t="str">
            <v>VE-120979A</v>
          </cell>
          <cell r="BG3907" t="str">
            <v>Não Montado</v>
          </cell>
        </row>
        <row r="3908">
          <cell r="A3908" t="str">
            <v>VE-120979B</v>
          </cell>
          <cell r="BG3908" t="str">
            <v>Não Montado</v>
          </cell>
        </row>
        <row r="3909">
          <cell r="A3909" t="str">
            <v>VE-120980A</v>
          </cell>
          <cell r="BG3909" t="str">
            <v>Não Montado</v>
          </cell>
        </row>
        <row r="3910">
          <cell r="A3910" t="str">
            <v>VE-120980B</v>
          </cell>
          <cell r="BG3910" t="str">
            <v>Não Montado</v>
          </cell>
        </row>
        <row r="3911">
          <cell r="A3911" t="str">
            <v>VE-120981A</v>
          </cell>
          <cell r="BG3911" t="str">
            <v>Não Montado</v>
          </cell>
        </row>
        <row r="3912">
          <cell r="A3912" t="str">
            <v>VE-120981B</v>
          </cell>
          <cell r="BG3912" t="str">
            <v>Não Montado</v>
          </cell>
        </row>
        <row r="3913">
          <cell r="A3913" t="str">
            <v>VE-120982A</v>
          </cell>
          <cell r="BG3913" t="str">
            <v>Não Montado</v>
          </cell>
        </row>
        <row r="3914">
          <cell r="A3914" t="str">
            <v>VE-120982B</v>
          </cell>
          <cell r="BG3914" t="str">
            <v>Não Montado</v>
          </cell>
        </row>
        <row r="3915">
          <cell r="A3915" t="str">
            <v>VE-120983A</v>
          </cell>
          <cell r="BG3915" t="str">
            <v>Não Montado</v>
          </cell>
        </row>
        <row r="3916">
          <cell r="A3916" t="str">
            <v>VE-120983B</v>
          </cell>
          <cell r="BG3916" t="str">
            <v>Não Montado</v>
          </cell>
        </row>
        <row r="3917">
          <cell r="A3917" t="str">
            <v>VE-120984A</v>
          </cell>
          <cell r="BG3917" t="str">
            <v>Não Montado</v>
          </cell>
        </row>
        <row r="3918">
          <cell r="A3918" t="str">
            <v>VE-120984B</v>
          </cell>
          <cell r="BG3918" t="str">
            <v>Não Montado</v>
          </cell>
        </row>
        <row r="3919">
          <cell r="A3919" t="str">
            <v>VE-120985A</v>
          </cell>
          <cell r="BG3919" t="str">
            <v>Não Montado</v>
          </cell>
        </row>
        <row r="3920">
          <cell r="A3920" t="str">
            <v>VE-120985B</v>
          </cell>
          <cell r="BG3920" t="str">
            <v>Não Montado</v>
          </cell>
        </row>
        <row r="3921">
          <cell r="A3921" t="str">
            <v>VE-120986A</v>
          </cell>
          <cell r="BG3921" t="str">
            <v>Não Montado</v>
          </cell>
        </row>
        <row r="3922">
          <cell r="A3922" t="str">
            <v>VE-120986B</v>
          </cell>
          <cell r="BG3922" t="str">
            <v>Não Montado</v>
          </cell>
        </row>
        <row r="3923">
          <cell r="A3923" t="str">
            <v>VE-120987A</v>
          </cell>
          <cell r="BG3923" t="str">
            <v>Não Montado</v>
          </cell>
        </row>
        <row r="3924">
          <cell r="A3924" t="str">
            <v>VE-120987B</v>
          </cell>
          <cell r="BG3924" t="str">
            <v>Não Montado</v>
          </cell>
        </row>
        <row r="3925">
          <cell r="A3925" t="str">
            <v>VE-120988A</v>
          </cell>
          <cell r="BG3925" t="str">
            <v>Não Montado</v>
          </cell>
        </row>
        <row r="3926">
          <cell r="A3926" t="str">
            <v>VE-120988B</v>
          </cell>
          <cell r="BG3926" t="str">
            <v>Não Montado</v>
          </cell>
        </row>
        <row r="3927">
          <cell r="A3927" t="str">
            <v>VE-120989A</v>
          </cell>
          <cell r="BG3927" t="str">
            <v>Não Montado</v>
          </cell>
        </row>
        <row r="3928">
          <cell r="A3928" t="str">
            <v>VE-120989B</v>
          </cell>
          <cell r="BG3928" t="str">
            <v>Não Montado</v>
          </cell>
        </row>
        <row r="3929">
          <cell r="A3929" t="str">
            <v>VE-120990A</v>
          </cell>
          <cell r="BG3929" t="str">
            <v>Não Montado</v>
          </cell>
        </row>
        <row r="3930">
          <cell r="A3930" t="str">
            <v>VE-120990B</v>
          </cell>
          <cell r="BG3930" t="str">
            <v>Não Montado</v>
          </cell>
        </row>
        <row r="3931">
          <cell r="A3931" t="str">
            <v>VE-120991A</v>
          </cell>
          <cell r="BG3931" t="str">
            <v>Não Montado</v>
          </cell>
        </row>
        <row r="3932">
          <cell r="A3932" t="str">
            <v>VE-120991B</v>
          </cell>
          <cell r="BG3932" t="str">
            <v>Não Montado</v>
          </cell>
        </row>
        <row r="3933">
          <cell r="A3933" t="str">
            <v>VE-120994A</v>
          </cell>
          <cell r="BG3933" t="str">
            <v>Não Montado</v>
          </cell>
        </row>
        <row r="3934">
          <cell r="A3934" t="str">
            <v>VE-120994B</v>
          </cell>
          <cell r="BG3934" t="str">
            <v>Não Montado</v>
          </cell>
        </row>
        <row r="3935">
          <cell r="A3935" t="str">
            <v>VE-120995A</v>
          </cell>
          <cell r="BG3935" t="str">
            <v>Não Montado</v>
          </cell>
        </row>
        <row r="3936">
          <cell r="A3936" t="str">
            <v>VE-120995B</v>
          </cell>
          <cell r="BG3936" t="str">
            <v>Não Montado</v>
          </cell>
        </row>
        <row r="3937">
          <cell r="A3937" t="str">
            <v>VE-120996A</v>
          </cell>
          <cell r="BG3937" t="str">
            <v>Não Montado</v>
          </cell>
        </row>
        <row r="3938">
          <cell r="A3938" t="str">
            <v>VE-120996B</v>
          </cell>
          <cell r="BG3938" t="str">
            <v>Não Montado</v>
          </cell>
        </row>
        <row r="3939">
          <cell r="A3939" t="str">
            <v>VE-120997A</v>
          </cell>
          <cell r="BG3939" t="str">
            <v>Não Montado</v>
          </cell>
        </row>
        <row r="3940">
          <cell r="A3940" t="str">
            <v>VE-120997B</v>
          </cell>
          <cell r="BG3940" t="str">
            <v>Não Montado</v>
          </cell>
        </row>
        <row r="3941">
          <cell r="A3941" t="str">
            <v>VE-120998A</v>
          </cell>
          <cell r="BG3941" t="str">
            <v>Não Montado</v>
          </cell>
        </row>
        <row r="3942">
          <cell r="A3942" t="str">
            <v>VE-120998B</v>
          </cell>
          <cell r="BG3942" t="str">
            <v>Não Montado</v>
          </cell>
        </row>
        <row r="3943">
          <cell r="A3943" t="str">
            <v>VE-120999A</v>
          </cell>
          <cell r="BG3943" t="str">
            <v>Não Montado</v>
          </cell>
        </row>
        <row r="3944">
          <cell r="A3944" t="str">
            <v>VE-120999B</v>
          </cell>
          <cell r="BG3944" t="str">
            <v>Não Montado</v>
          </cell>
        </row>
        <row r="3945">
          <cell r="A3945" t="str">
            <v>VE-121000A</v>
          </cell>
          <cell r="BG3945" t="str">
            <v>Não Montado</v>
          </cell>
        </row>
        <row r="3946">
          <cell r="A3946" t="str">
            <v>VE-121000B</v>
          </cell>
          <cell r="BG3946" t="str">
            <v>Não Montado</v>
          </cell>
        </row>
        <row r="3947">
          <cell r="A3947" t="str">
            <v>VE-121001A</v>
          </cell>
          <cell r="BG3947" t="str">
            <v>Não Montado</v>
          </cell>
        </row>
        <row r="3948">
          <cell r="A3948" t="str">
            <v>VE-121001B</v>
          </cell>
          <cell r="BG3948" t="str">
            <v>Não Montado</v>
          </cell>
        </row>
        <row r="3949">
          <cell r="A3949" t="str">
            <v>VE-121951</v>
          </cell>
          <cell r="BG3949" t="str">
            <v>Não Montado</v>
          </cell>
        </row>
        <row r="3950">
          <cell r="A3950" t="str">
            <v>VE-121963A</v>
          </cell>
          <cell r="BG3950" t="str">
            <v>Não Montado</v>
          </cell>
        </row>
        <row r="3951">
          <cell r="A3951" t="str">
            <v>VE-121963B</v>
          </cell>
          <cell r="BG3951" t="str">
            <v>Não Montado</v>
          </cell>
        </row>
        <row r="3952">
          <cell r="A3952" t="str">
            <v>VE-121997A</v>
          </cell>
          <cell r="BG3952" t="str">
            <v>Não Montado</v>
          </cell>
        </row>
        <row r="3953">
          <cell r="A3953" t="str">
            <v>VE-121997B</v>
          </cell>
          <cell r="BG3953" t="str">
            <v>Não Montado</v>
          </cell>
        </row>
        <row r="3954">
          <cell r="A3954" t="str">
            <v>VE-122001A</v>
          </cell>
          <cell r="BG3954" t="str">
            <v>Não Montado</v>
          </cell>
        </row>
        <row r="3955">
          <cell r="A3955" t="str">
            <v>VE-122001B</v>
          </cell>
          <cell r="BG3955" t="str">
            <v>Não Montado</v>
          </cell>
        </row>
        <row r="3956">
          <cell r="A3956" t="str">
            <v>VE-122002A</v>
          </cell>
          <cell r="BG3956" t="str">
            <v>Não Montado</v>
          </cell>
        </row>
        <row r="3957">
          <cell r="A3957" t="str">
            <v>VE-122003A</v>
          </cell>
          <cell r="BG3957" t="str">
            <v>Não Montado</v>
          </cell>
        </row>
        <row r="3958">
          <cell r="A3958" t="str">
            <v>VE-122003B</v>
          </cell>
          <cell r="BG3958" t="str">
            <v>Não Montado</v>
          </cell>
        </row>
        <row r="3959">
          <cell r="A3959" t="str">
            <v>VE-122004A</v>
          </cell>
          <cell r="BG3959" t="str">
            <v>Não Montado</v>
          </cell>
        </row>
        <row r="3960">
          <cell r="A3960" t="str">
            <v>VE-122004B</v>
          </cell>
          <cell r="BG3960" t="str">
            <v>Não Montado</v>
          </cell>
        </row>
        <row r="3961">
          <cell r="A3961" t="str">
            <v>VM-125603</v>
          </cell>
          <cell r="BG3961" t="str">
            <v>Não Montado</v>
          </cell>
        </row>
        <row r="3962">
          <cell r="A3962" t="str">
            <v>VM-125606</v>
          </cell>
          <cell r="BG3962" t="str">
            <v>Não Montado</v>
          </cell>
        </row>
        <row r="3963">
          <cell r="A3963" t="str">
            <v>VM-125608</v>
          </cell>
          <cell r="BG3963" t="str">
            <v>Não Montado</v>
          </cell>
        </row>
        <row r="3964">
          <cell r="A3964" t="str">
            <v>VM-125610</v>
          </cell>
          <cell r="BG3964" t="str">
            <v>Não Montado</v>
          </cell>
        </row>
        <row r="3965">
          <cell r="A3965" t="str">
            <v>VSH-120001</v>
          </cell>
          <cell r="BG3965" t="str">
            <v>Não Montado</v>
          </cell>
        </row>
        <row r="3966">
          <cell r="A3966" t="str">
            <v>VSH-120002</v>
          </cell>
          <cell r="BG3966" t="str">
            <v>Não Montado</v>
          </cell>
        </row>
        <row r="3967">
          <cell r="A3967" t="str">
            <v>VSH-120003</v>
          </cell>
          <cell r="BG3967" t="str">
            <v>Não Montado</v>
          </cell>
        </row>
        <row r="3968">
          <cell r="A3968" t="str">
            <v>VSH-120004</v>
          </cell>
          <cell r="BG3968" t="str">
            <v>Não Montado</v>
          </cell>
        </row>
        <row r="3969">
          <cell r="A3969" t="str">
            <v>VSH-120011</v>
          </cell>
          <cell r="BG3969" t="str">
            <v>Não Montado</v>
          </cell>
        </row>
        <row r="3970">
          <cell r="A3970" t="str">
            <v>VSH-120012</v>
          </cell>
          <cell r="BG3970" t="str">
            <v>Não Montado</v>
          </cell>
        </row>
        <row r="3971">
          <cell r="A3971" t="str">
            <v>VSH-120013</v>
          </cell>
          <cell r="BG3971" t="str">
            <v>Não Montado</v>
          </cell>
        </row>
        <row r="3972">
          <cell r="A3972" t="str">
            <v>VSH-120014</v>
          </cell>
          <cell r="BG3972" t="str">
            <v>Não Montado</v>
          </cell>
        </row>
        <row r="3973">
          <cell r="A3973" t="str">
            <v>VSH-120015</v>
          </cell>
          <cell r="BG3973" t="str">
            <v>Não Montado</v>
          </cell>
        </row>
        <row r="3974">
          <cell r="A3974" t="str">
            <v>VSH-120016</v>
          </cell>
          <cell r="BG3974" t="str">
            <v>Não Montado</v>
          </cell>
        </row>
        <row r="3975">
          <cell r="A3975" t="str">
            <v>VSH-120017</v>
          </cell>
          <cell r="BG3975" t="str">
            <v>Não Montado</v>
          </cell>
        </row>
        <row r="3976">
          <cell r="A3976" t="str">
            <v>VSH-120018</v>
          </cell>
          <cell r="BG3976" t="str">
            <v>Não Montado</v>
          </cell>
        </row>
        <row r="3977">
          <cell r="A3977" t="str">
            <v>VSH-120021</v>
          </cell>
          <cell r="BG3977" t="str">
            <v>Não Montado</v>
          </cell>
        </row>
        <row r="3978">
          <cell r="A3978" t="str">
            <v>VSH-120022</v>
          </cell>
          <cell r="BG3978" t="str">
            <v>Não Montado</v>
          </cell>
        </row>
        <row r="3979">
          <cell r="A3979" t="str">
            <v>VSH-120023</v>
          </cell>
          <cell r="BG3979" t="str">
            <v>Não Montado</v>
          </cell>
        </row>
        <row r="3980">
          <cell r="A3980" t="str">
            <v>VSH-120024</v>
          </cell>
          <cell r="BG3980" t="str">
            <v>Não Montado</v>
          </cell>
        </row>
        <row r="3981">
          <cell r="A3981" t="str">
            <v>VT-120008A</v>
          </cell>
          <cell r="BG3981" t="str">
            <v>Não Montado</v>
          </cell>
        </row>
        <row r="3982">
          <cell r="A3982" t="str">
            <v>VT-120250</v>
          </cell>
          <cell r="BG3982" t="str">
            <v>Não Montado</v>
          </cell>
        </row>
        <row r="3983">
          <cell r="A3983" t="str">
            <v>VT-120251</v>
          </cell>
          <cell r="BG3983" t="str">
            <v>Não Montado</v>
          </cell>
        </row>
        <row r="3984">
          <cell r="A3984" t="str">
            <v>VT-120252</v>
          </cell>
          <cell r="BG3984" t="str">
            <v>Não Montado</v>
          </cell>
        </row>
        <row r="3985">
          <cell r="A3985" t="str">
            <v>VT-120253</v>
          </cell>
          <cell r="BG3985" t="str">
            <v>Não Montado</v>
          </cell>
        </row>
        <row r="3986">
          <cell r="A3986" t="str">
            <v>VT-120254</v>
          </cell>
          <cell r="BG3986" t="str">
            <v>Não Montado</v>
          </cell>
        </row>
        <row r="3987">
          <cell r="A3987" t="str">
            <v>VT-120255</v>
          </cell>
          <cell r="BG3987" t="str">
            <v>Não Montado</v>
          </cell>
        </row>
        <row r="3988">
          <cell r="A3988" t="str">
            <v>VT-120601A</v>
          </cell>
          <cell r="BG3988" t="str">
            <v>Não Montado</v>
          </cell>
        </row>
        <row r="3989">
          <cell r="A3989" t="str">
            <v>VT-120601B</v>
          </cell>
          <cell r="BG3989" t="str">
            <v>Não Montado</v>
          </cell>
        </row>
        <row r="3990">
          <cell r="A3990" t="str">
            <v>VT-120602A</v>
          </cell>
          <cell r="BG3990" t="str">
            <v>Não Montado</v>
          </cell>
        </row>
        <row r="3991">
          <cell r="A3991" t="str">
            <v>VT-120602B</v>
          </cell>
          <cell r="BG3991" t="str">
            <v>Não Montado</v>
          </cell>
        </row>
        <row r="3992">
          <cell r="A3992" t="str">
            <v>VT-120602C</v>
          </cell>
          <cell r="BG3992" t="str">
            <v>Não Montado</v>
          </cell>
        </row>
        <row r="3993">
          <cell r="A3993" t="str">
            <v>VT-120602D</v>
          </cell>
          <cell r="BG3993" t="str">
            <v>Não Montado</v>
          </cell>
        </row>
        <row r="3994">
          <cell r="A3994" t="str">
            <v>VT-120950</v>
          </cell>
          <cell r="BG3994" t="str">
            <v>Não Montado</v>
          </cell>
        </row>
        <row r="3995">
          <cell r="A3995" t="str">
            <v>VT-120951</v>
          </cell>
          <cell r="BG3995" t="str">
            <v>Não Montado</v>
          </cell>
        </row>
        <row r="3996">
          <cell r="A3996" t="str">
            <v>VT-120952</v>
          </cell>
          <cell r="BG3996" t="str">
            <v>Não Montado</v>
          </cell>
        </row>
        <row r="3997">
          <cell r="A3997" t="str">
            <v>VT-120953</v>
          </cell>
          <cell r="BG3997" t="str">
            <v>Não Montado</v>
          </cell>
        </row>
        <row r="3998">
          <cell r="A3998" t="str">
            <v>VT-120954</v>
          </cell>
          <cell r="BG3998" t="str">
            <v>Não Montado</v>
          </cell>
        </row>
        <row r="3999">
          <cell r="A3999" t="str">
            <v>VT-120954B</v>
          </cell>
          <cell r="BG3999" t="str">
            <v>Não Montado</v>
          </cell>
        </row>
        <row r="4000">
          <cell r="A4000" t="str">
            <v>VT-120955</v>
          </cell>
          <cell r="BG4000" t="str">
            <v>Não Montado</v>
          </cell>
        </row>
        <row r="4001">
          <cell r="A4001" t="str">
            <v>VT-120956</v>
          </cell>
          <cell r="BG4001" t="str">
            <v>Não Montado</v>
          </cell>
        </row>
        <row r="4002">
          <cell r="A4002" t="str">
            <v>VT-120957</v>
          </cell>
          <cell r="BG4002" t="str">
            <v>Não Montado</v>
          </cell>
        </row>
        <row r="4003">
          <cell r="A4003" t="str">
            <v>VT-120958</v>
          </cell>
          <cell r="BG4003" t="str">
            <v>Não Montado</v>
          </cell>
        </row>
        <row r="4004">
          <cell r="A4004" t="str">
            <v>VT-120959</v>
          </cell>
          <cell r="BG4004" t="str">
            <v>Não Montado</v>
          </cell>
        </row>
        <row r="4005">
          <cell r="A4005" t="str">
            <v>VT-120960</v>
          </cell>
          <cell r="BG4005" t="str">
            <v>Não Montado</v>
          </cell>
        </row>
        <row r="4006">
          <cell r="A4006" t="str">
            <v>VT-120961</v>
          </cell>
          <cell r="BG4006" t="str">
            <v>Não Montado</v>
          </cell>
        </row>
        <row r="4007">
          <cell r="A4007" t="str">
            <v>VT-120962</v>
          </cell>
          <cell r="BG4007" t="str">
            <v>Não Montado</v>
          </cell>
        </row>
        <row r="4008">
          <cell r="A4008" t="str">
            <v>VT-120963</v>
          </cell>
          <cell r="BG4008" t="str">
            <v>Não Montado</v>
          </cell>
        </row>
        <row r="4009">
          <cell r="A4009" t="str">
            <v>VT-120964</v>
          </cell>
          <cell r="BG4009" t="str">
            <v>Não Montado</v>
          </cell>
        </row>
        <row r="4010">
          <cell r="A4010" t="str">
            <v>VT-120965</v>
          </cell>
          <cell r="BG4010" t="str">
            <v>Não Montado</v>
          </cell>
        </row>
        <row r="4011">
          <cell r="A4011" t="str">
            <v>VT-120966</v>
          </cell>
          <cell r="BG4011" t="str">
            <v>Não Montado</v>
          </cell>
        </row>
        <row r="4012">
          <cell r="A4012" t="str">
            <v>VT-120967</v>
          </cell>
          <cell r="BG4012" t="str">
            <v>Não Montado</v>
          </cell>
        </row>
        <row r="4013">
          <cell r="A4013" t="str">
            <v>VT-120968</v>
          </cell>
          <cell r="BG4013" t="str">
            <v>Não Montado</v>
          </cell>
        </row>
        <row r="4014">
          <cell r="A4014" t="str">
            <v>VT-120969</v>
          </cell>
          <cell r="BG4014" t="str">
            <v>Não Montado</v>
          </cell>
        </row>
        <row r="4015">
          <cell r="A4015" t="str">
            <v>VT-120970</v>
          </cell>
          <cell r="BG4015" t="str">
            <v>Não Montado</v>
          </cell>
        </row>
        <row r="4016">
          <cell r="A4016" t="str">
            <v>VT-120971</v>
          </cell>
          <cell r="BG4016" t="str">
            <v>Não Montado</v>
          </cell>
        </row>
        <row r="4017">
          <cell r="A4017" t="str">
            <v>VT-120972</v>
          </cell>
          <cell r="BG4017" t="str">
            <v>Não Montado</v>
          </cell>
        </row>
        <row r="4018">
          <cell r="A4018" t="str">
            <v>VT-120973</v>
          </cell>
          <cell r="BG4018" t="str">
            <v>Não Montado</v>
          </cell>
        </row>
        <row r="4019">
          <cell r="A4019" t="str">
            <v>VT-120974</v>
          </cell>
          <cell r="BG4019" t="str">
            <v>Não Montado</v>
          </cell>
        </row>
        <row r="4020">
          <cell r="A4020" t="str">
            <v>VT-120975</v>
          </cell>
          <cell r="BG4020" t="str">
            <v>Não Montado</v>
          </cell>
        </row>
        <row r="4021">
          <cell r="A4021" t="str">
            <v>VT-120975B</v>
          </cell>
          <cell r="BG4021" t="str">
            <v>Não Montado</v>
          </cell>
        </row>
        <row r="4022">
          <cell r="A4022" t="str">
            <v>VT-120976</v>
          </cell>
          <cell r="BG4022" t="str">
            <v>Não Montado</v>
          </cell>
        </row>
        <row r="4023">
          <cell r="A4023" t="str">
            <v>VT-120977</v>
          </cell>
          <cell r="BG4023" t="str">
            <v>Não Montado</v>
          </cell>
        </row>
        <row r="4024">
          <cell r="A4024" t="str">
            <v>VT-120978</v>
          </cell>
          <cell r="BG4024" t="str">
            <v>Não Montado</v>
          </cell>
        </row>
        <row r="4025">
          <cell r="A4025" t="str">
            <v>VT-120979</v>
          </cell>
          <cell r="BG4025" t="str">
            <v>Não Montado</v>
          </cell>
        </row>
        <row r="4026">
          <cell r="A4026" t="str">
            <v>VT-120980</v>
          </cell>
          <cell r="BG4026" t="str">
            <v>Não Montado</v>
          </cell>
        </row>
        <row r="4027">
          <cell r="A4027" t="str">
            <v>VT-120981</v>
          </cell>
          <cell r="BG4027" t="str">
            <v>Não Montado</v>
          </cell>
        </row>
        <row r="4028">
          <cell r="A4028" t="str">
            <v>VT-120982</v>
          </cell>
          <cell r="BG4028" t="str">
            <v>Não Montado</v>
          </cell>
        </row>
        <row r="4029">
          <cell r="A4029" t="str">
            <v>VT-120982B</v>
          </cell>
          <cell r="BG4029" t="str">
            <v>Não Montado</v>
          </cell>
        </row>
        <row r="4030">
          <cell r="A4030" t="str">
            <v>VT-120983</v>
          </cell>
          <cell r="BG4030" t="str">
            <v>Não Montado</v>
          </cell>
        </row>
        <row r="4031">
          <cell r="A4031" t="str">
            <v>VT-120984</v>
          </cell>
          <cell r="BG4031" t="str">
            <v>Não Montado</v>
          </cell>
        </row>
        <row r="4032">
          <cell r="A4032" t="str">
            <v>VT-120985</v>
          </cell>
          <cell r="BG4032" t="str">
            <v>Não Montado</v>
          </cell>
        </row>
        <row r="4033">
          <cell r="A4033" t="str">
            <v>VT-120986</v>
          </cell>
          <cell r="BG4033" t="str">
            <v>Não Montado</v>
          </cell>
        </row>
        <row r="4034">
          <cell r="A4034" t="str">
            <v>VT-120987</v>
          </cell>
          <cell r="BG4034" t="str">
            <v>Não Montado</v>
          </cell>
        </row>
        <row r="4035">
          <cell r="A4035" t="str">
            <v>VT-120988</v>
          </cell>
          <cell r="BG4035" t="str">
            <v>Não Montado</v>
          </cell>
        </row>
        <row r="4036">
          <cell r="A4036" t="str">
            <v>VT-120989</v>
          </cell>
          <cell r="BG4036" t="str">
            <v>Não Montado</v>
          </cell>
        </row>
        <row r="4037">
          <cell r="A4037" t="str">
            <v>VT-120990</v>
          </cell>
          <cell r="BG4037" t="str">
            <v>Não Montado</v>
          </cell>
        </row>
        <row r="4038">
          <cell r="A4038" t="str">
            <v>VT-120991</v>
          </cell>
          <cell r="BG4038" t="str">
            <v>Não Montado</v>
          </cell>
        </row>
        <row r="4039">
          <cell r="A4039" t="str">
            <v>VT-120994</v>
          </cell>
          <cell r="BG4039" t="str">
            <v>Não Montado</v>
          </cell>
        </row>
        <row r="4040">
          <cell r="A4040" t="str">
            <v>VT-120995</v>
          </cell>
          <cell r="BG4040" t="str">
            <v>Não Montado</v>
          </cell>
        </row>
        <row r="4041">
          <cell r="A4041" t="str">
            <v>VT-120996</v>
          </cell>
          <cell r="BG4041" t="str">
            <v>Não Montado</v>
          </cell>
        </row>
        <row r="4042">
          <cell r="A4042" t="str">
            <v>VT-120997</v>
          </cell>
          <cell r="BG4042" t="str">
            <v>Não Montado</v>
          </cell>
        </row>
        <row r="4043">
          <cell r="A4043" t="str">
            <v>VT-120998</v>
          </cell>
          <cell r="BG4043" t="str">
            <v>Não Montado</v>
          </cell>
        </row>
        <row r="4044">
          <cell r="A4044" t="str">
            <v>VT-120999</v>
          </cell>
          <cell r="BG4044" t="str">
            <v>Não Montado</v>
          </cell>
        </row>
        <row r="4045">
          <cell r="A4045" t="str">
            <v>VT-121000</v>
          </cell>
          <cell r="BG4045" t="str">
            <v>Não Montado</v>
          </cell>
        </row>
        <row r="4046">
          <cell r="A4046" t="str">
            <v>VT-121001</v>
          </cell>
          <cell r="BG4046" t="str">
            <v>Não Montado</v>
          </cell>
        </row>
        <row r="4047">
          <cell r="A4047" t="str">
            <v>VT-121300</v>
          </cell>
          <cell r="BG4047" t="str">
            <v>Não Montado</v>
          </cell>
        </row>
        <row r="4048">
          <cell r="A4048" t="str">
            <v>VT-121302</v>
          </cell>
          <cell r="BG4048" t="str">
            <v>Não Montado</v>
          </cell>
        </row>
        <row r="4049">
          <cell r="A4049" t="str">
            <v>VT-121303</v>
          </cell>
          <cell r="BG4049" t="str">
            <v>Não Montado</v>
          </cell>
        </row>
        <row r="4050">
          <cell r="A4050" t="str">
            <v>VT-121400</v>
          </cell>
          <cell r="BG4050" t="str">
            <v>Não Montado</v>
          </cell>
        </row>
        <row r="4051">
          <cell r="A4051" t="str">
            <v>VT-121402</v>
          </cell>
          <cell r="BG4051" t="str">
            <v>Não Montado</v>
          </cell>
        </row>
        <row r="4052">
          <cell r="A4052" t="str">
            <v>VT-121403</v>
          </cell>
          <cell r="BG4052" t="str">
            <v>Não Montado</v>
          </cell>
        </row>
        <row r="4053">
          <cell r="A4053" t="str">
            <v>VT-121951</v>
          </cell>
          <cell r="BG4053" t="str">
            <v>Não Montado</v>
          </cell>
        </row>
        <row r="4054">
          <cell r="A4054" t="str">
            <v>VT-121963</v>
          </cell>
          <cell r="BG4054" t="str">
            <v>Não Montado</v>
          </cell>
        </row>
        <row r="4055">
          <cell r="A4055" t="str">
            <v>VT-121997</v>
          </cell>
          <cell r="BG4055" t="str">
            <v>Não Montado</v>
          </cell>
        </row>
        <row r="4056">
          <cell r="A4056" t="str">
            <v>VT-122001</v>
          </cell>
          <cell r="BG4056" t="str">
            <v>Não Montado</v>
          </cell>
        </row>
        <row r="4057">
          <cell r="A4057" t="str">
            <v>VT-122002</v>
          </cell>
          <cell r="BG4057" t="str">
            <v>Não Montado</v>
          </cell>
        </row>
        <row r="4058">
          <cell r="A4058" t="str">
            <v>VT-122003</v>
          </cell>
          <cell r="BG4058" t="str">
            <v>Não Montado</v>
          </cell>
        </row>
        <row r="4059">
          <cell r="A4059" t="str">
            <v>VT-122004</v>
          </cell>
          <cell r="BG4059" t="str">
            <v>Não Montado</v>
          </cell>
        </row>
        <row r="4060">
          <cell r="A4060" t="str">
            <v>XSHL-121007</v>
          </cell>
          <cell r="BG4060" t="str">
            <v>Montado</v>
          </cell>
        </row>
        <row r="4061">
          <cell r="A4061" t="str">
            <v>XSHL-121008</v>
          </cell>
          <cell r="BG4061" t="str">
            <v>Montado</v>
          </cell>
        </row>
        <row r="4062">
          <cell r="A4062" t="str">
            <v>XSHL-121009</v>
          </cell>
          <cell r="BG4062" t="str">
            <v>Montado</v>
          </cell>
        </row>
        <row r="4063">
          <cell r="A4063" t="str">
            <v>XSHL-121010</v>
          </cell>
          <cell r="BG4063" t="str">
            <v>Montado</v>
          </cell>
        </row>
        <row r="4064">
          <cell r="A4064" t="str">
            <v>XSHL-121017</v>
          </cell>
          <cell r="BG4064" t="str">
            <v>Montado</v>
          </cell>
        </row>
        <row r="4065">
          <cell r="A4065" t="str">
            <v>XSHL-121018</v>
          </cell>
          <cell r="BG4065" t="str">
            <v>Montado</v>
          </cell>
        </row>
        <row r="4066">
          <cell r="A4066" t="str">
            <v>XSHL-121023</v>
          </cell>
          <cell r="BG4066" t="str">
            <v>Montado</v>
          </cell>
        </row>
        <row r="4067">
          <cell r="A4067" t="str">
            <v>XSHL-121024</v>
          </cell>
          <cell r="BG4067" t="str">
            <v>Montado</v>
          </cell>
        </row>
        <row r="4068">
          <cell r="A4068" t="str">
            <v>XSHL-121029</v>
          </cell>
          <cell r="BG4068" t="str">
            <v>Montado</v>
          </cell>
        </row>
        <row r="4069">
          <cell r="A4069" t="str">
            <v>XSHL-121030</v>
          </cell>
          <cell r="BG4069" t="str">
            <v>Montado</v>
          </cell>
        </row>
        <row r="4070">
          <cell r="A4070" t="str">
            <v>XSHL-121036</v>
          </cell>
          <cell r="BG4070" t="str">
            <v>Montado</v>
          </cell>
        </row>
        <row r="4071">
          <cell r="A4071" t="str">
            <v>XSHL-121037</v>
          </cell>
          <cell r="BG4071" t="str">
            <v>Montado</v>
          </cell>
        </row>
        <row r="4072">
          <cell r="A4072" t="str">
            <v>XSHL-121043</v>
          </cell>
          <cell r="BG4072" t="str">
            <v>Montado</v>
          </cell>
        </row>
        <row r="4073">
          <cell r="A4073" t="str">
            <v>XSHL-121044</v>
          </cell>
          <cell r="BG4073" t="str">
            <v>Montado</v>
          </cell>
        </row>
        <row r="4074">
          <cell r="A4074" t="str">
            <v>XSHL-121045</v>
          </cell>
          <cell r="BG4074" t="str">
            <v>Montado</v>
          </cell>
        </row>
        <row r="4075">
          <cell r="A4075" t="str">
            <v>XSHL-121050</v>
          </cell>
          <cell r="BG4075" t="str">
            <v>Montado</v>
          </cell>
        </row>
        <row r="4076">
          <cell r="A4076" t="str">
            <v>XSHL-121051</v>
          </cell>
          <cell r="BG4076" t="str">
            <v>Montado</v>
          </cell>
        </row>
        <row r="4077">
          <cell r="A4077" t="str">
            <v>XSHL-121072</v>
          </cell>
          <cell r="BG4077" t="str">
            <v>Montado</v>
          </cell>
        </row>
        <row r="4078">
          <cell r="A4078" t="str">
            <v>XSHL-121073</v>
          </cell>
          <cell r="BG4078" t="str">
            <v>Montado</v>
          </cell>
        </row>
        <row r="4079">
          <cell r="A4079" t="str">
            <v>XSHL-121074</v>
          </cell>
          <cell r="BG4079" t="str">
            <v>Montado</v>
          </cell>
        </row>
        <row r="4080">
          <cell r="A4080" t="str">
            <v>XSHL-121075</v>
          </cell>
          <cell r="BG4080" t="str">
            <v>Montado</v>
          </cell>
        </row>
        <row r="4081">
          <cell r="A4081" t="str">
            <v>XSHL-121076</v>
          </cell>
          <cell r="BG4081" t="str">
            <v>Montado</v>
          </cell>
        </row>
        <row r="4082">
          <cell r="A4082" t="str">
            <v>XSHL-121077</v>
          </cell>
          <cell r="BG4082" t="str">
            <v>Montado</v>
          </cell>
        </row>
        <row r="4083">
          <cell r="A4083" t="str">
            <v>XSHL-121078</v>
          </cell>
          <cell r="BG4083" t="str">
            <v>Montado</v>
          </cell>
        </row>
        <row r="4084">
          <cell r="A4084" t="str">
            <v>XSHL-121091</v>
          </cell>
          <cell r="BG4084" t="str">
            <v>Montado</v>
          </cell>
        </row>
        <row r="4085">
          <cell r="A4085" t="str">
            <v>XSHL-121092</v>
          </cell>
          <cell r="BG4085" t="str">
            <v>Montado</v>
          </cell>
        </row>
        <row r="4086">
          <cell r="A4086" t="str">
            <v>XSHL-121093</v>
          </cell>
          <cell r="BG4086" t="str">
            <v>Montado</v>
          </cell>
        </row>
        <row r="4087">
          <cell r="A4087" t="str">
            <v>XSHL-121094</v>
          </cell>
          <cell r="BG4087" t="str">
            <v>Montado</v>
          </cell>
        </row>
        <row r="4088">
          <cell r="A4088" t="str">
            <v>XSHL-121095</v>
          </cell>
          <cell r="BG4088" t="str">
            <v>Montado</v>
          </cell>
        </row>
        <row r="4089">
          <cell r="A4089" t="str">
            <v>XV-120001</v>
          </cell>
          <cell r="BG4089" t="str">
            <v>Não Montado</v>
          </cell>
        </row>
        <row r="4090">
          <cell r="A4090" t="str">
            <v>XV-120002</v>
          </cell>
          <cell r="BG4090" t="str">
            <v>Não Montado</v>
          </cell>
        </row>
        <row r="4091">
          <cell r="A4091" t="str">
            <v>XV-120112</v>
          </cell>
          <cell r="BG4091" t="str">
            <v>Não Montado</v>
          </cell>
        </row>
        <row r="4092">
          <cell r="A4092" t="str">
            <v>XV-120113</v>
          </cell>
          <cell r="BG4092" t="str">
            <v>Não Montado</v>
          </cell>
        </row>
        <row r="4093">
          <cell r="A4093" t="str">
            <v>XV-120114</v>
          </cell>
          <cell r="BG4093" t="str">
            <v>Não Montado</v>
          </cell>
        </row>
        <row r="4094">
          <cell r="A4094" t="str">
            <v>XV-120115</v>
          </cell>
          <cell r="BG4094" t="str">
            <v>Não Montado</v>
          </cell>
        </row>
        <row r="4095">
          <cell r="A4095" t="str">
            <v>XV-120116</v>
          </cell>
          <cell r="BG4095" t="str">
            <v>Não Montado</v>
          </cell>
        </row>
        <row r="4096">
          <cell r="A4096" t="str">
            <v>XV-120117</v>
          </cell>
          <cell r="BG4096" t="str">
            <v>Não Montado</v>
          </cell>
        </row>
        <row r="4097">
          <cell r="A4097" t="str">
            <v>XV-120437</v>
          </cell>
          <cell r="BG4097" t="str">
            <v>Não Montado</v>
          </cell>
        </row>
        <row r="4098">
          <cell r="A4098" t="str">
            <v>XV-120438</v>
          </cell>
          <cell r="BG4098" t="str">
            <v>Não Montado</v>
          </cell>
        </row>
        <row r="4099">
          <cell r="A4099" t="str">
            <v>XV-120500</v>
          </cell>
          <cell r="BG4099" t="str">
            <v>Não Montado</v>
          </cell>
        </row>
        <row r="4100">
          <cell r="A4100" t="str">
            <v>XV-120501</v>
          </cell>
          <cell r="BG4100" t="str">
            <v>Não Montado</v>
          </cell>
        </row>
        <row r="4101">
          <cell r="A4101" t="str">
            <v>XV-120502</v>
          </cell>
          <cell r="BG4101" t="str">
            <v>Não Montado</v>
          </cell>
        </row>
        <row r="4102">
          <cell r="A4102" t="str">
            <v>XV-120503</v>
          </cell>
          <cell r="BG4102" t="str">
            <v>Não Montado</v>
          </cell>
        </row>
        <row r="4103">
          <cell r="A4103" t="str">
            <v>XV-120504</v>
          </cell>
          <cell r="BG4103" t="str">
            <v>Não Montado</v>
          </cell>
        </row>
        <row r="4104">
          <cell r="A4104" t="str">
            <v>XV-120601A</v>
          </cell>
          <cell r="BG4104" t="str">
            <v>Não Montado</v>
          </cell>
        </row>
        <row r="4105">
          <cell r="A4105" t="str">
            <v>XV-120601B</v>
          </cell>
          <cell r="BG4105" t="str">
            <v>Não Montado</v>
          </cell>
        </row>
        <row r="4106">
          <cell r="A4106" t="str">
            <v>XV-120601C</v>
          </cell>
          <cell r="BG4106" t="str">
            <v>Não Montado</v>
          </cell>
        </row>
        <row r="4107">
          <cell r="A4107" t="str">
            <v>XV-120601D</v>
          </cell>
          <cell r="BG4107" t="str">
            <v>Não Montado</v>
          </cell>
        </row>
        <row r="4108">
          <cell r="A4108" t="str">
            <v>XV-120601E</v>
          </cell>
          <cell r="BG4108" t="str">
            <v>Não Montado</v>
          </cell>
        </row>
        <row r="4109">
          <cell r="A4109" t="str">
            <v>XV-120601F</v>
          </cell>
          <cell r="BG4109" t="str">
            <v>Não Montado</v>
          </cell>
        </row>
        <row r="4110">
          <cell r="A4110" t="str">
            <v>XV-120602</v>
          </cell>
          <cell r="BG4110" t="str">
            <v>Não Montado</v>
          </cell>
        </row>
        <row r="4111">
          <cell r="A4111" t="str">
            <v>XV-120603</v>
          </cell>
          <cell r="BG4111" t="str">
            <v>Não Montado</v>
          </cell>
        </row>
        <row r="4112">
          <cell r="A4112" t="str">
            <v>XV-120604</v>
          </cell>
          <cell r="BG4112" t="str">
            <v>Não Montado</v>
          </cell>
        </row>
        <row r="4113">
          <cell r="A4113" t="str">
            <v>XV-120605</v>
          </cell>
          <cell r="BG4113" t="str">
            <v>Não Montado</v>
          </cell>
        </row>
        <row r="4114">
          <cell r="A4114" t="str">
            <v>XV-120606A</v>
          </cell>
          <cell r="BG4114" t="str">
            <v>Não Montado</v>
          </cell>
        </row>
        <row r="4115">
          <cell r="A4115" t="str">
            <v>XV-120606B</v>
          </cell>
          <cell r="BG4115" t="str">
            <v>Não Montado</v>
          </cell>
        </row>
        <row r="4116">
          <cell r="A4116" t="str">
            <v>XV-120606C</v>
          </cell>
          <cell r="BG4116" t="str">
            <v>Não Montado</v>
          </cell>
        </row>
        <row r="4117">
          <cell r="A4117" t="str">
            <v>XV-120606D</v>
          </cell>
          <cell r="BG4117" t="str">
            <v>Não Montado</v>
          </cell>
        </row>
        <row r="4118">
          <cell r="A4118" t="str">
            <v>XV-120606E</v>
          </cell>
          <cell r="BG4118" t="str">
            <v>Não Montado</v>
          </cell>
        </row>
        <row r="4119">
          <cell r="A4119" t="str">
            <v>XV-120606F</v>
          </cell>
          <cell r="BG4119" t="str">
            <v>Não Montado</v>
          </cell>
        </row>
        <row r="4120">
          <cell r="A4120" t="str">
            <v>XV-120606G</v>
          </cell>
          <cell r="BG4120" t="str">
            <v>Não Montado</v>
          </cell>
        </row>
        <row r="4121">
          <cell r="A4121" t="str">
            <v>XV-120606H</v>
          </cell>
          <cell r="BG4121" t="str">
            <v>Não Montado</v>
          </cell>
        </row>
        <row r="4122">
          <cell r="A4122" t="str">
            <v>XV-120606J</v>
          </cell>
          <cell r="BG4122" t="str">
            <v>Não Montado</v>
          </cell>
        </row>
        <row r="4123">
          <cell r="A4123" t="str">
            <v>XV-120606K</v>
          </cell>
          <cell r="BG4123" t="str">
            <v>Não Montado</v>
          </cell>
        </row>
        <row r="4124">
          <cell r="A4124" t="str">
            <v>XV-120606L</v>
          </cell>
          <cell r="BG4124" t="str">
            <v>Não Montado</v>
          </cell>
        </row>
        <row r="4125">
          <cell r="A4125" t="str">
            <v>XV-120606M</v>
          </cell>
          <cell r="BG4125" t="str">
            <v>Não Montado</v>
          </cell>
        </row>
        <row r="4126">
          <cell r="A4126" t="str">
            <v>XV-120606N</v>
          </cell>
          <cell r="BG4126" t="str">
            <v>Não Montado</v>
          </cell>
        </row>
        <row r="4127">
          <cell r="A4127" t="str">
            <v>XV-120606P</v>
          </cell>
          <cell r="BG4127" t="str">
            <v>Não Montado</v>
          </cell>
        </row>
        <row r="4128">
          <cell r="A4128" t="str">
            <v>XV-120606Q</v>
          </cell>
          <cell r="BG4128" t="str">
            <v>Não Montado</v>
          </cell>
        </row>
        <row r="4129">
          <cell r="A4129" t="str">
            <v>XV-120607</v>
          </cell>
          <cell r="BG4129" t="str">
            <v>Não Montado</v>
          </cell>
        </row>
        <row r="4130">
          <cell r="A4130" t="str">
            <v>XV-120608</v>
          </cell>
          <cell r="BG4130" t="str">
            <v>Não Montado</v>
          </cell>
        </row>
        <row r="4131">
          <cell r="A4131" t="str">
            <v>XV-120609</v>
          </cell>
          <cell r="BG4131" t="str">
            <v>Não Montado</v>
          </cell>
        </row>
        <row r="4132">
          <cell r="A4132" t="str">
            <v>XV-120610A</v>
          </cell>
          <cell r="BG4132" t="str">
            <v>Não Montado</v>
          </cell>
        </row>
        <row r="4133">
          <cell r="A4133" t="str">
            <v>XV-120610B</v>
          </cell>
          <cell r="BG4133" t="str">
            <v>Não Montado</v>
          </cell>
        </row>
        <row r="4134">
          <cell r="A4134" t="str">
            <v>XV-120610C</v>
          </cell>
          <cell r="BG4134" t="str">
            <v>Não Montado</v>
          </cell>
        </row>
        <row r="4135">
          <cell r="A4135" t="str">
            <v>XV-120610D</v>
          </cell>
          <cell r="BG4135" t="str">
            <v>Não Montado</v>
          </cell>
        </row>
        <row r="4136">
          <cell r="A4136" t="str">
            <v>XV-120610E</v>
          </cell>
          <cell r="BG4136" t="str">
            <v>Não Montado</v>
          </cell>
        </row>
        <row r="4137">
          <cell r="A4137" t="str">
            <v>XV-120610F</v>
          </cell>
          <cell r="BG4137" t="str">
            <v>Não Montado</v>
          </cell>
        </row>
        <row r="4138">
          <cell r="A4138" t="str">
            <v>XV-120610G</v>
          </cell>
          <cell r="BG4138" t="str">
            <v>Não Montado</v>
          </cell>
        </row>
        <row r="4139">
          <cell r="A4139" t="str">
            <v>XV-120610H</v>
          </cell>
          <cell r="BG4139" t="str">
            <v>Não Montado</v>
          </cell>
        </row>
        <row r="4140">
          <cell r="A4140" t="str">
            <v>XV-120610J</v>
          </cell>
          <cell r="BG4140" t="str">
            <v>Não Montado</v>
          </cell>
        </row>
        <row r="4141">
          <cell r="A4141" t="str">
            <v>XV-120610K</v>
          </cell>
          <cell r="BG4141" t="str">
            <v>Não Montado</v>
          </cell>
        </row>
        <row r="4142">
          <cell r="A4142" t="str">
            <v>XV-120610L</v>
          </cell>
          <cell r="BG4142" t="str">
            <v>Não Montado</v>
          </cell>
        </row>
        <row r="4143">
          <cell r="A4143" t="str">
            <v>XV-120610M</v>
          </cell>
          <cell r="BG4143" t="str">
            <v>Não Montado</v>
          </cell>
        </row>
        <row r="4144">
          <cell r="A4144" t="str">
            <v>XV-120610N</v>
          </cell>
          <cell r="BG4144" t="str">
            <v>Não Montado</v>
          </cell>
        </row>
        <row r="4145">
          <cell r="A4145" t="str">
            <v>XV-120610P</v>
          </cell>
          <cell r="BG4145" t="str">
            <v>Não Montado</v>
          </cell>
        </row>
        <row r="4146">
          <cell r="A4146" t="str">
            <v>XV-120610Q</v>
          </cell>
          <cell r="BG4146" t="str">
            <v>Não Montado</v>
          </cell>
        </row>
        <row r="4147">
          <cell r="A4147" t="str">
            <v>XV-120611</v>
          </cell>
          <cell r="BG4147" t="str">
            <v>Não Montado</v>
          </cell>
        </row>
        <row r="4148">
          <cell r="A4148" t="str">
            <v>XV-120612A</v>
          </cell>
          <cell r="BG4148" t="str">
            <v>Não Montado</v>
          </cell>
        </row>
        <row r="4149">
          <cell r="A4149" t="str">
            <v>XV-120612B</v>
          </cell>
          <cell r="BG4149" t="str">
            <v>Não Montado</v>
          </cell>
        </row>
        <row r="4150">
          <cell r="A4150" t="str">
            <v>XV-120612C</v>
          </cell>
          <cell r="BG4150" t="str">
            <v>Não Montado</v>
          </cell>
        </row>
        <row r="4151">
          <cell r="A4151" t="str">
            <v>XV-120612D</v>
          </cell>
          <cell r="BG4151" t="str">
            <v>Não Montado</v>
          </cell>
        </row>
        <row r="4152">
          <cell r="A4152" t="str">
            <v>XV-120612E</v>
          </cell>
          <cell r="BG4152" t="str">
            <v>Não Montado</v>
          </cell>
        </row>
        <row r="4153">
          <cell r="A4153" t="str">
            <v>XV-120612F</v>
          </cell>
          <cell r="BG4153" t="str">
            <v>Não Montado</v>
          </cell>
        </row>
        <row r="4154">
          <cell r="A4154" t="str">
            <v>XV-120612G</v>
          </cell>
          <cell r="BG4154" t="str">
            <v>Não Montado</v>
          </cell>
        </row>
        <row r="4155">
          <cell r="A4155" t="str">
            <v>XV-120612H</v>
          </cell>
          <cell r="BG4155" t="str">
            <v>Não Montado</v>
          </cell>
        </row>
        <row r="4156">
          <cell r="A4156" t="str">
            <v>XV-120612J</v>
          </cell>
          <cell r="BG4156" t="str">
            <v>Não Montado</v>
          </cell>
        </row>
        <row r="4157">
          <cell r="A4157" t="str">
            <v>XV-120612K</v>
          </cell>
          <cell r="BG4157" t="str">
            <v>Não Montado</v>
          </cell>
        </row>
        <row r="4158">
          <cell r="A4158" t="str">
            <v>XV-120612L</v>
          </cell>
          <cell r="BG4158" t="str">
            <v>Não Montado</v>
          </cell>
        </row>
        <row r="4159">
          <cell r="A4159" t="str">
            <v>XV-120612M</v>
          </cell>
          <cell r="BG4159" t="str">
            <v>Não Montado</v>
          </cell>
        </row>
        <row r="4160">
          <cell r="A4160" t="str">
            <v>XV-120612N</v>
          </cell>
          <cell r="BG4160" t="str">
            <v>Não Montado</v>
          </cell>
        </row>
        <row r="4161">
          <cell r="A4161" t="str">
            <v>XV-120612P</v>
          </cell>
          <cell r="BG4161" t="str">
            <v>Não Montado</v>
          </cell>
        </row>
        <row r="4162">
          <cell r="A4162" t="str">
            <v>XV-120612Q</v>
          </cell>
          <cell r="BG4162" t="str">
            <v>Não Montado</v>
          </cell>
        </row>
        <row r="4163">
          <cell r="A4163" t="str">
            <v>XV-120613A</v>
          </cell>
          <cell r="BG4163" t="str">
            <v>Não Montado</v>
          </cell>
        </row>
        <row r="4164">
          <cell r="A4164" t="str">
            <v>XV-120613B</v>
          </cell>
          <cell r="BG4164" t="str">
            <v>Não Montado</v>
          </cell>
        </row>
        <row r="4165">
          <cell r="A4165" t="str">
            <v>XV-120613C</v>
          </cell>
          <cell r="BG4165" t="str">
            <v>Não Montado</v>
          </cell>
        </row>
        <row r="4166">
          <cell r="A4166" t="str">
            <v>XV-120613D</v>
          </cell>
          <cell r="BG4166" t="str">
            <v>Não Montado</v>
          </cell>
        </row>
        <row r="4167">
          <cell r="A4167" t="str">
            <v>XV-120613E</v>
          </cell>
          <cell r="BG4167" t="str">
            <v>Não Montado</v>
          </cell>
        </row>
        <row r="4168">
          <cell r="A4168" t="str">
            <v>XV-120613F</v>
          </cell>
          <cell r="BG4168" t="str">
            <v>Não Montado</v>
          </cell>
        </row>
        <row r="4169">
          <cell r="A4169" t="str">
            <v>XV-120613G</v>
          </cell>
          <cell r="BG4169" t="str">
            <v>Não Montado</v>
          </cell>
        </row>
        <row r="4170">
          <cell r="A4170" t="str">
            <v>XV-120613H</v>
          </cell>
          <cell r="BG4170" t="str">
            <v>Não Montado</v>
          </cell>
        </row>
        <row r="4171">
          <cell r="A4171" t="str">
            <v>XV-120613J</v>
          </cell>
          <cell r="BG4171" t="str">
            <v>Não Montado</v>
          </cell>
        </row>
        <row r="4172">
          <cell r="A4172" t="str">
            <v>XV-120613K</v>
          </cell>
          <cell r="BG4172" t="str">
            <v>Não Montado</v>
          </cell>
        </row>
        <row r="4173">
          <cell r="A4173" t="str">
            <v>XV-120613L</v>
          </cell>
          <cell r="BG4173" t="str">
            <v>Não Montado</v>
          </cell>
        </row>
        <row r="4174">
          <cell r="A4174" t="str">
            <v>XV-120613M</v>
          </cell>
          <cell r="BG4174" t="str">
            <v>Não Montado</v>
          </cell>
        </row>
        <row r="4175">
          <cell r="A4175" t="str">
            <v>XV-120613N</v>
          </cell>
          <cell r="BG4175" t="str">
            <v>Não Montado</v>
          </cell>
        </row>
        <row r="4176">
          <cell r="A4176" t="str">
            <v>XV-120613P</v>
          </cell>
          <cell r="BG4176" t="str">
            <v>Não Montado</v>
          </cell>
        </row>
        <row r="4177">
          <cell r="A4177" t="str">
            <v>XV-120613Q</v>
          </cell>
          <cell r="BG4177" t="str">
            <v>Não Montado</v>
          </cell>
        </row>
        <row r="4178">
          <cell r="A4178" t="str">
            <v>XV-120614</v>
          </cell>
          <cell r="BG4178" t="str">
            <v>Não Montado</v>
          </cell>
        </row>
        <row r="4179">
          <cell r="A4179" t="str">
            <v>XV-120647</v>
          </cell>
          <cell r="BG4179" t="str">
            <v>Não Montado</v>
          </cell>
        </row>
        <row r="4180">
          <cell r="A4180" t="str">
            <v>XV-120649</v>
          </cell>
          <cell r="BG4180" t="str">
            <v>Não Montado</v>
          </cell>
        </row>
        <row r="4181">
          <cell r="A4181" t="str">
            <v>XV-120701A</v>
          </cell>
          <cell r="BG4181" t="str">
            <v>Não Montado</v>
          </cell>
        </row>
        <row r="4182">
          <cell r="A4182" t="str">
            <v>XV-120701B</v>
          </cell>
          <cell r="BG4182" t="str">
            <v>Não Montado</v>
          </cell>
        </row>
        <row r="4183">
          <cell r="A4183" t="str">
            <v>XV-120701C</v>
          </cell>
          <cell r="BG4183" t="str">
            <v>Não Montado</v>
          </cell>
        </row>
        <row r="4184">
          <cell r="A4184" t="str">
            <v>XV-120701D</v>
          </cell>
          <cell r="BG4184" t="str">
            <v>Não Montado</v>
          </cell>
        </row>
        <row r="4185">
          <cell r="A4185" t="str">
            <v>XV-120701E</v>
          </cell>
          <cell r="BG4185" t="str">
            <v>Não Montado</v>
          </cell>
        </row>
        <row r="4186">
          <cell r="A4186" t="str">
            <v>XV-120701F</v>
          </cell>
          <cell r="BG4186" t="str">
            <v>Não Montado</v>
          </cell>
        </row>
        <row r="4187">
          <cell r="A4187" t="str">
            <v>XV-120702</v>
          </cell>
          <cell r="BG4187" t="str">
            <v>Não Montado</v>
          </cell>
        </row>
        <row r="4188">
          <cell r="A4188" t="str">
            <v>XV-120703</v>
          </cell>
          <cell r="BG4188" t="str">
            <v>Não Montado</v>
          </cell>
        </row>
        <row r="4189">
          <cell r="A4189" t="str">
            <v>XV-120704</v>
          </cell>
          <cell r="BG4189" t="str">
            <v>Não Montado</v>
          </cell>
        </row>
        <row r="4190">
          <cell r="A4190" t="str">
            <v>XV-120705</v>
          </cell>
          <cell r="BG4190" t="str">
            <v>Não Montado</v>
          </cell>
        </row>
        <row r="4191">
          <cell r="A4191" t="str">
            <v>XV-120706A</v>
          </cell>
          <cell r="BG4191" t="str">
            <v>Não Montado</v>
          </cell>
        </row>
        <row r="4192">
          <cell r="A4192" t="str">
            <v>XV-120706B</v>
          </cell>
          <cell r="BG4192" t="str">
            <v>Não Montado</v>
          </cell>
        </row>
        <row r="4193">
          <cell r="A4193" t="str">
            <v>XV-120706C</v>
          </cell>
          <cell r="BG4193" t="str">
            <v>Não Montado</v>
          </cell>
        </row>
        <row r="4194">
          <cell r="A4194" t="str">
            <v>XV-120706D</v>
          </cell>
          <cell r="BG4194" t="str">
            <v>Não Montado</v>
          </cell>
        </row>
        <row r="4195">
          <cell r="A4195" t="str">
            <v>XV-120706E</v>
          </cell>
          <cell r="BG4195" t="str">
            <v>Não Montado</v>
          </cell>
        </row>
        <row r="4196">
          <cell r="A4196" t="str">
            <v>XV-120706F</v>
          </cell>
          <cell r="BG4196" t="str">
            <v>Não Montado</v>
          </cell>
        </row>
        <row r="4197">
          <cell r="A4197" t="str">
            <v>XV-120706G</v>
          </cell>
          <cell r="BG4197" t="str">
            <v>Não Montado</v>
          </cell>
        </row>
        <row r="4198">
          <cell r="A4198" t="str">
            <v>XV-120706H</v>
          </cell>
          <cell r="BG4198" t="str">
            <v>Não Montado</v>
          </cell>
        </row>
        <row r="4199">
          <cell r="A4199" t="str">
            <v>XV-120706J</v>
          </cell>
          <cell r="BG4199" t="str">
            <v>Não Montado</v>
          </cell>
        </row>
        <row r="4200">
          <cell r="A4200" t="str">
            <v>XV-120706K</v>
          </cell>
          <cell r="BG4200" t="str">
            <v>Não Montado</v>
          </cell>
        </row>
        <row r="4201">
          <cell r="A4201" t="str">
            <v>XV-120706L</v>
          </cell>
          <cell r="BG4201" t="str">
            <v>Não Montado</v>
          </cell>
        </row>
        <row r="4202">
          <cell r="A4202" t="str">
            <v>XV-120706M</v>
          </cell>
          <cell r="BG4202" t="str">
            <v>Não Montado</v>
          </cell>
        </row>
        <row r="4203">
          <cell r="A4203" t="str">
            <v>XV-120706N</v>
          </cell>
          <cell r="BG4203" t="str">
            <v>Não Montado</v>
          </cell>
        </row>
        <row r="4204">
          <cell r="A4204" t="str">
            <v>XV-120706P</v>
          </cell>
          <cell r="BG4204" t="str">
            <v>Não Montado</v>
          </cell>
        </row>
        <row r="4205">
          <cell r="A4205" t="str">
            <v>XV-120706Q</v>
          </cell>
          <cell r="BG4205" t="str">
            <v>Não Montado</v>
          </cell>
        </row>
        <row r="4206">
          <cell r="A4206" t="str">
            <v>XV-120707</v>
          </cell>
          <cell r="BG4206" t="str">
            <v>Não Montado</v>
          </cell>
        </row>
        <row r="4207">
          <cell r="A4207" t="str">
            <v>XV-120708</v>
          </cell>
          <cell r="BG4207" t="str">
            <v>Não Montado</v>
          </cell>
        </row>
        <row r="4208">
          <cell r="A4208" t="str">
            <v>XV-120709</v>
          </cell>
          <cell r="BG4208" t="str">
            <v>Não Montado</v>
          </cell>
        </row>
        <row r="4209">
          <cell r="A4209" t="str">
            <v>XV-120710A</v>
          </cell>
          <cell r="BG4209" t="str">
            <v>Não Montado</v>
          </cell>
        </row>
        <row r="4210">
          <cell r="A4210" t="str">
            <v>XV-120710B</v>
          </cell>
          <cell r="BG4210" t="str">
            <v>Não Montado</v>
          </cell>
        </row>
        <row r="4211">
          <cell r="A4211" t="str">
            <v>XV-120710C</v>
          </cell>
          <cell r="BG4211" t="str">
            <v>Não Montado</v>
          </cell>
        </row>
        <row r="4212">
          <cell r="A4212" t="str">
            <v>XV-120710D</v>
          </cell>
          <cell r="BG4212" t="str">
            <v>Não Montado</v>
          </cell>
        </row>
        <row r="4213">
          <cell r="A4213" t="str">
            <v>XV-120710E</v>
          </cell>
          <cell r="BG4213" t="str">
            <v>Não Montado</v>
          </cell>
        </row>
        <row r="4214">
          <cell r="A4214" t="str">
            <v>XV-120710F</v>
          </cell>
          <cell r="BG4214" t="str">
            <v>Não Montado</v>
          </cell>
        </row>
        <row r="4215">
          <cell r="A4215" t="str">
            <v>XV-120710G</v>
          </cell>
          <cell r="BG4215" t="str">
            <v>Não Montado</v>
          </cell>
        </row>
        <row r="4216">
          <cell r="A4216" t="str">
            <v>XV-120710H</v>
          </cell>
          <cell r="BG4216" t="str">
            <v>Não Montado</v>
          </cell>
        </row>
        <row r="4217">
          <cell r="A4217" t="str">
            <v>XV-120710J</v>
          </cell>
          <cell r="BG4217" t="str">
            <v>Não Montado</v>
          </cell>
        </row>
        <row r="4218">
          <cell r="A4218" t="str">
            <v>XV-120710K</v>
          </cell>
          <cell r="BG4218" t="str">
            <v>Não Montado</v>
          </cell>
        </row>
        <row r="4219">
          <cell r="A4219" t="str">
            <v>XV-120710L</v>
          </cell>
          <cell r="BG4219" t="str">
            <v>Não Montado</v>
          </cell>
        </row>
        <row r="4220">
          <cell r="A4220" t="str">
            <v>XV-120710M</v>
          </cell>
          <cell r="BG4220" t="str">
            <v>Não Montado</v>
          </cell>
        </row>
        <row r="4221">
          <cell r="A4221" t="str">
            <v>XV-120710N</v>
          </cell>
          <cell r="BG4221" t="str">
            <v>Não Montado</v>
          </cell>
        </row>
        <row r="4222">
          <cell r="A4222" t="str">
            <v>XV-120710P</v>
          </cell>
          <cell r="BG4222" t="str">
            <v>Não Montado</v>
          </cell>
        </row>
        <row r="4223">
          <cell r="A4223" t="str">
            <v>XV-120710Q</v>
          </cell>
          <cell r="BG4223" t="str">
            <v>Não Montado</v>
          </cell>
        </row>
        <row r="4224">
          <cell r="A4224" t="str">
            <v>XV-120711</v>
          </cell>
          <cell r="BG4224" t="str">
            <v>Não Montado</v>
          </cell>
        </row>
        <row r="4225">
          <cell r="A4225" t="str">
            <v>XV-120712A</v>
          </cell>
          <cell r="BG4225" t="str">
            <v>Não Montado</v>
          </cell>
        </row>
        <row r="4226">
          <cell r="A4226" t="str">
            <v>XV-120712B</v>
          </cell>
          <cell r="BG4226" t="str">
            <v>Não Montado</v>
          </cell>
        </row>
        <row r="4227">
          <cell r="A4227" t="str">
            <v>XV-120712C</v>
          </cell>
          <cell r="BG4227" t="str">
            <v>Não Montado</v>
          </cell>
        </row>
        <row r="4228">
          <cell r="A4228" t="str">
            <v>XV-120712D</v>
          </cell>
          <cell r="BG4228" t="str">
            <v>Não Montado</v>
          </cell>
        </row>
        <row r="4229">
          <cell r="A4229" t="str">
            <v>XV-120712E</v>
          </cell>
          <cell r="BG4229" t="str">
            <v>Não Montado</v>
          </cell>
        </row>
        <row r="4230">
          <cell r="A4230" t="str">
            <v>XV-120712F</v>
          </cell>
          <cell r="BG4230" t="str">
            <v>Não Montado</v>
          </cell>
        </row>
        <row r="4231">
          <cell r="A4231" t="str">
            <v>XV-120712G</v>
          </cell>
          <cell r="BG4231" t="str">
            <v>Não Montado</v>
          </cell>
        </row>
        <row r="4232">
          <cell r="A4232" t="str">
            <v>XV-120712H</v>
          </cell>
          <cell r="BG4232" t="str">
            <v>Não Montado</v>
          </cell>
        </row>
        <row r="4233">
          <cell r="A4233" t="str">
            <v>XV-120712J</v>
          </cell>
          <cell r="BG4233" t="str">
            <v>Não Montado</v>
          </cell>
        </row>
        <row r="4234">
          <cell r="A4234" t="str">
            <v>XV-120712K</v>
          </cell>
          <cell r="BG4234" t="str">
            <v>Não Montado</v>
          </cell>
        </row>
        <row r="4235">
          <cell r="A4235" t="str">
            <v>XV-120712L</v>
          </cell>
          <cell r="BG4235" t="str">
            <v>Não Montado</v>
          </cell>
        </row>
        <row r="4236">
          <cell r="A4236" t="str">
            <v>XV-120712M</v>
          </cell>
          <cell r="BG4236" t="str">
            <v>Não Montado</v>
          </cell>
        </row>
        <row r="4237">
          <cell r="A4237" t="str">
            <v>XV-120712N</v>
          </cell>
          <cell r="BG4237" t="str">
            <v>Não Montado</v>
          </cell>
        </row>
        <row r="4238">
          <cell r="A4238" t="str">
            <v>XV-120712P</v>
          </cell>
          <cell r="BG4238" t="str">
            <v>Não Montado</v>
          </cell>
        </row>
        <row r="4239">
          <cell r="A4239" t="str">
            <v>XV-120712Q</v>
          </cell>
          <cell r="BG4239" t="str">
            <v>Não Montado</v>
          </cell>
        </row>
        <row r="4240">
          <cell r="A4240" t="str">
            <v>XV-120713A</v>
          </cell>
          <cell r="BG4240" t="str">
            <v>Não Montado</v>
          </cell>
        </row>
        <row r="4241">
          <cell r="A4241" t="str">
            <v>XV-120713B</v>
          </cell>
          <cell r="BG4241" t="str">
            <v>Não Montado</v>
          </cell>
        </row>
        <row r="4242">
          <cell r="A4242" t="str">
            <v>XV-120713C</v>
          </cell>
          <cell r="BG4242" t="str">
            <v>Não Montado</v>
          </cell>
        </row>
        <row r="4243">
          <cell r="A4243" t="str">
            <v>XV-120713D</v>
          </cell>
          <cell r="BG4243" t="str">
            <v>Não Montado</v>
          </cell>
        </row>
        <row r="4244">
          <cell r="A4244" t="str">
            <v>XV-120713E</v>
          </cell>
          <cell r="BG4244" t="str">
            <v>Não Montado</v>
          </cell>
        </row>
        <row r="4245">
          <cell r="A4245" t="str">
            <v>XV-120713F</v>
          </cell>
          <cell r="BG4245" t="str">
            <v>Não Montado</v>
          </cell>
        </row>
        <row r="4246">
          <cell r="A4246" t="str">
            <v>XV-120713G</v>
          </cell>
          <cell r="BG4246" t="str">
            <v>Não Montado</v>
          </cell>
        </row>
        <row r="4247">
          <cell r="A4247" t="str">
            <v>XV-120713H</v>
          </cell>
          <cell r="BG4247" t="str">
            <v>Não Montado</v>
          </cell>
        </row>
        <row r="4248">
          <cell r="A4248" t="str">
            <v>XV-120713J</v>
          </cell>
          <cell r="BG4248" t="str">
            <v>Não Montado</v>
          </cell>
        </row>
        <row r="4249">
          <cell r="A4249" t="str">
            <v>XV-120713K</v>
          </cell>
          <cell r="BG4249" t="str">
            <v>Não Montado</v>
          </cell>
        </row>
        <row r="4250">
          <cell r="A4250" t="str">
            <v>XV-120713L</v>
          </cell>
          <cell r="BG4250" t="str">
            <v>Não Montado</v>
          </cell>
        </row>
        <row r="4251">
          <cell r="A4251" t="str">
            <v>XV-120713M</v>
          </cell>
          <cell r="BG4251" t="str">
            <v>Não Montado</v>
          </cell>
        </row>
        <row r="4252">
          <cell r="A4252" t="str">
            <v>XV-120713N</v>
          </cell>
          <cell r="BG4252" t="str">
            <v>Não Montado</v>
          </cell>
        </row>
        <row r="4253">
          <cell r="A4253" t="str">
            <v>XV-120713P</v>
          </cell>
          <cell r="BG4253" t="str">
            <v>Não Montado</v>
          </cell>
        </row>
        <row r="4254">
          <cell r="A4254" t="str">
            <v>XV-120713Q</v>
          </cell>
          <cell r="BG4254" t="str">
            <v>Não Montado</v>
          </cell>
        </row>
        <row r="4255">
          <cell r="A4255" t="str">
            <v>XV-120901</v>
          </cell>
          <cell r="BG4255" t="str">
            <v>Não Montado</v>
          </cell>
        </row>
        <row r="4256">
          <cell r="A4256" t="str">
            <v>XV-121500</v>
          </cell>
          <cell r="BG4256" t="str">
            <v>Não Montado</v>
          </cell>
        </row>
        <row r="4257">
          <cell r="A4257" t="str">
            <v>XV-121501</v>
          </cell>
          <cell r="BG4257" t="str">
            <v>Não Montado</v>
          </cell>
        </row>
        <row r="4258">
          <cell r="A4258" t="str">
            <v>XV-121520</v>
          </cell>
          <cell r="BG4258" t="str">
            <v>Não Montado</v>
          </cell>
        </row>
        <row r="4259">
          <cell r="A4259" t="str">
            <v>XV-121521</v>
          </cell>
          <cell r="BG4259" t="str">
            <v>Não Montado</v>
          </cell>
        </row>
        <row r="4260">
          <cell r="A4260" t="str">
            <v>XV-122023</v>
          </cell>
          <cell r="BG4260" t="str">
            <v>Não Montado</v>
          </cell>
        </row>
        <row r="4261">
          <cell r="A4261" t="str">
            <v>XY-120001</v>
          </cell>
          <cell r="BG4261" t="str">
            <v>Não Montado</v>
          </cell>
        </row>
        <row r="4262">
          <cell r="A4262" t="str">
            <v>XY-120002</v>
          </cell>
          <cell r="BG4262" t="str">
            <v>Não Montado</v>
          </cell>
        </row>
        <row r="4263">
          <cell r="A4263" t="str">
            <v>XY-120014</v>
          </cell>
          <cell r="BG4263" t="str">
            <v>Não Montado</v>
          </cell>
        </row>
        <row r="4264">
          <cell r="A4264" t="str">
            <v>XY-120112</v>
          </cell>
          <cell r="BG4264" t="str">
            <v>Não Montado</v>
          </cell>
        </row>
        <row r="4265">
          <cell r="A4265" t="str">
            <v>XY-120113</v>
          </cell>
          <cell r="BG4265" t="str">
            <v>Não Montado</v>
          </cell>
        </row>
        <row r="4266">
          <cell r="A4266" t="str">
            <v>XY-120114</v>
          </cell>
          <cell r="BG4266" t="str">
            <v>Não Montado</v>
          </cell>
        </row>
        <row r="4267">
          <cell r="A4267" t="str">
            <v>XY-120115</v>
          </cell>
          <cell r="BG4267" t="str">
            <v>Não Montado</v>
          </cell>
        </row>
        <row r="4268">
          <cell r="A4268" t="str">
            <v>XY-120116</v>
          </cell>
          <cell r="BG4268" t="str">
            <v>Não Montado</v>
          </cell>
        </row>
        <row r="4269">
          <cell r="A4269" t="str">
            <v>XY-120117</v>
          </cell>
          <cell r="BG4269" t="str">
            <v>Não Montado</v>
          </cell>
        </row>
        <row r="4270">
          <cell r="A4270" t="str">
            <v>XY-120250</v>
          </cell>
          <cell r="BG4270" t="str">
            <v>Não Montado</v>
          </cell>
        </row>
        <row r="4271">
          <cell r="A4271" t="str">
            <v>XY-120437</v>
          </cell>
          <cell r="BG4271" t="str">
            <v>Não Montado</v>
          </cell>
        </row>
        <row r="4272">
          <cell r="A4272" t="str">
            <v>XY-120438</v>
          </cell>
          <cell r="BG4272" t="str">
            <v>Não Montado</v>
          </cell>
        </row>
        <row r="4273">
          <cell r="A4273" t="str">
            <v>XY-120601A</v>
          </cell>
          <cell r="BG4273" t="str">
            <v>Não Montado</v>
          </cell>
        </row>
        <row r="4274">
          <cell r="A4274" t="str">
            <v>XY-120601B</v>
          </cell>
          <cell r="BG4274" t="str">
            <v>Não Montado</v>
          </cell>
        </row>
        <row r="4275">
          <cell r="A4275" t="str">
            <v>XY-120601C</v>
          </cell>
          <cell r="BG4275" t="str">
            <v>Não Montado</v>
          </cell>
        </row>
        <row r="4276">
          <cell r="A4276" t="str">
            <v>XY-120601D</v>
          </cell>
          <cell r="BG4276" t="str">
            <v>Não Montado</v>
          </cell>
        </row>
        <row r="4277">
          <cell r="A4277" t="str">
            <v>XY-120604</v>
          </cell>
          <cell r="BG4277" t="str">
            <v>Não Montado</v>
          </cell>
        </row>
        <row r="4278">
          <cell r="A4278" t="str">
            <v>XY-120606A</v>
          </cell>
          <cell r="BG4278" t="str">
            <v>Não Montado</v>
          </cell>
        </row>
        <row r="4279">
          <cell r="A4279" t="str">
            <v>XY-120606B</v>
          </cell>
          <cell r="BG4279" t="str">
            <v>Não Montado</v>
          </cell>
        </row>
        <row r="4280">
          <cell r="A4280" t="str">
            <v>XY-120606C</v>
          </cell>
          <cell r="BG4280" t="str">
            <v>Não Montado</v>
          </cell>
        </row>
        <row r="4281">
          <cell r="A4281" t="str">
            <v>XY-120606D</v>
          </cell>
          <cell r="BG4281" t="str">
            <v>Não Montado</v>
          </cell>
        </row>
        <row r="4282">
          <cell r="A4282" t="str">
            <v>XY-120606E</v>
          </cell>
          <cell r="BG4282" t="str">
            <v>Não Montado</v>
          </cell>
        </row>
        <row r="4283">
          <cell r="A4283" t="str">
            <v>XY-120606F</v>
          </cell>
          <cell r="BG4283" t="str">
            <v>Não Montado</v>
          </cell>
        </row>
        <row r="4284">
          <cell r="A4284" t="str">
            <v>XY-120606G</v>
          </cell>
          <cell r="BG4284" t="str">
            <v>Não Montado</v>
          </cell>
        </row>
        <row r="4285">
          <cell r="A4285" t="str">
            <v>XY-120606H</v>
          </cell>
          <cell r="BG4285" t="str">
            <v>Não Montado</v>
          </cell>
        </row>
        <row r="4286">
          <cell r="A4286" t="str">
            <v>XY-120606J</v>
          </cell>
          <cell r="BG4286" t="str">
            <v>Não Montado</v>
          </cell>
        </row>
        <row r="4287">
          <cell r="A4287" t="str">
            <v>XY-120606K</v>
          </cell>
          <cell r="BG4287" t="str">
            <v>Não Montado</v>
          </cell>
        </row>
        <row r="4288">
          <cell r="A4288" t="str">
            <v>XY-120606L</v>
          </cell>
          <cell r="BG4288" t="str">
            <v>Não Montado</v>
          </cell>
        </row>
        <row r="4289">
          <cell r="A4289" t="str">
            <v>XY-120606M</v>
          </cell>
          <cell r="BG4289" t="str">
            <v>Não Montado</v>
          </cell>
        </row>
        <row r="4290">
          <cell r="A4290" t="str">
            <v>XY-120606N</v>
          </cell>
          <cell r="BG4290" t="str">
            <v>Não Montado</v>
          </cell>
        </row>
        <row r="4291">
          <cell r="A4291" t="str">
            <v>XY-120606P</v>
          </cell>
          <cell r="BG4291" t="str">
            <v>Não Montado</v>
          </cell>
        </row>
        <row r="4292">
          <cell r="A4292" t="str">
            <v>XY-120606Q</v>
          </cell>
          <cell r="BG4292" t="str">
            <v>Não Montado</v>
          </cell>
        </row>
        <row r="4293">
          <cell r="A4293" t="str">
            <v>XY-120608</v>
          </cell>
          <cell r="BG4293" t="str">
            <v>Não Montado</v>
          </cell>
        </row>
        <row r="4294">
          <cell r="A4294" t="str">
            <v>XY-120609</v>
          </cell>
          <cell r="BG4294" t="str">
            <v>Não Montado</v>
          </cell>
        </row>
        <row r="4295">
          <cell r="A4295" t="str">
            <v>XY-120610A</v>
          </cell>
          <cell r="BG4295" t="str">
            <v>Não Montado</v>
          </cell>
        </row>
        <row r="4296">
          <cell r="A4296" t="str">
            <v>XY-120610B</v>
          </cell>
          <cell r="BG4296" t="str">
            <v>Não Montado</v>
          </cell>
        </row>
        <row r="4297">
          <cell r="A4297" t="str">
            <v>XY-120610C</v>
          </cell>
          <cell r="BG4297" t="str">
            <v>Não Montado</v>
          </cell>
        </row>
        <row r="4298">
          <cell r="A4298" t="str">
            <v>XY-120610D</v>
          </cell>
          <cell r="BG4298" t="str">
            <v>Não Montado</v>
          </cell>
        </row>
        <row r="4299">
          <cell r="A4299" t="str">
            <v>XY-120610E</v>
          </cell>
          <cell r="BG4299" t="str">
            <v>Não Montado</v>
          </cell>
        </row>
        <row r="4300">
          <cell r="A4300" t="str">
            <v>XY-120610F</v>
          </cell>
          <cell r="BG4300" t="str">
            <v>Não Montado</v>
          </cell>
        </row>
        <row r="4301">
          <cell r="A4301" t="str">
            <v>XY-120610G</v>
          </cell>
          <cell r="BG4301" t="str">
            <v>Não Montado</v>
          </cell>
        </row>
        <row r="4302">
          <cell r="A4302" t="str">
            <v>XY-120610H</v>
          </cell>
          <cell r="BG4302" t="str">
            <v>Não Montado</v>
          </cell>
        </row>
        <row r="4303">
          <cell r="A4303" t="str">
            <v>XY-120610J</v>
          </cell>
          <cell r="BG4303" t="str">
            <v>Não Montado</v>
          </cell>
        </row>
        <row r="4304">
          <cell r="A4304" t="str">
            <v>XY-120610K</v>
          </cell>
          <cell r="BG4304" t="str">
            <v>Não Montado</v>
          </cell>
        </row>
        <row r="4305">
          <cell r="A4305" t="str">
            <v>XY-120610L</v>
          </cell>
          <cell r="BG4305" t="str">
            <v>Não Montado</v>
          </cell>
        </row>
        <row r="4306">
          <cell r="A4306" t="str">
            <v>XY-120610M</v>
          </cell>
          <cell r="BG4306" t="str">
            <v>Não Montado</v>
          </cell>
        </row>
        <row r="4307">
          <cell r="A4307" t="str">
            <v>XY-120610N</v>
          </cell>
          <cell r="BG4307" t="str">
            <v>Não Montado</v>
          </cell>
        </row>
        <row r="4308">
          <cell r="A4308" t="str">
            <v>XY-120610P</v>
          </cell>
          <cell r="BG4308" t="str">
            <v>Não Montado</v>
          </cell>
        </row>
        <row r="4309">
          <cell r="A4309" t="str">
            <v>XY-120610Q</v>
          </cell>
          <cell r="BG4309" t="str">
            <v>Não Montado</v>
          </cell>
        </row>
        <row r="4310">
          <cell r="A4310" t="str">
            <v>XY-120612A</v>
          </cell>
          <cell r="BG4310" t="str">
            <v>Não Montado</v>
          </cell>
        </row>
        <row r="4311">
          <cell r="A4311" t="str">
            <v>XY-120612B</v>
          </cell>
          <cell r="BG4311" t="str">
            <v>Não Montado</v>
          </cell>
        </row>
        <row r="4312">
          <cell r="A4312" t="str">
            <v>XY-120612C</v>
          </cell>
          <cell r="BG4312" t="str">
            <v>Não Montado</v>
          </cell>
        </row>
        <row r="4313">
          <cell r="A4313" t="str">
            <v>XY-120612D</v>
          </cell>
          <cell r="BG4313" t="str">
            <v>Não Montado</v>
          </cell>
        </row>
        <row r="4314">
          <cell r="A4314" t="str">
            <v>XY-120612E</v>
          </cell>
          <cell r="BG4314" t="str">
            <v>Não Montado</v>
          </cell>
        </row>
        <row r="4315">
          <cell r="A4315" t="str">
            <v>XY-120612F</v>
          </cell>
          <cell r="BG4315" t="str">
            <v>Não Montado</v>
          </cell>
        </row>
        <row r="4316">
          <cell r="A4316" t="str">
            <v>XY-120612G</v>
          </cell>
          <cell r="BG4316" t="str">
            <v>Não Montado</v>
          </cell>
        </row>
        <row r="4317">
          <cell r="A4317" t="str">
            <v>XY-120612H</v>
          </cell>
          <cell r="BG4317" t="str">
            <v>Não Montado</v>
          </cell>
        </row>
        <row r="4318">
          <cell r="A4318" t="str">
            <v>XY-120612J</v>
          </cell>
          <cell r="BG4318" t="str">
            <v>Não Montado</v>
          </cell>
        </row>
        <row r="4319">
          <cell r="A4319" t="str">
            <v>XY-120612K</v>
          </cell>
          <cell r="BG4319" t="str">
            <v>Não Montado</v>
          </cell>
        </row>
        <row r="4320">
          <cell r="A4320" t="str">
            <v>XY-120612L</v>
          </cell>
          <cell r="BG4320" t="str">
            <v>Não Montado</v>
          </cell>
        </row>
        <row r="4321">
          <cell r="A4321" t="str">
            <v>XY-120612M</v>
          </cell>
          <cell r="BG4321" t="str">
            <v>Não Montado</v>
          </cell>
        </row>
        <row r="4322">
          <cell r="A4322" t="str">
            <v>XY-120612N</v>
          </cell>
          <cell r="BG4322" t="str">
            <v>Não Montado</v>
          </cell>
        </row>
        <row r="4323">
          <cell r="A4323" t="str">
            <v>XY-120612P</v>
          </cell>
          <cell r="BG4323" t="str">
            <v>Não Montado</v>
          </cell>
        </row>
        <row r="4324">
          <cell r="A4324" t="str">
            <v>XY-120612Q</v>
          </cell>
          <cell r="BG4324" t="str">
            <v>Não Montado</v>
          </cell>
        </row>
        <row r="4325">
          <cell r="A4325" t="str">
            <v>XY-120613A</v>
          </cell>
          <cell r="BG4325" t="str">
            <v>Não Montado</v>
          </cell>
        </row>
        <row r="4326">
          <cell r="A4326" t="str">
            <v>XY-120613B</v>
          </cell>
          <cell r="BG4326" t="str">
            <v>Não Montado</v>
          </cell>
        </row>
        <row r="4327">
          <cell r="A4327" t="str">
            <v>XY-120613C</v>
          </cell>
          <cell r="BG4327" t="str">
            <v>Não Montado</v>
          </cell>
        </row>
        <row r="4328">
          <cell r="A4328" t="str">
            <v>XY-120613D</v>
          </cell>
          <cell r="BG4328" t="str">
            <v>Não Montado</v>
          </cell>
        </row>
        <row r="4329">
          <cell r="A4329" t="str">
            <v>XY-120613E</v>
          </cell>
          <cell r="BG4329" t="str">
            <v>Não Montado</v>
          </cell>
        </row>
        <row r="4330">
          <cell r="A4330" t="str">
            <v>XY-120613F</v>
          </cell>
          <cell r="BG4330" t="str">
            <v>Não Montado</v>
          </cell>
        </row>
        <row r="4331">
          <cell r="A4331" t="str">
            <v>XY-120613G</v>
          </cell>
          <cell r="BG4331" t="str">
            <v>Não Montado</v>
          </cell>
        </row>
        <row r="4332">
          <cell r="A4332" t="str">
            <v>XY-120613H</v>
          </cell>
          <cell r="BG4332" t="str">
            <v>Não Montado</v>
          </cell>
        </row>
        <row r="4333">
          <cell r="A4333" t="str">
            <v>XY-120613J</v>
          </cell>
          <cell r="BG4333" t="str">
            <v>Não Montado</v>
          </cell>
        </row>
        <row r="4334">
          <cell r="A4334" t="str">
            <v>XY-120613L</v>
          </cell>
          <cell r="BG4334" t="str">
            <v>Não Montado</v>
          </cell>
        </row>
        <row r="4335">
          <cell r="A4335" t="str">
            <v>XY-120613M</v>
          </cell>
          <cell r="BG4335" t="str">
            <v>Não Montado</v>
          </cell>
        </row>
        <row r="4336">
          <cell r="A4336" t="str">
            <v>XY-120613N</v>
          </cell>
          <cell r="BG4336" t="str">
            <v>Não Montado</v>
          </cell>
        </row>
        <row r="4337">
          <cell r="A4337" t="str">
            <v>XY-120613P</v>
          </cell>
          <cell r="BG4337" t="str">
            <v>Não Montado</v>
          </cell>
        </row>
        <row r="4338">
          <cell r="A4338" t="str">
            <v>XY-120613Q</v>
          </cell>
          <cell r="BG4338" t="str">
            <v>Não Montado</v>
          </cell>
        </row>
        <row r="4339">
          <cell r="A4339" t="str">
            <v>XY-120647</v>
          </cell>
          <cell r="BG4339" t="str">
            <v>Não Montado</v>
          </cell>
        </row>
        <row r="4340">
          <cell r="A4340" t="str">
            <v>XY-120649</v>
          </cell>
          <cell r="BG4340" t="str">
            <v>Não Montado</v>
          </cell>
        </row>
        <row r="4341">
          <cell r="A4341" t="str">
            <v>XY-120650</v>
          </cell>
          <cell r="BG4341" t="str">
            <v>Não Montado</v>
          </cell>
        </row>
        <row r="4342">
          <cell r="A4342" t="str">
            <v>XY-120701A</v>
          </cell>
          <cell r="BG4342" t="str">
            <v>Não Montado</v>
          </cell>
        </row>
        <row r="4343">
          <cell r="A4343" t="str">
            <v>XY-120701B</v>
          </cell>
          <cell r="BG4343" t="str">
            <v>Não Montado</v>
          </cell>
        </row>
        <row r="4344">
          <cell r="A4344" t="str">
            <v>XY-120701D</v>
          </cell>
          <cell r="BG4344" t="str">
            <v>Não Montado</v>
          </cell>
        </row>
        <row r="4345">
          <cell r="A4345" t="str">
            <v>XY-120701E</v>
          </cell>
          <cell r="BG4345" t="str">
            <v>Não Montado</v>
          </cell>
        </row>
        <row r="4346">
          <cell r="A4346" t="str">
            <v>XY-120701F</v>
          </cell>
          <cell r="BG4346" t="str">
            <v>Não Montado</v>
          </cell>
        </row>
        <row r="4347">
          <cell r="A4347" t="str">
            <v>XY-120706A</v>
          </cell>
          <cell r="BG4347" t="str">
            <v>Não Montado</v>
          </cell>
        </row>
        <row r="4348">
          <cell r="A4348" t="str">
            <v>XY-120706B</v>
          </cell>
          <cell r="BG4348" t="str">
            <v>Não Montado</v>
          </cell>
        </row>
        <row r="4349">
          <cell r="A4349" t="str">
            <v>XY-120706C</v>
          </cell>
          <cell r="BG4349" t="str">
            <v>Não Montado</v>
          </cell>
        </row>
        <row r="4350">
          <cell r="A4350" t="str">
            <v>XY-120706D</v>
          </cell>
          <cell r="BG4350" t="str">
            <v>Não Montado</v>
          </cell>
        </row>
        <row r="4351">
          <cell r="A4351" t="str">
            <v>XY-120706E</v>
          </cell>
          <cell r="BG4351" t="str">
            <v>Não Montado</v>
          </cell>
        </row>
        <row r="4352">
          <cell r="A4352" t="str">
            <v>XY-120706F</v>
          </cell>
          <cell r="BG4352" t="str">
            <v>Não Montado</v>
          </cell>
        </row>
        <row r="4353">
          <cell r="A4353" t="str">
            <v>XY-120706G</v>
          </cell>
          <cell r="BG4353" t="str">
            <v>Não Montado</v>
          </cell>
        </row>
        <row r="4354">
          <cell r="A4354" t="str">
            <v>XY-120706H</v>
          </cell>
          <cell r="BG4354" t="str">
            <v>Não Montado</v>
          </cell>
        </row>
        <row r="4355">
          <cell r="A4355" t="str">
            <v>XY-120706J</v>
          </cell>
          <cell r="BG4355" t="str">
            <v>Não Montado</v>
          </cell>
        </row>
        <row r="4356">
          <cell r="A4356" t="str">
            <v>XY-120706K</v>
          </cell>
          <cell r="BG4356" t="str">
            <v>Não Montado</v>
          </cell>
        </row>
        <row r="4357">
          <cell r="A4357" t="str">
            <v>XY-120706L</v>
          </cell>
          <cell r="BG4357" t="str">
            <v>Não Montado</v>
          </cell>
        </row>
        <row r="4358">
          <cell r="A4358" t="str">
            <v>XY-120706M</v>
          </cell>
          <cell r="BG4358" t="str">
            <v>Não Montado</v>
          </cell>
        </row>
        <row r="4359">
          <cell r="A4359" t="str">
            <v>XY-120706N</v>
          </cell>
          <cell r="BG4359" t="str">
            <v>Não Montado</v>
          </cell>
        </row>
        <row r="4360">
          <cell r="A4360" t="str">
            <v>XY-120706P</v>
          </cell>
          <cell r="BG4360" t="str">
            <v>Não Montado</v>
          </cell>
        </row>
        <row r="4361">
          <cell r="A4361" t="str">
            <v>XY-120706Q</v>
          </cell>
          <cell r="BG4361" t="str">
            <v>Não Montado</v>
          </cell>
        </row>
        <row r="4362">
          <cell r="A4362" t="str">
            <v>XY-120707</v>
          </cell>
          <cell r="BG4362" t="str">
            <v>Não Montado</v>
          </cell>
        </row>
        <row r="4363">
          <cell r="A4363" t="str">
            <v>XY-120708</v>
          </cell>
          <cell r="BG4363" t="str">
            <v>Não Montado</v>
          </cell>
        </row>
        <row r="4364">
          <cell r="A4364" t="str">
            <v>XY-120709</v>
          </cell>
          <cell r="BG4364" t="str">
            <v>Não Montado</v>
          </cell>
        </row>
        <row r="4365">
          <cell r="A4365" t="str">
            <v>XY-120710A</v>
          </cell>
          <cell r="BG4365" t="str">
            <v>Não Montado</v>
          </cell>
        </row>
        <row r="4366">
          <cell r="A4366" t="str">
            <v>XY-120710B</v>
          </cell>
          <cell r="BG4366" t="str">
            <v>Não Montado</v>
          </cell>
        </row>
        <row r="4367">
          <cell r="A4367" t="str">
            <v>XY-120710C</v>
          </cell>
          <cell r="BG4367" t="str">
            <v>Não Montado</v>
          </cell>
        </row>
        <row r="4368">
          <cell r="A4368" t="str">
            <v>XY-120710D</v>
          </cell>
          <cell r="BG4368" t="str">
            <v>Não Montado</v>
          </cell>
        </row>
        <row r="4369">
          <cell r="A4369" t="str">
            <v>XY-120710E</v>
          </cell>
          <cell r="BG4369" t="str">
            <v>Não Montado</v>
          </cell>
        </row>
        <row r="4370">
          <cell r="A4370" t="str">
            <v>XY-120710F</v>
          </cell>
          <cell r="BG4370" t="str">
            <v>Não Montado</v>
          </cell>
        </row>
        <row r="4371">
          <cell r="A4371" t="str">
            <v>XY-120710G</v>
          </cell>
          <cell r="BG4371" t="str">
            <v>Não Montado</v>
          </cell>
        </row>
        <row r="4372">
          <cell r="A4372" t="str">
            <v>XY-120710H</v>
          </cell>
          <cell r="BG4372" t="str">
            <v>Não Montado</v>
          </cell>
        </row>
        <row r="4373">
          <cell r="A4373" t="str">
            <v>XY-120710J</v>
          </cell>
          <cell r="BG4373" t="str">
            <v>Não Montado</v>
          </cell>
        </row>
        <row r="4374">
          <cell r="A4374" t="str">
            <v>XY-120710K</v>
          </cell>
          <cell r="BG4374" t="str">
            <v>Não Montado</v>
          </cell>
        </row>
        <row r="4375">
          <cell r="A4375" t="str">
            <v>XY-120710L</v>
          </cell>
          <cell r="BG4375" t="str">
            <v>Não Montado</v>
          </cell>
        </row>
        <row r="4376">
          <cell r="A4376" t="str">
            <v>XY-120710M</v>
          </cell>
          <cell r="BG4376" t="str">
            <v>Não Montado</v>
          </cell>
        </row>
        <row r="4377">
          <cell r="A4377" t="str">
            <v>XY-120710N</v>
          </cell>
          <cell r="BG4377" t="str">
            <v>Não Montado</v>
          </cell>
        </row>
        <row r="4378">
          <cell r="A4378" t="str">
            <v>XY-120710P</v>
          </cell>
          <cell r="BG4378" t="str">
            <v>Não Montado</v>
          </cell>
        </row>
        <row r="4379">
          <cell r="A4379" t="str">
            <v>XY-120710Q</v>
          </cell>
          <cell r="BG4379" t="str">
            <v>Não Montado</v>
          </cell>
        </row>
        <row r="4380">
          <cell r="A4380" t="str">
            <v>XY-120712A</v>
          </cell>
          <cell r="BG4380" t="str">
            <v>Não Montado</v>
          </cell>
        </row>
        <row r="4381">
          <cell r="A4381" t="str">
            <v>XY-120712B</v>
          </cell>
          <cell r="BG4381" t="str">
            <v>Não Montado</v>
          </cell>
        </row>
        <row r="4382">
          <cell r="A4382" t="str">
            <v>XY-120712C</v>
          </cell>
          <cell r="BG4382" t="str">
            <v>Não Montado</v>
          </cell>
        </row>
        <row r="4383">
          <cell r="A4383" t="str">
            <v>XY-120712D</v>
          </cell>
          <cell r="BG4383" t="str">
            <v>Não Montado</v>
          </cell>
        </row>
        <row r="4384">
          <cell r="A4384" t="str">
            <v>XY-120712E</v>
          </cell>
          <cell r="BG4384" t="str">
            <v>Não Montado</v>
          </cell>
        </row>
        <row r="4385">
          <cell r="A4385" t="str">
            <v>XY-120712F</v>
          </cell>
          <cell r="BG4385" t="str">
            <v>Não Montado</v>
          </cell>
        </row>
        <row r="4386">
          <cell r="A4386" t="str">
            <v>XY-120712G</v>
          </cell>
          <cell r="BG4386" t="str">
            <v>Não Montado</v>
          </cell>
        </row>
        <row r="4387">
          <cell r="A4387" t="str">
            <v>XY-120712H</v>
          </cell>
          <cell r="BG4387" t="str">
            <v>Não Montado</v>
          </cell>
        </row>
        <row r="4388">
          <cell r="A4388" t="str">
            <v>XY-120712J</v>
          </cell>
          <cell r="BG4388" t="str">
            <v>Não Montado</v>
          </cell>
        </row>
        <row r="4389">
          <cell r="A4389" t="str">
            <v>XY-120712K</v>
          </cell>
          <cell r="BG4389" t="str">
            <v>Não Montado</v>
          </cell>
        </row>
        <row r="4390">
          <cell r="A4390" t="str">
            <v>XY-120712L</v>
          </cell>
          <cell r="BG4390" t="str">
            <v>Não Montado</v>
          </cell>
        </row>
        <row r="4391">
          <cell r="A4391" t="str">
            <v>XY-120712M</v>
          </cell>
          <cell r="BG4391" t="str">
            <v>Não Montado</v>
          </cell>
        </row>
        <row r="4392">
          <cell r="A4392" t="str">
            <v>XY-120712N</v>
          </cell>
          <cell r="BG4392" t="str">
            <v>Não Montado</v>
          </cell>
        </row>
        <row r="4393">
          <cell r="A4393" t="str">
            <v>XY-120712P</v>
          </cell>
          <cell r="BG4393" t="str">
            <v>Não Montado</v>
          </cell>
        </row>
        <row r="4394">
          <cell r="A4394" t="str">
            <v>XY-120712Q</v>
          </cell>
          <cell r="BG4394" t="str">
            <v>Não Montado</v>
          </cell>
        </row>
        <row r="4395">
          <cell r="A4395" t="str">
            <v>XY-120713A</v>
          </cell>
          <cell r="BG4395" t="str">
            <v>Não Montado</v>
          </cell>
        </row>
        <row r="4396">
          <cell r="A4396" t="str">
            <v>XY-120713B</v>
          </cell>
          <cell r="BG4396" t="str">
            <v>Não Montado</v>
          </cell>
        </row>
        <row r="4397">
          <cell r="A4397" t="str">
            <v>XY-120713C</v>
          </cell>
          <cell r="BG4397" t="str">
            <v>Não Montado</v>
          </cell>
        </row>
        <row r="4398">
          <cell r="A4398" t="str">
            <v>XY-120713D</v>
          </cell>
          <cell r="BG4398" t="str">
            <v>Não Montado</v>
          </cell>
        </row>
        <row r="4399">
          <cell r="A4399" t="str">
            <v>XY-120713E</v>
          </cell>
          <cell r="BG4399" t="str">
            <v>Não Montado</v>
          </cell>
        </row>
        <row r="4400">
          <cell r="A4400" t="str">
            <v>XY-120713F</v>
          </cell>
          <cell r="BG4400" t="str">
            <v>Não Montado</v>
          </cell>
        </row>
        <row r="4401">
          <cell r="A4401" t="str">
            <v>XY-120713G</v>
          </cell>
          <cell r="BG4401" t="str">
            <v>Não Montado</v>
          </cell>
        </row>
        <row r="4402">
          <cell r="A4402" t="str">
            <v>XY-120713H</v>
          </cell>
          <cell r="BG4402" t="str">
            <v>Não Montado</v>
          </cell>
        </row>
        <row r="4403">
          <cell r="A4403" t="str">
            <v>XY-120713J</v>
          </cell>
          <cell r="BG4403" t="str">
            <v>Não Montado</v>
          </cell>
        </row>
        <row r="4404">
          <cell r="A4404" t="str">
            <v>XY-120713K</v>
          </cell>
          <cell r="BG4404" t="str">
            <v>Não Montado</v>
          </cell>
        </row>
        <row r="4405">
          <cell r="A4405" t="str">
            <v>XY-120713L</v>
          </cell>
          <cell r="BG4405" t="str">
            <v>Não Montado</v>
          </cell>
        </row>
        <row r="4406">
          <cell r="A4406" t="str">
            <v>XY-120713M</v>
          </cell>
          <cell r="BG4406" t="str">
            <v>Não Montado</v>
          </cell>
        </row>
        <row r="4407">
          <cell r="A4407" t="str">
            <v>XY-120713N</v>
          </cell>
          <cell r="BG4407" t="str">
            <v>Não Montado</v>
          </cell>
        </row>
        <row r="4408">
          <cell r="A4408" t="str">
            <v>XY-120713P</v>
          </cell>
          <cell r="BG4408" t="str">
            <v>Não Montado</v>
          </cell>
        </row>
        <row r="4409">
          <cell r="A4409" t="str">
            <v>XY-120902</v>
          </cell>
          <cell r="BG4409" t="str">
            <v>Não Montado</v>
          </cell>
        </row>
        <row r="4410">
          <cell r="A4410" t="str">
            <v>XY-120952</v>
          </cell>
          <cell r="BG4410" t="str">
            <v>Não Montado</v>
          </cell>
        </row>
        <row r="4411">
          <cell r="A4411" t="str">
            <v>XY-120953</v>
          </cell>
          <cell r="BG4411" t="str">
            <v>Não Montado</v>
          </cell>
        </row>
        <row r="4412">
          <cell r="A4412" t="str">
            <v>XY-120955</v>
          </cell>
          <cell r="BG4412" t="str">
            <v>Não Montado</v>
          </cell>
        </row>
        <row r="4413">
          <cell r="A4413" t="str">
            <v>XY-121500</v>
          </cell>
          <cell r="BG4413" t="str">
            <v>Não Montado</v>
          </cell>
        </row>
        <row r="4414">
          <cell r="A4414" t="str">
            <v>XY-121520</v>
          </cell>
          <cell r="BG4414" t="str">
            <v>Não Montado</v>
          </cell>
        </row>
        <row r="4415">
          <cell r="A4415" t="str">
            <v>XY-122023</v>
          </cell>
          <cell r="BG4415" t="str">
            <v>Não Montado</v>
          </cell>
        </row>
        <row r="4416">
          <cell r="A4416" t="str">
            <v>XY-125000</v>
          </cell>
          <cell r="BG4416" t="str">
            <v>Não Montado</v>
          </cell>
        </row>
        <row r="4417">
          <cell r="A4417" t="str">
            <v>XY-125020</v>
          </cell>
          <cell r="BG4417" t="str">
            <v>Não Montado</v>
          </cell>
        </row>
        <row r="4418">
          <cell r="A4418" t="str">
            <v>YA/YL-120001</v>
          </cell>
          <cell r="BG4418" t="str">
            <v>Montado</v>
          </cell>
        </row>
        <row r="4419">
          <cell r="A4419" t="str">
            <v>YA/YL-120002</v>
          </cell>
          <cell r="BG4419" t="str">
            <v>Montado</v>
          </cell>
        </row>
        <row r="4420">
          <cell r="A4420" t="str">
            <v>YA/YL-120003</v>
          </cell>
          <cell r="BG4420" t="str">
            <v>Montado</v>
          </cell>
        </row>
        <row r="4421">
          <cell r="A4421" t="str">
            <v>YA/YL-120004</v>
          </cell>
          <cell r="BG4421" t="str">
            <v>Montado</v>
          </cell>
        </row>
        <row r="4422">
          <cell r="A4422" t="str">
            <v>YA/YL-120005</v>
          </cell>
          <cell r="BG4422" t="str">
            <v>Montado</v>
          </cell>
        </row>
        <row r="4423">
          <cell r="A4423" t="str">
            <v>YA/YL-120006</v>
          </cell>
          <cell r="BG4423" t="str">
            <v>Montado</v>
          </cell>
        </row>
        <row r="4424">
          <cell r="A4424" t="str">
            <v>YA/YL-120007</v>
          </cell>
          <cell r="BG4424" t="str">
            <v>Montado</v>
          </cell>
        </row>
        <row r="4425">
          <cell r="A4425" t="str">
            <v>YA/YL-120008</v>
          </cell>
          <cell r="BG4425" t="str">
            <v>Montado</v>
          </cell>
        </row>
        <row r="4426">
          <cell r="A4426" t="str">
            <v>YA/YL-120100</v>
          </cell>
          <cell r="BG4426" t="str">
            <v>Não Montado</v>
          </cell>
        </row>
        <row r="4427">
          <cell r="A4427" t="str">
            <v>YA/YL-120101</v>
          </cell>
          <cell r="BG4427" t="str">
            <v>Não Montado</v>
          </cell>
        </row>
        <row r="4428">
          <cell r="A4428" t="str">
            <v>YA/YL-120102</v>
          </cell>
          <cell r="BG4428" t="str">
            <v>Não Montado</v>
          </cell>
        </row>
        <row r="4429">
          <cell r="A4429" t="str">
            <v>YA/YL-120103</v>
          </cell>
          <cell r="BG4429" t="str">
            <v>Não Montado</v>
          </cell>
        </row>
        <row r="4430">
          <cell r="A4430" t="str">
            <v>YA/YL-120106</v>
          </cell>
          <cell r="BG4430" t="str">
            <v>Não Montado</v>
          </cell>
        </row>
        <row r="4431">
          <cell r="A4431" t="str">
            <v>YA/YL-120107</v>
          </cell>
          <cell r="BG4431" t="str">
            <v>Não Montado</v>
          </cell>
        </row>
        <row r="4432">
          <cell r="A4432" t="str">
            <v>YA/YL-120108</v>
          </cell>
          <cell r="BG4432" t="str">
            <v>Não Montado</v>
          </cell>
        </row>
        <row r="4433">
          <cell r="A4433" t="str">
            <v>YA/YL-120110</v>
          </cell>
          <cell r="BG4433" t="str">
            <v>Não Montado</v>
          </cell>
        </row>
        <row r="4434">
          <cell r="A4434" t="str">
            <v>YA/YL-120111</v>
          </cell>
          <cell r="BG4434" t="str">
            <v>Não Montado</v>
          </cell>
        </row>
        <row r="4435">
          <cell r="A4435" t="str">
            <v>YA/YL-120112</v>
          </cell>
          <cell r="BG4435" t="str">
            <v>Não Montado</v>
          </cell>
        </row>
        <row r="4436">
          <cell r="A4436" t="str">
            <v>YA/YL-120115</v>
          </cell>
          <cell r="BG4436" t="str">
            <v>Não Montado</v>
          </cell>
        </row>
        <row r="4437">
          <cell r="A4437" t="str">
            <v>YA/YL-120116</v>
          </cell>
          <cell r="BG4437" t="str">
            <v>Não Montado</v>
          </cell>
        </row>
        <row r="4438">
          <cell r="A4438" t="str">
            <v>YA/YL-120117</v>
          </cell>
          <cell r="BG4438" t="str">
            <v>Não Montado</v>
          </cell>
        </row>
        <row r="4439">
          <cell r="A4439" t="str">
            <v>YA/YL-120118</v>
          </cell>
          <cell r="BG4439" t="str">
            <v>Não Montado</v>
          </cell>
        </row>
        <row r="4440">
          <cell r="A4440" t="str">
            <v>YA/YL-120119</v>
          </cell>
          <cell r="BG4440" t="str">
            <v>Não Montado</v>
          </cell>
        </row>
        <row r="4441">
          <cell r="A4441" t="str">
            <v>YA/YL-120120</v>
          </cell>
          <cell r="BG4441" t="str">
            <v>Não Montado</v>
          </cell>
        </row>
        <row r="4442">
          <cell r="A4442" t="str">
            <v>YA/YL-120121</v>
          </cell>
          <cell r="BG4442" t="str">
            <v>Não Montado</v>
          </cell>
        </row>
        <row r="4443">
          <cell r="A4443" t="str">
            <v>YS-120603A</v>
          </cell>
          <cell r="BG4443" t="str">
            <v>Não Montado</v>
          </cell>
        </row>
        <row r="4444">
          <cell r="A4444" t="str">
            <v>YS-120603B</v>
          </cell>
          <cell r="BG4444" t="str">
            <v>Não Montado</v>
          </cell>
        </row>
        <row r="4445">
          <cell r="A4445" t="str">
            <v>YS-120603C</v>
          </cell>
          <cell r="BG4445" t="str">
            <v>Não Montado</v>
          </cell>
        </row>
        <row r="4446">
          <cell r="A4446" t="str">
            <v>YST-121080</v>
          </cell>
          <cell r="BG4446" t="str">
            <v>Não Montado</v>
          </cell>
        </row>
        <row r="4447">
          <cell r="A4447" t="str">
            <v>YST-121100</v>
          </cell>
          <cell r="BG4447" t="str">
            <v>Montado</v>
          </cell>
        </row>
        <row r="4448">
          <cell r="A4448" t="str">
            <v>YST-121101</v>
          </cell>
          <cell r="BG4448" t="str">
            <v>Montado</v>
          </cell>
        </row>
        <row r="4449">
          <cell r="A4449" t="str">
            <v>YST-121102</v>
          </cell>
          <cell r="BG4449" t="str">
            <v>Montado</v>
          </cell>
        </row>
        <row r="4450">
          <cell r="A4450" t="str">
            <v>YST-121103</v>
          </cell>
          <cell r="BG4450" t="str">
            <v>Montado</v>
          </cell>
        </row>
        <row r="4451">
          <cell r="A4451" t="str">
            <v>YST-121104</v>
          </cell>
          <cell r="BG4451" t="str">
            <v>Montado</v>
          </cell>
        </row>
        <row r="4452">
          <cell r="A4452" t="str">
            <v>YST-121108</v>
          </cell>
          <cell r="BG4452" t="str">
            <v>Montado</v>
          </cell>
        </row>
        <row r="4453">
          <cell r="A4453" t="str">
            <v>YST-121109</v>
          </cell>
          <cell r="BG4453" t="str">
            <v>Montado</v>
          </cell>
        </row>
        <row r="4454">
          <cell r="A4454" t="str">
            <v>YST-121110</v>
          </cell>
          <cell r="BG4454" t="str">
            <v>Montado</v>
          </cell>
        </row>
        <row r="4455">
          <cell r="A4455" t="str">
            <v>YST-121111</v>
          </cell>
          <cell r="BG4455" t="str">
            <v>Montado</v>
          </cell>
        </row>
        <row r="4456">
          <cell r="A4456" t="str">
            <v>YST-121112</v>
          </cell>
          <cell r="BG4456" t="str">
            <v>Montado</v>
          </cell>
        </row>
        <row r="4457">
          <cell r="A4457" t="str">
            <v>YST-121113</v>
          </cell>
          <cell r="BG4457" t="str">
            <v>Montado</v>
          </cell>
        </row>
        <row r="4458">
          <cell r="A4458" t="str">
            <v>YST-121114</v>
          </cell>
          <cell r="BG4458" t="str">
            <v>Montado</v>
          </cell>
        </row>
        <row r="4459">
          <cell r="A4459" t="str">
            <v>YST-121115</v>
          </cell>
          <cell r="BG4459" t="str">
            <v>Montado</v>
          </cell>
        </row>
        <row r="4460">
          <cell r="A4460" t="str">
            <v>YST-121116</v>
          </cell>
          <cell r="BG4460" t="str">
            <v>Montado</v>
          </cell>
        </row>
        <row r="4461">
          <cell r="A4461" t="str">
            <v>YST-121117</v>
          </cell>
          <cell r="BG4461" t="str">
            <v>Montado</v>
          </cell>
        </row>
        <row r="4462">
          <cell r="A4462" t="str">
            <v>YST-121118</v>
          </cell>
          <cell r="BG4462" t="str">
            <v>Montado</v>
          </cell>
        </row>
        <row r="4463">
          <cell r="A4463" t="str">
            <v>YST-121119</v>
          </cell>
          <cell r="BG4463" t="str">
            <v>Montado</v>
          </cell>
        </row>
        <row r="4464">
          <cell r="A4464" t="str">
            <v>YST-121120</v>
          </cell>
          <cell r="BG4464" t="str">
            <v>Montado</v>
          </cell>
        </row>
        <row r="4465">
          <cell r="A4465" t="str">
            <v>YST-121121</v>
          </cell>
          <cell r="BG4465" t="str">
            <v>Montado</v>
          </cell>
        </row>
        <row r="4466">
          <cell r="A4466" t="str">
            <v>YST-121122</v>
          </cell>
          <cell r="BG4466" t="str">
            <v>Montado</v>
          </cell>
        </row>
        <row r="4467">
          <cell r="A4467" t="str">
            <v>YST-121123</v>
          </cell>
          <cell r="BG4467" t="str">
            <v>Montado</v>
          </cell>
        </row>
        <row r="4468">
          <cell r="A4468" t="str">
            <v>YST-121124</v>
          </cell>
          <cell r="BG4468" t="str">
            <v>Montado</v>
          </cell>
        </row>
        <row r="4469">
          <cell r="A4469" t="str">
            <v>YST-121125</v>
          </cell>
          <cell r="BG4469" t="str">
            <v>Montado</v>
          </cell>
        </row>
        <row r="4470">
          <cell r="A4470" t="str">
            <v>YST-121126</v>
          </cell>
          <cell r="BG4470" t="str">
            <v>Montado</v>
          </cell>
        </row>
        <row r="4471">
          <cell r="A4471" t="str">
            <v>YST-121127</v>
          </cell>
          <cell r="BG4471" t="str">
            <v>Montado</v>
          </cell>
        </row>
        <row r="4472">
          <cell r="A4472" t="str">
            <v>YST-121128</v>
          </cell>
          <cell r="BG4472" t="str">
            <v>Montado</v>
          </cell>
        </row>
        <row r="4473">
          <cell r="A4473" t="str">
            <v>YST-121129</v>
          </cell>
          <cell r="BG4473" t="str">
            <v>Montado</v>
          </cell>
        </row>
        <row r="4474">
          <cell r="A4474" t="str">
            <v>YST-121130</v>
          </cell>
          <cell r="BG4474" t="str">
            <v>Montado</v>
          </cell>
        </row>
        <row r="4475">
          <cell r="A4475" t="str">
            <v>YST-121131</v>
          </cell>
          <cell r="BG4475" t="str">
            <v>Montado</v>
          </cell>
        </row>
        <row r="4476">
          <cell r="A4476" t="str">
            <v>YST-121132</v>
          </cell>
          <cell r="BG4476" t="str">
            <v>Montado</v>
          </cell>
        </row>
        <row r="4477">
          <cell r="A4477" t="str">
            <v>YST-121133</v>
          </cell>
          <cell r="BG4477" t="str">
            <v>Montado</v>
          </cell>
        </row>
        <row r="4478">
          <cell r="A4478" t="str">
            <v>YST-121134</v>
          </cell>
          <cell r="BG4478" t="str">
            <v>Montado</v>
          </cell>
        </row>
        <row r="4479">
          <cell r="A4479" t="str">
            <v>YST-121135</v>
          </cell>
          <cell r="BG4479" t="str">
            <v>Montado</v>
          </cell>
        </row>
        <row r="4480">
          <cell r="A4480" t="str">
            <v>YST-121136</v>
          </cell>
          <cell r="BG4480" t="str">
            <v>Montado</v>
          </cell>
        </row>
        <row r="4481">
          <cell r="A4481" t="str">
            <v>YST-121137</v>
          </cell>
          <cell r="BG4481" t="str">
            <v>Montado</v>
          </cell>
        </row>
        <row r="4482">
          <cell r="A4482" t="str">
            <v>YST-121138</v>
          </cell>
          <cell r="BG4482" t="str">
            <v>Montado</v>
          </cell>
        </row>
        <row r="4483">
          <cell r="A4483" t="str">
            <v>YST-121139</v>
          </cell>
          <cell r="BG4483" t="str">
            <v>Montado</v>
          </cell>
        </row>
        <row r="4484">
          <cell r="A4484" t="str">
            <v>YST-121140</v>
          </cell>
          <cell r="BG4484" t="str">
            <v>Montado</v>
          </cell>
        </row>
        <row r="4485">
          <cell r="A4485" t="str">
            <v>YST-121141</v>
          </cell>
          <cell r="BG4485" t="str">
            <v>Montado</v>
          </cell>
        </row>
        <row r="4486">
          <cell r="A4486" t="str">
            <v>YST-121144</v>
          </cell>
          <cell r="BG4486" t="str">
            <v>Montado</v>
          </cell>
        </row>
        <row r="4487">
          <cell r="A4487" t="str">
            <v>YST-121145</v>
          </cell>
          <cell r="BG4487" t="str">
            <v>Montado</v>
          </cell>
        </row>
        <row r="4488">
          <cell r="A4488" t="str">
            <v>YST-121146</v>
          </cell>
          <cell r="BG4488" t="str">
            <v>Montado</v>
          </cell>
        </row>
        <row r="4489">
          <cell r="A4489" t="str">
            <v>YST-121147</v>
          </cell>
          <cell r="BG4489" t="str">
            <v>Montado</v>
          </cell>
        </row>
        <row r="4490">
          <cell r="A4490" t="str">
            <v>YST-121148</v>
          </cell>
          <cell r="BG4490" t="str">
            <v>Montado</v>
          </cell>
        </row>
        <row r="4491">
          <cell r="A4491" t="str">
            <v>YST-121149</v>
          </cell>
          <cell r="BG4491" t="str">
            <v>Montado</v>
          </cell>
        </row>
        <row r="4492">
          <cell r="A4492" t="str">
            <v>YST-121150</v>
          </cell>
          <cell r="BG4492" t="str">
            <v>Montado</v>
          </cell>
        </row>
        <row r="4493">
          <cell r="A4493" t="str">
            <v>YST-121151</v>
          </cell>
          <cell r="BG4493" t="str">
            <v>Montado</v>
          </cell>
        </row>
        <row r="4494">
          <cell r="A4494" t="str">
            <v>YST-121152</v>
          </cell>
          <cell r="BG4494" t="str">
            <v>Montado</v>
          </cell>
        </row>
        <row r="4495">
          <cell r="A4495" t="str">
            <v>YST-121153</v>
          </cell>
          <cell r="BG4495" t="str">
            <v>Montado</v>
          </cell>
        </row>
        <row r="4496">
          <cell r="A4496" t="str">
            <v>YST-121155</v>
          </cell>
          <cell r="BG4496" t="str">
            <v>Montado</v>
          </cell>
        </row>
        <row r="4497">
          <cell r="A4497" t="str">
            <v>YST-121156</v>
          </cell>
          <cell r="BG4497" t="str">
            <v>Montado</v>
          </cell>
        </row>
        <row r="4498">
          <cell r="A4498" t="str">
            <v>YST-121157</v>
          </cell>
          <cell r="BG4498" t="str">
            <v>Montado</v>
          </cell>
        </row>
        <row r="4499">
          <cell r="A4499" t="str">
            <v>YST-121158</v>
          </cell>
          <cell r="BG4499" t="str">
            <v>Montado</v>
          </cell>
        </row>
        <row r="4500">
          <cell r="A4500" t="str">
            <v>YST-121159</v>
          </cell>
          <cell r="BG4500" t="str">
            <v>Montado</v>
          </cell>
        </row>
        <row r="4501">
          <cell r="A4501" t="str">
            <v>YST-121160</v>
          </cell>
          <cell r="BG4501" t="str">
            <v>Montado</v>
          </cell>
        </row>
        <row r="4502">
          <cell r="A4502" t="str">
            <v>YST-121161</v>
          </cell>
          <cell r="BG4502" t="str">
            <v>Montado</v>
          </cell>
        </row>
        <row r="4503">
          <cell r="A4503" t="str">
            <v>YST-121162</v>
          </cell>
          <cell r="BG4503" t="str">
            <v>Montado</v>
          </cell>
        </row>
        <row r="4504">
          <cell r="A4504" t="str">
            <v>YST-121163</v>
          </cell>
          <cell r="BG4504" t="str">
            <v>Montado</v>
          </cell>
        </row>
        <row r="4505">
          <cell r="A4505" t="str">
            <v>YST-121164</v>
          </cell>
          <cell r="BG4505" t="str">
            <v>Montado</v>
          </cell>
        </row>
        <row r="4506">
          <cell r="A4506" t="str">
            <v>YST-121165</v>
          </cell>
          <cell r="BG4506" t="str">
            <v>Montado</v>
          </cell>
        </row>
        <row r="4507">
          <cell r="A4507" t="str">
            <v>YST-121166</v>
          </cell>
          <cell r="BG4507" t="str">
            <v>Montado</v>
          </cell>
        </row>
        <row r="4508">
          <cell r="A4508" t="str">
            <v>YST-121167</v>
          </cell>
          <cell r="BG4508" t="str">
            <v>Montado</v>
          </cell>
        </row>
        <row r="4509">
          <cell r="A4509" t="str">
            <v>YST-121168</v>
          </cell>
          <cell r="BG4509" t="str">
            <v>Montado</v>
          </cell>
        </row>
        <row r="4510">
          <cell r="A4510" t="str">
            <v>YST-121169</v>
          </cell>
          <cell r="BG4510" t="str">
            <v>Montado</v>
          </cell>
        </row>
        <row r="4511">
          <cell r="A4511" t="str">
            <v>YST-121170</v>
          </cell>
          <cell r="BG4511" t="str">
            <v>Montado</v>
          </cell>
        </row>
        <row r="4512">
          <cell r="A4512" t="str">
            <v>YST-121171</v>
          </cell>
          <cell r="BG4512" t="str">
            <v>Montado</v>
          </cell>
        </row>
        <row r="4513">
          <cell r="A4513" t="str">
            <v>YST-121172</v>
          </cell>
          <cell r="BG4513" t="str">
            <v>Montado</v>
          </cell>
        </row>
        <row r="4514">
          <cell r="A4514" t="str">
            <v>YST-121173</v>
          </cell>
          <cell r="BG4514" t="str">
            <v>Montado</v>
          </cell>
        </row>
        <row r="4515">
          <cell r="A4515" t="str">
            <v>YST-121174</v>
          </cell>
          <cell r="BG4515" t="str">
            <v>Montado</v>
          </cell>
        </row>
        <row r="4516">
          <cell r="A4516" t="str">
            <v>YST-121175</v>
          </cell>
          <cell r="BG4516" t="str">
            <v>Montado</v>
          </cell>
        </row>
        <row r="4517">
          <cell r="A4517" t="str">
            <v>YST-121176</v>
          </cell>
          <cell r="BG4517" t="str">
            <v>Montado</v>
          </cell>
        </row>
        <row r="4518">
          <cell r="A4518" t="str">
            <v>YST-121177</v>
          </cell>
          <cell r="BG4518" t="str">
            <v>Montado</v>
          </cell>
        </row>
        <row r="4519">
          <cell r="A4519" t="str">
            <v>YST-121178</v>
          </cell>
          <cell r="BG4519" t="str">
            <v>Montado</v>
          </cell>
        </row>
        <row r="4520">
          <cell r="A4520" t="str">
            <v>YST-121179</v>
          </cell>
          <cell r="BG4520" t="str">
            <v>Montado</v>
          </cell>
        </row>
        <row r="4521">
          <cell r="A4521" t="str">
            <v>YST-121180</v>
          </cell>
          <cell r="BG4521" t="str">
            <v>Montado</v>
          </cell>
        </row>
        <row r="4522">
          <cell r="A4522" t="str">
            <v>YST-121181</v>
          </cell>
          <cell r="BG4522" t="str">
            <v>Montado</v>
          </cell>
        </row>
        <row r="4523">
          <cell r="A4523" t="str">
            <v>YST-121182</v>
          </cell>
          <cell r="BG4523" t="str">
            <v>Montado</v>
          </cell>
        </row>
        <row r="4524">
          <cell r="A4524" t="str">
            <v>YST-121183</v>
          </cell>
          <cell r="BG4524" t="str">
            <v>Montado</v>
          </cell>
        </row>
        <row r="4525">
          <cell r="A4525" t="str">
            <v>YST-121184</v>
          </cell>
          <cell r="BG4525" t="str">
            <v>Montado</v>
          </cell>
        </row>
        <row r="4526">
          <cell r="A4526" t="str">
            <v>YST-121185</v>
          </cell>
          <cell r="BG4526" t="str">
            <v>Montado</v>
          </cell>
        </row>
        <row r="4527">
          <cell r="A4527" t="str">
            <v>YST-121186</v>
          </cell>
          <cell r="BG4527" t="str">
            <v>Montado</v>
          </cell>
        </row>
        <row r="4528">
          <cell r="A4528" t="str">
            <v>YST-121187</v>
          </cell>
          <cell r="BG4528" t="str">
            <v>Montado</v>
          </cell>
        </row>
        <row r="4529">
          <cell r="A4529" t="str">
            <v>YST-121188</v>
          </cell>
          <cell r="BG4529" t="str">
            <v>Montado</v>
          </cell>
        </row>
        <row r="4530">
          <cell r="A4530" t="str">
            <v>YST-121189</v>
          </cell>
          <cell r="BG4530" t="str">
            <v>Montado</v>
          </cell>
        </row>
        <row r="4531">
          <cell r="A4531" t="str">
            <v>YST-121190</v>
          </cell>
          <cell r="BG4531" t="str">
            <v>Montado</v>
          </cell>
        </row>
        <row r="4532">
          <cell r="A4532" t="str">
            <v>YST-121191</v>
          </cell>
          <cell r="BG4532" t="str">
            <v>Montado</v>
          </cell>
        </row>
        <row r="4533">
          <cell r="A4533" t="str">
            <v>YST-121192</v>
          </cell>
          <cell r="BG4533" t="str">
            <v>Montado</v>
          </cell>
        </row>
        <row r="4534">
          <cell r="A4534" t="str">
            <v>YST-121198</v>
          </cell>
          <cell r="BG4534" t="str">
            <v>Não Montado</v>
          </cell>
        </row>
        <row r="4535">
          <cell r="A4535" t="str">
            <v>ZC-121065</v>
          </cell>
          <cell r="BG4535" t="str">
            <v>Não Montado</v>
          </cell>
        </row>
        <row r="4536">
          <cell r="A4536" t="str">
            <v>ZC-121073</v>
          </cell>
          <cell r="BG4536" t="str">
            <v>Não Montado</v>
          </cell>
        </row>
        <row r="4537">
          <cell r="A4537" t="str">
            <v>ZC-121074</v>
          </cell>
          <cell r="BG4537" t="str">
            <v>Não Montado</v>
          </cell>
        </row>
        <row r="4538">
          <cell r="A4538" t="str">
            <v>ZE-121300</v>
          </cell>
          <cell r="BG4538" t="str">
            <v>Não Montado</v>
          </cell>
        </row>
        <row r="4539">
          <cell r="A4539" t="str">
            <v>ZE-121301</v>
          </cell>
          <cell r="BG4539" t="str">
            <v>Não Montado</v>
          </cell>
        </row>
        <row r="4540">
          <cell r="A4540" t="str">
            <v>ZE-121302</v>
          </cell>
          <cell r="BG4540" t="str">
            <v>Não Montado</v>
          </cell>
        </row>
        <row r="4541">
          <cell r="A4541" t="str">
            <v>ZE-121400</v>
          </cell>
          <cell r="BG4541" t="str">
            <v>Não Montado</v>
          </cell>
        </row>
        <row r="4542">
          <cell r="A4542" t="str">
            <v>ZE-121401</v>
          </cell>
          <cell r="BG4542" t="str">
            <v>Não Montado</v>
          </cell>
        </row>
        <row r="4543">
          <cell r="A4543" t="str">
            <v>ZE-121402</v>
          </cell>
          <cell r="BG4543" t="str">
            <v>Não Montado</v>
          </cell>
        </row>
        <row r="4544">
          <cell r="A4544" t="str">
            <v>ZI-120500</v>
          </cell>
          <cell r="BG4544" t="str">
            <v>Não Montado</v>
          </cell>
        </row>
        <row r="4545">
          <cell r="A4545" t="str">
            <v>ZI-120501</v>
          </cell>
          <cell r="BG4545" t="str">
            <v>Não Montado</v>
          </cell>
        </row>
        <row r="4546">
          <cell r="A4546" t="str">
            <v>ZI-120502</v>
          </cell>
          <cell r="BG4546" t="str">
            <v>Não Montado</v>
          </cell>
        </row>
        <row r="4547">
          <cell r="A4547" t="str">
            <v>ZI-120503</v>
          </cell>
          <cell r="BG4547" t="str">
            <v>Não Montado</v>
          </cell>
        </row>
        <row r="4548">
          <cell r="A4548" t="str">
            <v>ZI-120504</v>
          </cell>
          <cell r="BG4548" t="str">
            <v>Não Montado</v>
          </cell>
        </row>
        <row r="4549">
          <cell r="A4549" t="str">
            <v>ZIT-120600</v>
          </cell>
          <cell r="BG4549" t="str">
            <v>Não Montado</v>
          </cell>
        </row>
        <row r="4550">
          <cell r="A4550" t="str">
            <v>ZIT-120601A</v>
          </cell>
          <cell r="BG4550" t="str">
            <v>Não Montado</v>
          </cell>
        </row>
        <row r="4551">
          <cell r="A4551" t="str">
            <v>ZIT-120601B</v>
          </cell>
          <cell r="BG4551" t="str">
            <v>Não Montado</v>
          </cell>
        </row>
        <row r="4552">
          <cell r="A4552" t="str">
            <v>ZIT-120601C</v>
          </cell>
          <cell r="BG4552" t="str">
            <v>Não Montado</v>
          </cell>
        </row>
        <row r="4553">
          <cell r="A4553" t="str">
            <v>ZIT-120601D</v>
          </cell>
          <cell r="BG4553" t="str">
            <v>Não Montado</v>
          </cell>
        </row>
        <row r="4554">
          <cell r="A4554" t="str">
            <v>ZIT-120616</v>
          </cell>
          <cell r="BG4554" t="str">
            <v>Não Montado</v>
          </cell>
        </row>
        <row r="4555">
          <cell r="A4555" t="str">
            <v>ZIT-120700</v>
          </cell>
          <cell r="BG4555" t="str">
            <v>Não Montado</v>
          </cell>
        </row>
        <row r="4556">
          <cell r="A4556" t="str">
            <v>ZIT-120701A</v>
          </cell>
          <cell r="BG4556" t="str">
            <v>Não Montado</v>
          </cell>
        </row>
        <row r="4557">
          <cell r="A4557" t="str">
            <v>ZIT-120701B</v>
          </cell>
          <cell r="BG4557" t="str">
            <v>Não Montado</v>
          </cell>
        </row>
        <row r="4558">
          <cell r="A4558" t="str">
            <v>ZIT-120701C</v>
          </cell>
          <cell r="BG4558" t="str">
            <v>Não Montado</v>
          </cell>
        </row>
        <row r="4559">
          <cell r="A4559" t="str">
            <v>ZIT-120701D</v>
          </cell>
          <cell r="BG4559" t="str">
            <v>Não Montado</v>
          </cell>
        </row>
        <row r="4560">
          <cell r="A4560" t="str">
            <v>ZIT-120701E</v>
          </cell>
          <cell r="BG4560" t="str">
            <v>Não Montado</v>
          </cell>
        </row>
        <row r="4561">
          <cell r="A4561" t="str">
            <v>ZIT-120701F</v>
          </cell>
          <cell r="BG4561" t="str">
            <v>Não Montado</v>
          </cell>
        </row>
        <row r="4562">
          <cell r="A4562" t="str">
            <v>ZIT-120716</v>
          </cell>
          <cell r="BG4562" t="str">
            <v>Não Montado</v>
          </cell>
        </row>
        <row r="4563">
          <cell r="A4563" t="str">
            <v>ZSH-120001</v>
          </cell>
          <cell r="BG4563" t="str">
            <v>Não Montado</v>
          </cell>
        </row>
        <row r="4564">
          <cell r="A4564" t="str">
            <v>ZSH-120002</v>
          </cell>
          <cell r="BG4564" t="str">
            <v>Não Montado</v>
          </cell>
        </row>
        <row r="4565">
          <cell r="A4565" t="str">
            <v>ZSH-120056</v>
          </cell>
          <cell r="BG4565" t="str">
            <v>Não Montado</v>
          </cell>
        </row>
        <row r="4566">
          <cell r="A4566" t="str">
            <v>ZSH-120057</v>
          </cell>
          <cell r="BG4566" t="str">
            <v>Não Montado</v>
          </cell>
        </row>
        <row r="4567">
          <cell r="A4567" t="str">
            <v>ZSH-120058</v>
          </cell>
          <cell r="BG4567" t="str">
            <v>Não Montado</v>
          </cell>
        </row>
        <row r="4568">
          <cell r="A4568" t="str">
            <v>ZSH-120060</v>
          </cell>
          <cell r="BG4568" t="str">
            <v>Não Montado</v>
          </cell>
        </row>
        <row r="4569">
          <cell r="A4569" t="str">
            <v>ZSH-120061</v>
          </cell>
          <cell r="BG4569" t="str">
            <v>Não Montado</v>
          </cell>
        </row>
        <row r="4570">
          <cell r="A4570" t="str">
            <v>ZSH-120065</v>
          </cell>
          <cell r="BG4570" t="str">
            <v>Não Montado</v>
          </cell>
        </row>
        <row r="4571">
          <cell r="A4571" t="str">
            <v>ZSH-120068</v>
          </cell>
          <cell r="BG4571" t="str">
            <v>Não Montado</v>
          </cell>
        </row>
        <row r="4572">
          <cell r="A4572" t="str">
            <v>ZSH-120069</v>
          </cell>
          <cell r="BG4572" t="str">
            <v>Não Montado</v>
          </cell>
        </row>
        <row r="4573">
          <cell r="A4573" t="str">
            <v>ZSH-120070</v>
          </cell>
          <cell r="BG4573" t="str">
            <v>Não Montado</v>
          </cell>
        </row>
        <row r="4574">
          <cell r="A4574" t="str">
            <v>ZSH-120071</v>
          </cell>
          <cell r="BG4574" t="str">
            <v>Não Montado</v>
          </cell>
        </row>
        <row r="4575">
          <cell r="A4575" t="str">
            <v>ZSH-120077</v>
          </cell>
          <cell r="BG4575" t="str">
            <v>Não Montado</v>
          </cell>
        </row>
        <row r="4576">
          <cell r="A4576" t="str">
            <v>ZSH-120078</v>
          </cell>
          <cell r="BG4576" t="str">
            <v>Não Montado</v>
          </cell>
        </row>
        <row r="4577">
          <cell r="A4577" t="str">
            <v>ZSH-120082</v>
          </cell>
          <cell r="BG4577" t="str">
            <v>Não Montado</v>
          </cell>
        </row>
        <row r="4578">
          <cell r="A4578" t="str">
            <v>ZSH-120083</v>
          </cell>
          <cell r="BG4578" t="str">
            <v>Não Montado</v>
          </cell>
        </row>
        <row r="4579">
          <cell r="A4579" t="str">
            <v>ZSH-120084</v>
          </cell>
          <cell r="BG4579" t="str">
            <v>Não Montado</v>
          </cell>
        </row>
        <row r="4580">
          <cell r="A4580" t="str">
            <v>ZSH-120085</v>
          </cell>
          <cell r="BG4580" t="str">
            <v>Não Montado</v>
          </cell>
        </row>
        <row r="4581">
          <cell r="A4581" t="str">
            <v>ZSH-120112</v>
          </cell>
          <cell r="BG4581" t="str">
            <v>Não Montado</v>
          </cell>
        </row>
        <row r="4582">
          <cell r="A4582" t="str">
            <v>ZSH-120113</v>
          </cell>
          <cell r="BG4582" t="str">
            <v>Não Montado</v>
          </cell>
        </row>
        <row r="4583">
          <cell r="A4583" t="str">
            <v>ZSH-120114</v>
          </cell>
          <cell r="BG4583" t="str">
            <v>Não Montado</v>
          </cell>
        </row>
        <row r="4584">
          <cell r="A4584" t="str">
            <v>ZSH-120115</v>
          </cell>
          <cell r="BG4584" t="str">
            <v>Não Montado</v>
          </cell>
        </row>
        <row r="4585">
          <cell r="A4585" t="str">
            <v>ZSH-120116</v>
          </cell>
          <cell r="BG4585" t="str">
            <v>Não Montado</v>
          </cell>
        </row>
        <row r="4586">
          <cell r="A4586" t="str">
            <v>ZSH-120117</v>
          </cell>
          <cell r="BG4586" t="str">
            <v>Não Montado</v>
          </cell>
        </row>
        <row r="4587">
          <cell r="A4587" t="str">
            <v>ZSH-120250</v>
          </cell>
          <cell r="BG4587" t="str">
            <v>Não Montado</v>
          </cell>
        </row>
        <row r="4588">
          <cell r="A4588" t="str">
            <v>ZSH-120437</v>
          </cell>
          <cell r="BG4588" t="str">
            <v>Não Montado</v>
          </cell>
        </row>
        <row r="4589">
          <cell r="A4589" t="str">
            <v>ZSH-120438</v>
          </cell>
          <cell r="BG4589" t="str">
            <v>Não Montado</v>
          </cell>
        </row>
        <row r="4590">
          <cell r="A4590" t="str">
            <v>ZSH-120604</v>
          </cell>
          <cell r="BG4590" t="str">
            <v>Não Montado</v>
          </cell>
        </row>
        <row r="4591">
          <cell r="A4591" t="str">
            <v>ZSH-120606A</v>
          </cell>
          <cell r="BG4591" t="str">
            <v>Não Montado</v>
          </cell>
        </row>
        <row r="4592">
          <cell r="A4592" t="str">
            <v>ZSH-120606B</v>
          </cell>
          <cell r="BG4592" t="str">
            <v>Não Montado</v>
          </cell>
        </row>
        <row r="4593">
          <cell r="A4593" t="str">
            <v>ZSH-120606C</v>
          </cell>
          <cell r="BG4593" t="str">
            <v>Não Montado</v>
          </cell>
        </row>
        <row r="4594">
          <cell r="A4594" t="str">
            <v>ZSH-120606D</v>
          </cell>
          <cell r="BG4594" t="str">
            <v>Não Montado</v>
          </cell>
        </row>
        <row r="4595">
          <cell r="A4595" t="str">
            <v>ZSH-120606E</v>
          </cell>
          <cell r="BG4595" t="str">
            <v>Não Montado</v>
          </cell>
        </row>
        <row r="4596">
          <cell r="A4596" t="str">
            <v>ZSH-120606F</v>
          </cell>
          <cell r="BG4596" t="str">
            <v>Não Montado</v>
          </cell>
        </row>
        <row r="4597">
          <cell r="A4597" t="str">
            <v>ZSH-120606G</v>
          </cell>
          <cell r="BG4597" t="str">
            <v>Não Montado</v>
          </cell>
        </row>
        <row r="4598">
          <cell r="A4598" t="str">
            <v>ZSH-120606H</v>
          </cell>
          <cell r="BG4598" t="str">
            <v>Não Montado</v>
          </cell>
        </row>
        <row r="4599">
          <cell r="A4599" t="str">
            <v>ZSH-120606J</v>
          </cell>
          <cell r="BG4599" t="str">
            <v>Não Montado</v>
          </cell>
        </row>
        <row r="4600">
          <cell r="A4600" t="str">
            <v>ZSH-120606K</v>
          </cell>
          <cell r="BG4600" t="str">
            <v>Não Montado</v>
          </cell>
        </row>
        <row r="4601">
          <cell r="A4601" t="str">
            <v>ZSH-120606L</v>
          </cell>
          <cell r="BG4601" t="str">
            <v>Não Montado</v>
          </cell>
        </row>
        <row r="4602">
          <cell r="A4602" t="str">
            <v>ZSH-120606M</v>
          </cell>
          <cell r="BG4602" t="str">
            <v>Não Montado</v>
          </cell>
        </row>
        <row r="4603">
          <cell r="A4603" t="str">
            <v>ZSH-120606N</v>
          </cell>
          <cell r="BG4603" t="str">
            <v>Não Montado</v>
          </cell>
        </row>
        <row r="4604">
          <cell r="A4604" t="str">
            <v>ZSH-120606P</v>
          </cell>
          <cell r="BG4604" t="str">
            <v>Não Montado</v>
          </cell>
        </row>
        <row r="4605">
          <cell r="A4605" t="str">
            <v>ZSH-120606Q</v>
          </cell>
          <cell r="BG4605" t="str">
            <v>Não Montado</v>
          </cell>
        </row>
        <row r="4606">
          <cell r="A4606" t="str">
            <v>ZSH-120608</v>
          </cell>
          <cell r="BG4606" t="str">
            <v>Não Montado</v>
          </cell>
        </row>
        <row r="4607">
          <cell r="A4607" t="str">
            <v>ZSH-120609</v>
          </cell>
          <cell r="BG4607" t="str">
            <v>Não Montado</v>
          </cell>
        </row>
        <row r="4608">
          <cell r="A4608" t="str">
            <v>ZSH-120610A</v>
          </cell>
          <cell r="BG4608" t="str">
            <v>Não Montado</v>
          </cell>
        </row>
        <row r="4609">
          <cell r="A4609" t="str">
            <v>ZSH-120610B</v>
          </cell>
          <cell r="BG4609" t="str">
            <v>Não Montado</v>
          </cell>
        </row>
        <row r="4610">
          <cell r="A4610" t="str">
            <v>ZSH-120610C</v>
          </cell>
          <cell r="BG4610" t="str">
            <v>Não Montado</v>
          </cell>
        </row>
        <row r="4611">
          <cell r="A4611" t="str">
            <v>ZSH-120610D</v>
          </cell>
          <cell r="BG4611" t="str">
            <v>Não Montado</v>
          </cell>
        </row>
        <row r="4612">
          <cell r="A4612" t="str">
            <v>ZSH-120610E</v>
          </cell>
          <cell r="BG4612" t="str">
            <v>Não Montado</v>
          </cell>
        </row>
        <row r="4613">
          <cell r="A4613" t="str">
            <v>ZSH-120610F</v>
          </cell>
          <cell r="BG4613" t="str">
            <v>Não Montado</v>
          </cell>
        </row>
        <row r="4614">
          <cell r="A4614" t="str">
            <v>ZSH-120610G</v>
          </cell>
          <cell r="BG4614" t="str">
            <v>Não Montado</v>
          </cell>
        </row>
        <row r="4615">
          <cell r="A4615" t="str">
            <v>ZSH-120610H</v>
          </cell>
          <cell r="BG4615" t="str">
            <v>Não Montado</v>
          </cell>
        </row>
        <row r="4616">
          <cell r="A4616" t="str">
            <v>ZSH-120610J</v>
          </cell>
          <cell r="BG4616" t="str">
            <v>Não Montado</v>
          </cell>
        </row>
        <row r="4617">
          <cell r="A4617" t="str">
            <v>ZSH-120610K</v>
          </cell>
          <cell r="BG4617" t="str">
            <v>Não Montado</v>
          </cell>
        </row>
        <row r="4618">
          <cell r="A4618" t="str">
            <v>ZSH-120610L</v>
          </cell>
          <cell r="BG4618" t="str">
            <v>Não Montado</v>
          </cell>
        </row>
        <row r="4619">
          <cell r="A4619" t="str">
            <v>ZSH-120610M</v>
          </cell>
          <cell r="BG4619" t="str">
            <v>Não Montado</v>
          </cell>
        </row>
        <row r="4620">
          <cell r="A4620" t="str">
            <v>ZSH-120610N</v>
          </cell>
          <cell r="BG4620" t="str">
            <v>Não Montado</v>
          </cell>
        </row>
        <row r="4621">
          <cell r="A4621" t="str">
            <v>ZSH-120610P</v>
          </cell>
          <cell r="BG4621" t="str">
            <v>Não Montado</v>
          </cell>
        </row>
        <row r="4622">
          <cell r="A4622" t="str">
            <v>ZSH-120610Q</v>
          </cell>
          <cell r="BG4622" t="str">
            <v>Não Montado</v>
          </cell>
        </row>
        <row r="4623">
          <cell r="A4623" t="str">
            <v>ZSH-120612A</v>
          </cell>
          <cell r="BG4623" t="str">
            <v>Não Montado</v>
          </cell>
        </row>
        <row r="4624">
          <cell r="A4624" t="str">
            <v>ZSH-120612B</v>
          </cell>
          <cell r="BG4624" t="str">
            <v>Não Montado</v>
          </cell>
        </row>
        <row r="4625">
          <cell r="A4625" t="str">
            <v>ZSH-120612C</v>
          </cell>
          <cell r="BG4625" t="str">
            <v>Não Montado</v>
          </cell>
        </row>
        <row r="4626">
          <cell r="A4626" t="str">
            <v>ZSH-120612D</v>
          </cell>
          <cell r="BG4626" t="str">
            <v>Não Montado</v>
          </cell>
        </row>
        <row r="4627">
          <cell r="A4627" t="str">
            <v>ZSH-120612E</v>
          </cell>
          <cell r="BG4627" t="str">
            <v>Não Montado</v>
          </cell>
        </row>
        <row r="4628">
          <cell r="A4628" t="str">
            <v>ZSH-120612F</v>
          </cell>
          <cell r="BG4628" t="str">
            <v>Não Montado</v>
          </cell>
        </row>
        <row r="4629">
          <cell r="A4629" t="str">
            <v>ZSH-120612G</v>
          </cell>
          <cell r="BG4629" t="str">
            <v>Não Montado</v>
          </cell>
        </row>
        <row r="4630">
          <cell r="A4630" t="str">
            <v>ZSH-120612H</v>
          </cell>
          <cell r="BG4630" t="str">
            <v>Não Montado</v>
          </cell>
        </row>
        <row r="4631">
          <cell r="A4631" t="str">
            <v>ZSH-120612J</v>
          </cell>
          <cell r="BG4631" t="str">
            <v>Não Montado</v>
          </cell>
        </row>
        <row r="4632">
          <cell r="A4632" t="str">
            <v>ZSH-120612K</v>
          </cell>
          <cell r="BG4632" t="str">
            <v>Não Montado</v>
          </cell>
        </row>
        <row r="4633">
          <cell r="A4633" t="str">
            <v>ZSH-120612L</v>
          </cell>
          <cell r="BG4633" t="str">
            <v>Não Montado</v>
          </cell>
        </row>
        <row r="4634">
          <cell r="A4634" t="str">
            <v>ZSH-120612M</v>
          </cell>
          <cell r="BG4634" t="str">
            <v>Não Montado</v>
          </cell>
        </row>
        <row r="4635">
          <cell r="A4635" t="str">
            <v>ZSH-120612N</v>
          </cell>
          <cell r="BG4635" t="str">
            <v>Não Montado</v>
          </cell>
        </row>
        <row r="4636">
          <cell r="A4636" t="str">
            <v>ZSH-120612P</v>
          </cell>
          <cell r="BG4636" t="str">
            <v>Não Montado</v>
          </cell>
        </row>
        <row r="4637">
          <cell r="A4637" t="str">
            <v>ZSH-120612Q</v>
          </cell>
          <cell r="BG4637" t="str">
            <v>Não Montado</v>
          </cell>
        </row>
        <row r="4638">
          <cell r="A4638" t="str">
            <v>ZSH-120613A</v>
          </cell>
          <cell r="BG4638" t="str">
            <v>Não Montado</v>
          </cell>
        </row>
        <row r="4639">
          <cell r="A4639" t="str">
            <v>ZSH-120613B</v>
          </cell>
          <cell r="BG4639" t="str">
            <v>Não Montado</v>
          </cell>
        </row>
        <row r="4640">
          <cell r="A4640" t="str">
            <v>ZSH-120613C</v>
          </cell>
          <cell r="BG4640" t="str">
            <v>Não Montado</v>
          </cell>
        </row>
        <row r="4641">
          <cell r="A4641" t="str">
            <v>ZSH-120613D</v>
          </cell>
          <cell r="BG4641" t="str">
            <v>Não Montado</v>
          </cell>
        </row>
        <row r="4642">
          <cell r="A4642" t="str">
            <v>ZSH-120613E</v>
          </cell>
          <cell r="BG4642" t="str">
            <v>Não Montado</v>
          </cell>
        </row>
        <row r="4643">
          <cell r="A4643" t="str">
            <v>ZSH-120613F</v>
          </cell>
          <cell r="BG4643" t="str">
            <v>Não Montado</v>
          </cell>
        </row>
        <row r="4644">
          <cell r="A4644" t="str">
            <v>ZSH-120613G</v>
          </cell>
          <cell r="BG4644" t="str">
            <v>Não Montado</v>
          </cell>
        </row>
        <row r="4645">
          <cell r="A4645" t="str">
            <v>ZSH-120613H</v>
          </cell>
          <cell r="BG4645" t="str">
            <v>Não Montado</v>
          </cell>
        </row>
        <row r="4646">
          <cell r="A4646" t="str">
            <v>ZSH-120613J</v>
          </cell>
          <cell r="BG4646" t="str">
            <v>Não Montado</v>
          </cell>
        </row>
        <row r="4647">
          <cell r="A4647" t="str">
            <v>ZSH-120613L</v>
          </cell>
          <cell r="BG4647" t="str">
            <v>Não Montado</v>
          </cell>
        </row>
        <row r="4648">
          <cell r="A4648" t="str">
            <v>ZSH-120613M</v>
          </cell>
          <cell r="BG4648" t="str">
            <v>Não Montado</v>
          </cell>
        </row>
        <row r="4649">
          <cell r="A4649" t="str">
            <v>ZSH-120613N</v>
          </cell>
          <cell r="BG4649" t="str">
            <v>Não Montado</v>
          </cell>
        </row>
        <row r="4650">
          <cell r="A4650" t="str">
            <v>ZSH-120613P</v>
          </cell>
          <cell r="BG4650" t="str">
            <v>Não Montado</v>
          </cell>
        </row>
        <row r="4651">
          <cell r="A4651" t="str">
            <v>ZSH-120613Q</v>
          </cell>
          <cell r="BG4651" t="str">
            <v>Não Montado</v>
          </cell>
        </row>
        <row r="4652">
          <cell r="A4652" t="str">
            <v>ZSH-120616</v>
          </cell>
          <cell r="BG4652" t="str">
            <v>Não Montado</v>
          </cell>
        </row>
        <row r="4653">
          <cell r="A4653" t="str">
            <v>ZSH-120617A</v>
          </cell>
          <cell r="BG4653" t="str">
            <v>Não Montado</v>
          </cell>
        </row>
        <row r="4654">
          <cell r="A4654" t="str">
            <v>ZSH-120618</v>
          </cell>
          <cell r="BG4654" t="str">
            <v>Não Montado</v>
          </cell>
        </row>
        <row r="4655">
          <cell r="A4655" t="str">
            <v>ZSH-120620</v>
          </cell>
          <cell r="BG4655" t="str">
            <v>Não Montado</v>
          </cell>
        </row>
        <row r="4656">
          <cell r="A4656" t="str">
            <v>ZSH-120621</v>
          </cell>
          <cell r="BG4656" t="str">
            <v>Não Montado</v>
          </cell>
        </row>
        <row r="4657">
          <cell r="A4657" t="str">
            <v>ZSH-120622</v>
          </cell>
          <cell r="BG4657" t="str">
            <v>Não Montado</v>
          </cell>
        </row>
        <row r="4658">
          <cell r="A4658" t="str">
            <v>ZSH-120623</v>
          </cell>
          <cell r="BG4658" t="str">
            <v>Não Montado</v>
          </cell>
        </row>
        <row r="4659">
          <cell r="A4659" t="str">
            <v>ZSH-120624</v>
          </cell>
          <cell r="BG4659" t="str">
            <v>Não Montado</v>
          </cell>
        </row>
        <row r="4660">
          <cell r="A4660" t="str">
            <v>ZSH-120625</v>
          </cell>
          <cell r="BG4660" t="str">
            <v>Não Montado</v>
          </cell>
        </row>
        <row r="4661">
          <cell r="A4661" t="str">
            <v>ZSH-120626</v>
          </cell>
          <cell r="BG4661" t="str">
            <v>Não Montado</v>
          </cell>
        </row>
        <row r="4662">
          <cell r="A4662" t="str">
            <v>ZSH-120627</v>
          </cell>
          <cell r="BG4662" t="str">
            <v>Não Montado</v>
          </cell>
        </row>
        <row r="4663">
          <cell r="A4663" t="str">
            <v>ZSH-120628</v>
          </cell>
          <cell r="BG4663" t="str">
            <v>Não Montado</v>
          </cell>
        </row>
        <row r="4664">
          <cell r="A4664" t="str">
            <v>ZSH-120629</v>
          </cell>
          <cell r="BG4664" t="str">
            <v>Não Montado</v>
          </cell>
        </row>
        <row r="4665">
          <cell r="A4665" t="str">
            <v>ZSH-120630</v>
          </cell>
          <cell r="BG4665" t="str">
            <v>Não Montado</v>
          </cell>
        </row>
        <row r="4666">
          <cell r="A4666" t="str">
            <v>ZSH-120631</v>
          </cell>
          <cell r="BG4666" t="str">
            <v>Não Montado</v>
          </cell>
        </row>
        <row r="4667">
          <cell r="A4667" t="str">
            <v>ZSH-120632</v>
          </cell>
          <cell r="BG4667" t="str">
            <v>Não Montado</v>
          </cell>
        </row>
        <row r="4668">
          <cell r="A4668" t="str">
            <v>ZSH-120633</v>
          </cell>
          <cell r="BG4668" t="str">
            <v>Não Montado</v>
          </cell>
        </row>
        <row r="4669">
          <cell r="A4669" t="str">
            <v>ZSH-120634</v>
          </cell>
          <cell r="BG4669" t="str">
            <v>Não Montado</v>
          </cell>
        </row>
        <row r="4670">
          <cell r="A4670" t="str">
            <v>ZSH-120635</v>
          </cell>
          <cell r="BG4670" t="str">
            <v>Não Montado</v>
          </cell>
        </row>
        <row r="4671">
          <cell r="A4671" t="str">
            <v>ZSH-120636</v>
          </cell>
          <cell r="BG4671" t="str">
            <v>Não Montado</v>
          </cell>
        </row>
        <row r="4672">
          <cell r="A4672" t="str">
            <v>ZSH-120637</v>
          </cell>
          <cell r="BG4672" t="str">
            <v>Não Montado</v>
          </cell>
        </row>
        <row r="4673">
          <cell r="A4673" t="str">
            <v>ZSH-120638</v>
          </cell>
          <cell r="BG4673" t="str">
            <v>Não Montado</v>
          </cell>
        </row>
        <row r="4674">
          <cell r="A4674" t="str">
            <v>ZSH-120639</v>
          </cell>
          <cell r="BG4674" t="str">
            <v>Não Montado</v>
          </cell>
        </row>
        <row r="4675">
          <cell r="A4675" t="str">
            <v>ZSH-120640</v>
          </cell>
          <cell r="BG4675" t="str">
            <v>Não Montado</v>
          </cell>
        </row>
        <row r="4676">
          <cell r="A4676" t="str">
            <v>ZSH-120641</v>
          </cell>
          <cell r="BG4676" t="str">
            <v>Não Montado</v>
          </cell>
        </row>
        <row r="4677">
          <cell r="A4677" t="str">
            <v>ZSH-120642</v>
          </cell>
          <cell r="BG4677" t="str">
            <v>Não Montado</v>
          </cell>
        </row>
        <row r="4678">
          <cell r="A4678" t="str">
            <v>ZSH-120643</v>
          </cell>
          <cell r="BG4678" t="str">
            <v>Não Montado</v>
          </cell>
        </row>
        <row r="4679">
          <cell r="A4679" t="str">
            <v>ZSH-120644</v>
          </cell>
          <cell r="BG4679" t="str">
            <v>Não Montado</v>
          </cell>
        </row>
        <row r="4680">
          <cell r="A4680" t="str">
            <v>ZSH-120645</v>
          </cell>
          <cell r="BG4680" t="str">
            <v>Não Montado</v>
          </cell>
        </row>
        <row r="4681">
          <cell r="A4681" t="str">
            <v>ZSH-120646</v>
          </cell>
          <cell r="BG4681" t="str">
            <v>Não Montado</v>
          </cell>
        </row>
        <row r="4682">
          <cell r="A4682" t="str">
            <v>ZSH-120647</v>
          </cell>
          <cell r="BG4682" t="str">
            <v>Não Montado</v>
          </cell>
        </row>
        <row r="4683">
          <cell r="A4683" t="str">
            <v>ZSH-120648</v>
          </cell>
          <cell r="BG4683" t="str">
            <v>Não Montado</v>
          </cell>
        </row>
        <row r="4684">
          <cell r="A4684" t="str">
            <v>ZSH-120649</v>
          </cell>
          <cell r="BG4684" t="str">
            <v>Não Montado</v>
          </cell>
        </row>
        <row r="4685">
          <cell r="A4685" t="str">
            <v>ZSH-120706A</v>
          </cell>
          <cell r="BG4685" t="str">
            <v>Não Montado</v>
          </cell>
        </row>
        <row r="4686">
          <cell r="A4686" t="str">
            <v>ZSH-120706B</v>
          </cell>
          <cell r="BG4686" t="str">
            <v>Não Montado</v>
          </cell>
        </row>
        <row r="4687">
          <cell r="A4687" t="str">
            <v>ZSH-120706C</v>
          </cell>
          <cell r="BG4687" t="str">
            <v>Não Montado</v>
          </cell>
        </row>
        <row r="4688">
          <cell r="A4688" t="str">
            <v>ZSH-120706D</v>
          </cell>
          <cell r="BG4688" t="str">
            <v>Não Montado</v>
          </cell>
        </row>
        <row r="4689">
          <cell r="A4689" t="str">
            <v>ZSH-120706E</v>
          </cell>
          <cell r="BG4689" t="str">
            <v>Não Montado</v>
          </cell>
        </row>
        <row r="4690">
          <cell r="A4690" t="str">
            <v>ZSH-120706F</v>
          </cell>
          <cell r="BG4690" t="str">
            <v>Não Montado</v>
          </cell>
        </row>
        <row r="4691">
          <cell r="A4691" t="str">
            <v>ZSH-120706G</v>
          </cell>
          <cell r="BG4691" t="str">
            <v>Não Montado</v>
          </cell>
        </row>
        <row r="4692">
          <cell r="A4692" t="str">
            <v>ZSH-120706H</v>
          </cell>
          <cell r="BG4692" t="str">
            <v>Não Montado</v>
          </cell>
        </row>
        <row r="4693">
          <cell r="A4693" t="str">
            <v>ZSH-120706J</v>
          </cell>
          <cell r="BG4693" t="str">
            <v>Não Montado</v>
          </cell>
        </row>
        <row r="4694">
          <cell r="A4694" t="str">
            <v>ZSH-120706K</v>
          </cell>
          <cell r="BG4694" t="str">
            <v>Não Montado</v>
          </cell>
        </row>
        <row r="4695">
          <cell r="A4695" t="str">
            <v>ZSH-120706L</v>
          </cell>
          <cell r="BG4695" t="str">
            <v>Não Montado</v>
          </cell>
        </row>
        <row r="4696">
          <cell r="A4696" t="str">
            <v>ZSH-120706M</v>
          </cell>
          <cell r="BG4696" t="str">
            <v>Não Montado</v>
          </cell>
        </row>
        <row r="4697">
          <cell r="A4697" t="str">
            <v>ZSH-120706N</v>
          </cell>
          <cell r="BG4697" t="str">
            <v>Não Montado</v>
          </cell>
        </row>
        <row r="4698">
          <cell r="A4698" t="str">
            <v>ZSH-120706P</v>
          </cell>
          <cell r="BG4698" t="str">
            <v>Não Montado</v>
          </cell>
        </row>
        <row r="4699">
          <cell r="A4699" t="str">
            <v>ZSH-120706Q</v>
          </cell>
          <cell r="BG4699" t="str">
            <v>Não Montado</v>
          </cell>
        </row>
        <row r="4700">
          <cell r="A4700" t="str">
            <v>ZSH-120707</v>
          </cell>
          <cell r="BG4700" t="str">
            <v>Não Montado</v>
          </cell>
        </row>
        <row r="4701">
          <cell r="A4701" t="str">
            <v>ZSH-120708</v>
          </cell>
          <cell r="BG4701" t="str">
            <v>Não Montado</v>
          </cell>
        </row>
        <row r="4702">
          <cell r="A4702" t="str">
            <v>ZSH-120709</v>
          </cell>
          <cell r="BG4702" t="str">
            <v>Não Montado</v>
          </cell>
        </row>
        <row r="4703">
          <cell r="A4703" t="str">
            <v>ZSH-120710A</v>
          </cell>
          <cell r="BG4703" t="str">
            <v>Não Montado</v>
          </cell>
        </row>
        <row r="4704">
          <cell r="A4704" t="str">
            <v>ZSH-120710B</v>
          </cell>
          <cell r="BG4704" t="str">
            <v>Não Montado</v>
          </cell>
        </row>
        <row r="4705">
          <cell r="A4705" t="str">
            <v>ZSH-120710C</v>
          </cell>
          <cell r="BG4705" t="str">
            <v>Não Montado</v>
          </cell>
        </row>
        <row r="4706">
          <cell r="A4706" t="str">
            <v>ZSH-120710D</v>
          </cell>
          <cell r="BG4706" t="str">
            <v>Não Montado</v>
          </cell>
        </row>
        <row r="4707">
          <cell r="A4707" t="str">
            <v>ZSH-120710E</v>
          </cell>
          <cell r="BG4707" t="str">
            <v>Não Montado</v>
          </cell>
        </row>
        <row r="4708">
          <cell r="A4708" t="str">
            <v>ZSH-120710F</v>
          </cell>
          <cell r="BG4708" t="str">
            <v>Não Montado</v>
          </cell>
        </row>
        <row r="4709">
          <cell r="A4709" t="str">
            <v>ZSH-120710G</v>
          </cell>
          <cell r="BG4709" t="str">
            <v>Não Montado</v>
          </cell>
        </row>
        <row r="4710">
          <cell r="A4710" t="str">
            <v>ZSH-120710H</v>
          </cell>
          <cell r="BG4710" t="str">
            <v>Não Montado</v>
          </cell>
        </row>
        <row r="4711">
          <cell r="A4711" t="str">
            <v>ZSH-120710J</v>
          </cell>
          <cell r="BG4711" t="str">
            <v>Não Montado</v>
          </cell>
        </row>
        <row r="4712">
          <cell r="A4712" t="str">
            <v>ZSH-120710K</v>
          </cell>
          <cell r="BG4712" t="str">
            <v>Não Montado</v>
          </cell>
        </row>
        <row r="4713">
          <cell r="A4713" t="str">
            <v>ZSH-120710L</v>
          </cell>
          <cell r="BG4713" t="str">
            <v>Não Montado</v>
          </cell>
        </row>
        <row r="4714">
          <cell r="A4714" t="str">
            <v>ZSH-120710M</v>
          </cell>
          <cell r="BG4714" t="str">
            <v>Não Montado</v>
          </cell>
        </row>
        <row r="4715">
          <cell r="A4715" t="str">
            <v>ZSH-120710N</v>
          </cell>
          <cell r="BG4715" t="str">
            <v>Não Montado</v>
          </cell>
        </row>
        <row r="4716">
          <cell r="A4716" t="str">
            <v>ZSH-120710P</v>
          </cell>
          <cell r="BG4716" t="str">
            <v>Não Montado</v>
          </cell>
        </row>
        <row r="4717">
          <cell r="A4717" t="str">
            <v>ZSH-120710Q</v>
          </cell>
          <cell r="BG4717" t="str">
            <v>Não Montado</v>
          </cell>
        </row>
        <row r="4718">
          <cell r="A4718" t="str">
            <v>ZSH-120712A</v>
          </cell>
          <cell r="BG4718" t="str">
            <v>Não Montado</v>
          </cell>
        </row>
        <row r="4719">
          <cell r="A4719" t="str">
            <v>ZSH-120712B</v>
          </cell>
          <cell r="BG4719" t="str">
            <v>Não Montado</v>
          </cell>
        </row>
        <row r="4720">
          <cell r="A4720" t="str">
            <v>ZSH-120712C</v>
          </cell>
          <cell r="BG4720" t="str">
            <v>Não Montado</v>
          </cell>
        </row>
        <row r="4721">
          <cell r="A4721" t="str">
            <v>ZSH-120712D</v>
          </cell>
          <cell r="BG4721" t="str">
            <v>Não Montado</v>
          </cell>
        </row>
        <row r="4722">
          <cell r="A4722" t="str">
            <v>ZSH-120712E</v>
          </cell>
          <cell r="BG4722" t="str">
            <v>Não Montado</v>
          </cell>
        </row>
        <row r="4723">
          <cell r="A4723" t="str">
            <v>ZSH-120712F</v>
          </cell>
          <cell r="BG4723" t="str">
            <v>Não Montado</v>
          </cell>
        </row>
        <row r="4724">
          <cell r="A4724" t="str">
            <v>ZSH-120712G</v>
          </cell>
          <cell r="BG4724" t="str">
            <v>Não Montado</v>
          </cell>
        </row>
        <row r="4725">
          <cell r="A4725" t="str">
            <v>ZSH-120712H</v>
          </cell>
          <cell r="BG4725" t="str">
            <v>Não Montado</v>
          </cell>
        </row>
        <row r="4726">
          <cell r="A4726" t="str">
            <v>ZSH-120712J</v>
          </cell>
          <cell r="BG4726" t="str">
            <v>Não Montado</v>
          </cell>
        </row>
        <row r="4727">
          <cell r="A4727" t="str">
            <v>ZSH-120712K</v>
          </cell>
          <cell r="BG4727" t="str">
            <v>Não Montado</v>
          </cell>
        </row>
        <row r="4728">
          <cell r="A4728" t="str">
            <v>ZSH-120712L</v>
          </cell>
          <cell r="BG4728" t="str">
            <v>Não Montado</v>
          </cell>
        </row>
        <row r="4729">
          <cell r="A4729" t="str">
            <v>ZSH-120712M</v>
          </cell>
          <cell r="BG4729" t="str">
            <v>Não Montado</v>
          </cell>
        </row>
        <row r="4730">
          <cell r="A4730" t="str">
            <v>ZSH-120712N</v>
          </cell>
          <cell r="BG4730" t="str">
            <v>Não Montado</v>
          </cell>
        </row>
        <row r="4731">
          <cell r="A4731" t="str">
            <v>ZSH-120712P</v>
          </cell>
          <cell r="BG4731" t="str">
            <v>Não Montado</v>
          </cell>
        </row>
        <row r="4732">
          <cell r="A4732" t="str">
            <v>ZSH-120712Q</v>
          </cell>
          <cell r="BG4732" t="str">
            <v>Não Montado</v>
          </cell>
        </row>
        <row r="4733">
          <cell r="A4733" t="str">
            <v>ZSH-120713A</v>
          </cell>
          <cell r="BG4733" t="str">
            <v>Não Montado</v>
          </cell>
        </row>
        <row r="4734">
          <cell r="A4734" t="str">
            <v>ZSH-120713B</v>
          </cell>
          <cell r="BG4734" t="str">
            <v>Não Montado</v>
          </cell>
        </row>
        <row r="4735">
          <cell r="A4735" t="str">
            <v>ZSH-120713C</v>
          </cell>
          <cell r="BG4735" t="str">
            <v>Não Montado</v>
          </cell>
        </row>
        <row r="4736">
          <cell r="A4736" t="str">
            <v>ZSH-120713D</v>
          </cell>
          <cell r="BG4736" t="str">
            <v>Não Montado</v>
          </cell>
        </row>
        <row r="4737">
          <cell r="A4737" t="str">
            <v>ZSH-120713E</v>
          </cell>
          <cell r="BG4737" t="str">
            <v>Não Montado</v>
          </cell>
        </row>
        <row r="4738">
          <cell r="A4738" t="str">
            <v>ZSH-120713F</v>
          </cell>
          <cell r="BG4738" t="str">
            <v>Não Montado</v>
          </cell>
        </row>
        <row r="4739">
          <cell r="A4739" t="str">
            <v>ZSH-120713G</v>
          </cell>
          <cell r="BG4739" t="str">
            <v>Não Montado</v>
          </cell>
        </row>
        <row r="4740">
          <cell r="A4740" t="str">
            <v>ZSH-120713H</v>
          </cell>
          <cell r="BG4740" t="str">
            <v>Não Montado</v>
          </cell>
        </row>
        <row r="4741">
          <cell r="A4741" t="str">
            <v>ZSH-120713J</v>
          </cell>
          <cell r="BG4741" t="str">
            <v>Não Montado</v>
          </cell>
        </row>
        <row r="4742">
          <cell r="A4742" t="str">
            <v>ZSH-120713K</v>
          </cell>
          <cell r="BG4742" t="str">
            <v>Não Montado</v>
          </cell>
        </row>
        <row r="4743">
          <cell r="A4743" t="str">
            <v>ZSH-120713L</v>
          </cell>
          <cell r="BG4743" t="str">
            <v>Não Montado</v>
          </cell>
        </row>
        <row r="4744">
          <cell r="A4744" t="str">
            <v>ZSH-120713M</v>
          </cell>
          <cell r="BG4744" t="str">
            <v>Não Montado</v>
          </cell>
        </row>
        <row r="4745">
          <cell r="A4745" t="str">
            <v>ZSH-120713N</v>
          </cell>
          <cell r="BG4745" t="str">
            <v>Não Montado</v>
          </cell>
        </row>
        <row r="4746">
          <cell r="A4746" t="str">
            <v>ZSH-120713P</v>
          </cell>
          <cell r="BG4746" t="str">
            <v>Não Montado</v>
          </cell>
        </row>
        <row r="4747">
          <cell r="A4747" t="str">
            <v>ZSH-120718</v>
          </cell>
          <cell r="BG4747" t="str">
            <v>Não Montado</v>
          </cell>
        </row>
        <row r="4748">
          <cell r="A4748" t="str">
            <v>ZSH-120720</v>
          </cell>
          <cell r="BG4748" t="str">
            <v>Não Montado</v>
          </cell>
        </row>
        <row r="4749">
          <cell r="A4749" t="str">
            <v>ZSH-120721</v>
          </cell>
          <cell r="BG4749" t="str">
            <v>Não Montado</v>
          </cell>
        </row>
        <row r="4750">
          <cell r="A4750" t="str">
            <v>ZSH-120722</v>
          </cell>
          <cell r="BG4750" t="str">
            <v>Não Montado</v>
          </cell>
        </row>
        <row r="4751">
          <cell r="A4751" t="str">
            <v>ZSH-120723</v>
          </cell>
          <cell r="BG4751" t="str">
            <v>Não Montado</v>
          </cell>
        </row>
        <row r="4752">
          <cell r="A4752" t="str">
            <v>ZSH-120724</v>
          </cell>
          <cell r="BG4752" t="str">
            <v>Não Montado</v>
          </cell>
        </row>
        <row r="4753">
          <cell r="A4753" t="str">
            <v>ZSH-120725</v>
          </cell>
          <cell r="BG4753" t="str">
            <v>Não Montado</v>
          </cell>
        </row>
        <row r="4754">
          <cell r="A4754" t="str">
            <v>ZSH-120726</v>
          </cell>
          <cell r="BG4754" t="str">
            <v>Não Montado</v>
          </cell>
        </row>
        <row r="4755">
          <cell r="A4755" t="str">
            <v>ZSH-120727</v>
          </cell>
          <cell r="BG4755" t="str">
            <v>Não Montado</v>
          </cell>
        </row>
        <row r="4756">
          <cell r="A4756" t="str">
            <v>ZSH-120728</v>
          </cell>
          <cell r="BG4756" t="str">
            <v>Não Montado</v>
          </cell>
        </row>
        <row r="4757">
          <cell r="A4757" t="str">
            <v>ZSH-120729</v>
          </cell>
          <cell r="BG4757" t="str">
            <v>Não Montado</v>
          </cell>
        </row>
        <row r="4758">
          <cell r="A4758" t="str">
            <v>ZSH-120730</v>
          </cell>
          <cell r="BG4758" t="str">
            <v>Não Montado</v>
          </cell>
        </row>
        <row r="4759">
          <cell r="A4759" t="str">
            <v>ZSH-120731</v>
          </cell>
          <cell r="BG4759" t="str">
            <v>Não Montado</v>
          </cell>
        </row>
        <row r="4760">
          <cell r="A4760" t="str">
            <v>ZSH-120732</v>
          </cell>
          <cell r="BG4760" t="str">
            <v>Não Montado</v>
          </cell>
        </row>
        <row r="4761">
          <cell r="A4761" t="str">
            <v>ZSH-120733</v>
          </cell>
          <cell r="BG4761" t="str">
            <v>Não Montado</v>
          </cell>
        </row>
        <row r="4762">
          <cell r="A4762" t="str">
            <v>ZSH-120734</v>
          </cell>
          <cell r="BG4762" t="str">
            <v>Não Montado</v>
          </cell>
        </row>
        <row r="4763">
          <cell r="A4763" t="str">
            <v>ZSH-120735</v>
          </cell>
          <cell r="BG4763" t="str">
            <v>Não Montado</v>
          </cell>
        </row>
        <row r="4764">
          <cell r="A4764" t="str">
            <v>ZSH-120736</v>
          </cell>
          <cell r="BG4764" t="str">
            <v>Não Montado</v>
          </cell>
        </row>
        <row r="4765">
          <cell r="A4765" t="str">
            <v>ZSH-120737</v>
          </cell>
          <cell r="BG4765" t="str">
            <v>Não Montado</v>
          </cell>
        </row>
        <row r="4766">
          <cell r="A4766" t="str">
            <v>ZSH-120738</v>
          </cell>
          <cell r="BG4766" t="str">
            <v>Não Montado</v>
          </cell>
        </row>
        <row r="4767">
          <cell r="A4767" t="str">
            <v>ZSH-120739</v>
          </cell>
          <cell r="BG4767" t="str">
            <v>Não Montado</v>
          </cell>
        </row>
        <row r="4768">
          <cell r="A4768" t="str">
            <v>ZSH-120740</v>
          </cell>
          <cell r="BG4768" t="str">
            <v>Não Montado</v>
          </cell>
        </row>
        <row r="4769">
          <cell r="A4769" t="str">
            <v>ZSH-120741</v>
          </cell>
          <cell r="BG4769" t="str">
            <v>Não Montado</v>
          </cell>
        </row>
        <row r="4770">
          <cell r="A4770" t="str">
            <v>ZSH-120742</v>
          </cell>
          <cell r="BG4770" t="str">
            <v>Não Montado</v>
          </cell>
        </row>
        <row r="4771">
          <cell r="A4771" t="str">
            <v>ZSH-120743</v>
          </cell>
          <cell r="BG4771" t="str">
            <v>Não Montado</v>
          </cell>
        </row>
        <row r="4772">
          <cell r="A4772" t="str">
            <v>ZSH-120744</v>
          </cell>
          <cell r="BG4772" t="str">
            <v>Não Montado</v>
          </cell>
        </row>
        <row r="4773">
          <cell r="A4773" t="str">
            <v>ZSH-120745</v>
          </cell>
          <cell r="BG4773" t="str">
            <v>Não Montado</v>
          </cell>
        </row>
        <row r="4774">
          <cell r="A4774" t="str">
            <v>ZSH-120746</v>
          </cell>
          <cell r="BG4774" t="str">
            <v>Não Montado</v>
          </cell>
        </row>
        <row r="4775">
          <cell r="A4775" t="str">
            <v>ZSH-120901</v>
          </cell>
          <cell r="BG4775" t="str">
            <v>Não Montado</v>
          </cell>
        </row>
        <row r="4776">
          <cell r="A4776" t="str">
            <v>ZSH-120902</v>
          </cell>
          <cell r="BG4776" t="str">
            <v>Não Montado</v>
          </cell>
        </row>
        <row r="4777">
          <cell r="A4777" t="str">
            <v>ZSH-120951</v>
          </cell>
          <cell r="BG4777" t="str">
            <v>Não Montado</v>
          </cell>
        </row>
        <row r="4778">
          <cell r="A4778" t="str">
            <v>ZSH-120954</v>
          </cell>
          <cell r="BG4778" t="str">
            <v>Não Montado</v>
          </cell>
        </row>
        <row r="4779">
          <cell r="A4779" t="str">
            <v>ZSH-120956</v>
          </cell>
          <cell r="BG4779" t="str">
            <v>Não Montado</v>
          </cell>
        </row>
        <row r="4780">
          <cell r="A4780" t="str">
            <v>ZSH-121001</v>
          </cell>
          <cell r="BG4780" t="str">
            <v>Montado</v>
          </cell>
        </row>
        <row r="4781">
          <cell r="A4781" t="str">
            <v>ZSH-121002</v>
          </cell>
          <cell r="BG4781" t="str">
            <v>Não Montado</v>
          </cell>
        </row>
        <row r="4782">
          <cell r="A4782" t="str">
            <v>ZSH-121003</v>
          </cell>
          <cell r="BG4782" t="str">
            <v>Montado</v>
          </cell>
        </row>
        <row r="4783">
          <cell r="A4783" t="str">
            <v>ZSH-121004</v>
          </cell>
          <cell r="BG4783" t="str">
            <v>Montado</v>
          </cell>
        </row>
        <row r="4784">
          <cell r="A4784" t="str">
            <v>ZSH-121010</v>
          </cell>
          <cell r="BG4784" t="str">
            <v>Montado</v>
          </cell>
        </row>
        <row r="4785">
          <cell r="A4785" t="str">
            <v>ZSH-121011</v>
          </cell>
          <cell r="BG4785" t="str">
            <v>Montado</v>
          </cell>
        </row>
        <row r="4786">
          <cell r="A4786" t="str">
            <v>ZSH-121016</v>
          </cell>
          <cell r="BG4786" t="str">
            <v>Montado</v>
          </cell>
        </row>
        <row r="4787">
          <cell r="A4787" t="str">
            <v>ZSH-121018</v>
          </cell>
          <cell r="BG4787" t="str">
            <v>Montado</v>
          </cell>
        </row>
        <row r="4788">
          <cell r="A4788" t="str">
            <v>ZSH-121023</v>
          </cell>
          <cell r="BG4788" t="str">
            <v>Montado</v>
          </cell>
        </row>
        <row r="4789">
          <cell r="A4789" t="str">
            <v>ZSH-121025</v>
          </cell>
          <cell r="BG4789" t="str">
            <v>Montado</v>
          </cell>
        </row>
        <row r="4790">
          <cell r="A4790" t="str">
            <v>ZSH-121029</v>
          </cell>
          <cell r="BG4790" t="str">
            <v>Montado</v>
          </cell>
        </row>
        <row r="4791">
          <cell r="A4791" t="str">
            <v>ZSH-121032</v>
          </cell>
          <cell r="BG4791" t="str">
            <v>Montado</v>
          </cell>
        </row>
        <row r="4792">
          <cell r="A4792" t="str">
            <v>ZSH-121033</v>
          </cell>
          <cell r="BG4792" t="str">
            <v>Montado</v>
          </cell>
        </row>
        <row r="4793">
          <cell r="A4793" t="str">
            <v>ZSH-121034</v>
          </cell>
          <cell r="BG4793" t="str">
            <v>Montado</v>
          </cell>
        </row>
        <row r="4794">
          <cell r="A4794" t="str">
            <v>ZSH-121041</v>
          </cell>
          <cell r="BG4794" t="str">
            <v>Montado</v>
          </cell>
        </row>
        <row r="4795">
          <cell r="A4795" t="str">
            <v>ZSH-121044</v>
          </cell>
          <cell r="BG4795" t="str">
            <v>Montado</v>
          </cell>
        </row>
        <row r="4796">
          <cell r="A4796" t="str">
            <v>ZSH-121047</v>
          </cell>
          <cell r="BG4796" t="str">
            <v>Montado</v>
          </cell>
        </row>
        <row r="4797">
          <cell r="A4797" t="str">
            <v>ZSH-121054</v>
          </cell>
          <cell r="BG4797" t="str">
            <v>Montado</v>
          </cell>
        </row>
        <row r="4798">
          <cell r="A4798" t="str">
            <v>ZSH-121055</v>
          </cell>
          <cell r="BG4798" t="str">
            <v>Montado</v>
          </cell>
        </row>
        <row r="4799">
          <cell r="A4799" t="str">
            <v>ZSH-121056</v>
          </cell>
          <cell r="BG4799" t="str">
            <v>Montado</v>
          </cell>
        </row>
        <row r="4800">
          <cell r="A4800" t="str">
            <v>ZSH-121057</v>
          </cell>
          <cell r="BG4800" t="str">
            <v>Montado</v>
          </cell>
        </row>
        <row r="4801">
          <cell r="A4801" t="str">
            <v>ZSH-122024</v>
          </cell>
          <cell r="BG4801" t="str">
            <v>Não Montado</v>
          </cell>
        </row>
        <row r="4802">
          <cell r="A4802" t="str">
            <v>ZSH-122038</v>
          </cell>
          <cell r="BG4802" t="str">
            <v>Não Montado</v>
          </cell>
        </row>
        <row r="4803">
          <cell r="A4803" t="str">
            <v>ZSH-122500</v>
          </cell>
          <cell r="BG4803" t="str">
            <v>Montado</v>
          </cell>
        </row>
        <row r="4804">
          <cell r="A4804" t="str">
            <v>ZSH-122501</v>
          </cell>
          <cell r="BG4804" t="str">
            <v>Não Montado</v>
          </cell>
        </row>
        <row r="4805">
          <cell r="A4805" t="str">
            <v>ZSH-122502</v>
          </cell>
          <cell r="BG4805" t="str">
            <v>Não Montado</v>
          </cell>
        </row>
        <row r="4806">
          <cell r="A4806" t="str">
            <v>ZSH-122503</v>
          </cell>
          <cell r="BG4806" t="str">
            <v>Montado</v>
          </cell>
        </row>
        <row r="4807">
          <cell r="A4807" t="str">
            <v>ZSH-122504</v>
          </cell>
          <cell r="BG4807" t="str">
            <v>Montado</v>
          </cell>
        </row>
        <row r="4808">
          <cell r="A4808" t="str">
            <v>ZSH-122505</v>
          </cell>
          <cell r="BG4808" t="str">
            <v>Não Montado</v>
          </cell>
        </row>
        <row r="4809">
          <cell r="A4809" t="str">
            <v>ZSH-122506</v>
          </cell>
          <cell r="BG4809" t="str">
            <v>Montado</v>
          </cell>
        </row>
        <row r="4810">
          <cell r="A4810" t="str">
            <v>ZSH-122507</v>
          </cell>
          <cell r="BG4810" t="str">
            <v>Montado</v>
          </cell>
        </row>
        <row r="4811">
          <cell r="A4811" t="str">
            <v>ZSH-122508</v>
          </cell>
          <cell r="BG4811" t="str">
            <v>Montado</v>
          </cell>
        </row>
        <row r="4812">
          <cell r="A4812" t="str">
            <v>ZSH-122509</v>
          </cell>
          <cell r="BG4812" t="str">
            <v>Não Montado</v>
          </cell>
        </row>
        <row r="4813">
          <cell r="A4813" t="str">
            <v>ZSH-122510</v>
          </cell>
          <cell r="BG4813" t="str">
            <v>Não Montado</v>
          </cell>
        </row>
        <row r="4814">
          <cell r="A4814" t="str">
            <v>ZSH-122511</v>
          </cell>
          <cell r="BG4814" t="str">
            <v>Não Montado</v>
          </cell>
        </row>
        <row r="4815">
          <cell r="A4815" t="str">
            <v>ZSH-122512</v>
          </cell>
          <cell r="BG4815" t="str">
            <v>Não Montado</v>
          </cell>
        </row>
        <row r="4816">
          <cell r="A4816" t="str">
            <v>ZSH-122513</v>
          </cell>
          <cell r="BG4816" t="str">
            <v>Não Montado</v>
          </cell>
        </row>
        <row r="4817">
          <cell r="A4817" t="str">
            <v>ZSH-122514</v>
          </cell>
          <cell r="BG4817" t="str">
            <v>Não Montado</v>
          </cell>
        </row>
        <row r="4818">
          <cell r="A4818" t="str">
            <v>ZSH-122515</v>
          </cell>
          <cell r="BG4818" t="str">
            <v>Não Montado</v>
          </cell>
        </row>
        <row r="4819">
          <cell r="A4819" t="str">
            <v>ZSH-122516</v>
          </cell>
          <cell r="BG4819" t="str">
            <v>Não Montado</v>
          </cell>
        </row>
        <row r="4820">
          <cell r="A4820" t="str">
            <v>ZSH-122517</v>
          </cell>
          <cell r="BG4820" t="str">
            <v>Não Montado</v>
          </cell>
        </row>
        <row r="4821">
          <cell r="A4821" t="str">
            <v>ZSH-122518</v>
          </cell>
          <cell r="BG4821" t="str">
            <v>Não Montado</v>
          </cell>
        </row>
        <row r="4822">
          <cell r="A4822" t="str">
            <v>ZSH-122519</v>
          </cell>
          <cell r="BG4822" t="str">
            <v>Montado</v>
          </cell>
        </row>
        <row r="4823">
          <cell r="A4823" t="str">
            <v>ZSH-122520</v>
          </cell>
          <cell r="BG4823" t="str">
            <v>Montado</v>
          </cell>
        </row>
        <row r="4824">
          <cell r="A4824" t="str">
            <v>ZSH-122521</v>
          </cell>
          <cell r="BG4824" t="str">
            <v>Montado</v>
          </cell>
        </row>
        <row r="4825">
          <cell r="A4825" t="str">
            <v>ZSH-122522</v>
          </cell>
          <cell r="BG4825" t="str">
            <v>Montado</v>
          </cell>
        </row>
        <row r="4826">
          <cell r="A4826" t="str">
            <v>ZSH-122523</v>
          </cell>
          <cell r="BG4826" t="str">
            <v>Não Montado</v>
          </cell>
        </row>
        <row r="4827">
          <cell r="A4827" t="str">
            <v>ZSH-122524</v>
          </cell>
          <cell r="BG4827" t="str">
            <v>Montado</v>
          </cell>
        </row>
        <row r="4828">
          <cell r="A4828" t="str">
            <v>ZSH-122525</v>
          </cell>
          <cell r="BG4828" t="str">
            <v>Não Montado</v>
          </cell>
        </row>
        <row r="4829">
          <cell r="A4829" t="str">
            <v>ZSH-122526</v>
          </cell>
          <cell r="BG4829" t="str">
            <v>Não Montado</v>
          </cell>
        </row>
        <row r="4830">
          <cell r="A4830" t="str">
            <v>ZSH-122527</v>
          </cell>
          <cell r="BG4830" t="str">
            <v>Montado</v>
          </cell>
        </row>
        <row r="4831">
          <cell r="A4831" t="str">
            <v>ZSH-122528</v>
          </cell>
          <cell r="BG4831" t="str">
            <v>Não Montado</v>
          </cell>
        </row>
        <row r="4832">
          <cell r="A4832" t="str">
            <v>ZSH-122529</v>
          </cell>
          <cell r="BG4832" t="str">
            <v>Montado</v>
          </cell>
        </row>
        <row r="4833">
          <cell r="A4833" t="str">
            <v>ZSH-122530</v>
          </cell>
          <cell r="BG4833" t="str">
            <v>Programar</v>
          </cell>
        </row>
        <row r="4834">
          <cell r="A4834" t="str">
            <v>ZSH-122531</v>
          </cell>
          <cell r="BG4834" t="str">
            <v>Programar</v>
          </cell>
        </row>
        <row r="4835">
          <cell r="A4835" t="str">
            <v>ZSL-120001</v>
          </cell>
          <cell r="BG4835" t="str">
            <v>Não Montado</v>
          </cell>
        </row>
        <row r="4836">
          <cell r="A4836" t="str">
            <v>ZSL-120002</v>
          </cell>
          <cell r="BG4836" t="str">
            <v>Não Montado</v>
          </cell>
        </row>
        <row r="4837">
          <cell r="A4837" t="str">
            <v>ZSL-120006</v>
          </cell>
          <cell r="BG4837" t="str">
            <v>Não Montado</v>
          </cell>
        </row>
        <row r="4838">
          <cell r="A4838" t="str">
            <v>ZSL-120008</v>
          </cell>
          <cell r="BG4838" t="str">
            <v>Não Montado</v>
          </cell>
        </row>
        <row r="4839">
          <cell r="A4839" t="str">
            <v>ZSL-120016</v>
          </cell>
          <cell r="BG4839" t="str">
            <v>Não Montado</v>
          </cell>
        </row>
        <row r="4840">
          <cell r="A4840" t="str">
            <v>ZSL-120050</v>
          </cell>
          <cell r="BG4840" t="str">
            <v>Não Montado</v>
          </cell>
        </row>
        <row r="4841">
          <cell r="A4841" t="str">
            <v>ZSL-120056</v>
          </cell>
          <cell r="BG4841" t="str">
            <v>Não Montado</v>
          </cell>
        </row>
        <row r="4842">
          <cell r="A4842" t="str">
            <v>ZSL-120057</v>
          </cell>
          <cell r="BG4842" t="str">
            <v>Não Montado</v>
          </cell>
        </row>
        <row r="4843">
          <cell r="A4843" t="str">
            <v>ZSL-120058</v>
          </cell>
          <cell r="BG4843" t="str">
            <v>Não Montado</v>
          </cell>
        </row>
        <row r="4844">
          <cell r="A4844" t="str">
            <v>ZSL-120060</v>
          </cell>
          <cell r="BG4844" t="str">
            <v>Não Montado</v>
          </cell>
        </row>
        <row r="4845">
          <cell r="A4845" t="str">
            <v>ZSL-120061</v>
          </cell>
          <cell r="BG4845" t="str">
            <v>Não Montado</v>
          </cell>
        </row>
        <row r="4846">
          <cell r="A4846" t="str">
            <v>ZSL-120065</v>
          </cell>
          <cell r="BG4846" t="str">
            <v>Não Montado</v>
          </cell>
        </row>
        <row r="4847">
          <cell r="A4847" t="str">
            <v>ZSL-120068</v>
          </cell>
          <cell r="BG4847" t="str">
            <v>Não Montado</v>
          </cell>
        </row>
        <row r="4848">
          <cell r="A4848" t="str">
            <v>ZSL-120069</v>
          </cell>
          <cell r="BG4848" t="str">
            <v>Não Montado</v>
          </cell>
        </row>
        <row r="4849">
          <cell r="A4849" t="str">
            <v>ZSL-120070</v>
          </cell>
          <cell r="BG4849" t="str">
            <v>Não Montado</v>
          </cell>
        </row>
        <row r="4850">
          <cell r="A4850" t="str">
            <v>ZSL-120071</v>
          </cell>
          <cell r="BG4850" t="str">
            <v>Não Montado</v>
          </cell>
        </row>
        <row r="4851">
          <cell r="A4851" t="str">
            <v>ZSL-120077</v>
          </cell>
          <cell r="BG4851" t="str">
            <v>Não Montado</v>
          </cell>
        </row>
        <row r="4852">
          <cell r="A4852" t="str">
            <v>ZSL-120078</v>
          </cell>
          <cell r="BG4852" t="str">
            <v>Não Montado</v>
          </cell>
        </row>
        <row r="4853">
          <cell r="A4853" t="str">
            <v>ZSL-120082</v>
          </cell>
          <cell r="BG4853" t="str">
            <v>Não Montado</v>
          </cell>
        </row>
        <row r="4854">
          <cell r="A4854" t="str">
            <v>ZSL-120083</v>
          </cell>
          <cell r="BG4854" t="str">
            <v>Não Montado</v>
          </cell>
        </row>
        <row r="4855">
          <cell r="A4855" t="str">
            <v>ZSL-120084</v>
          </cell>
          <cell r="BG4855" t="str">
            <v>Não Montado</v>
          </cell>
        </row>
        <row r="4856">
          <cell r="A4856" t="str">
            <v>ZSL-120085</v>
          </cell>
          <cell r="BG4856" t="str">
            <v>Não Montado</v>
          </cell>
        </row>
        <row r="4857">
          <cell r="A4857" t="str">
            <v>ZSL-120112</v>
          </cell>
          <cell r="BG4857" t="str">
            <v>Não Montado</v>
          </cell>
        </row>
        <row r="4858">
          <cell r="A4858" t="str">
            <v>ZSL-120113</v>
          </cell>
          <cell r="BG4858" t="str">
            <v>Não Montado</v>
          </cell>
        </row>
        <row r="4859">
          <cell r="A4859" t="str">
            <v>ZSL-120114</v>
          </cell>
          <cell r="BG4859" t="str">
            <v>Não Montado</v>
          </cell>
        </row>
        <row r="4860">
          <cell r="A4860" t="str">
            <v>ZSL-120115</v>
          </cell>
          <cell r="BG4860" t="str">
            <v>Não Montado</v>
          </cell>
        </row>
        <row r="4861">
          <cell r="A4861" t="str">
            <v>ZSL-120116</v>
          </cell>
          <cell r="BG4861" t="str">
            <v>Não Montado</v>
          </cell>
        </row>
        <row r="4862">
          <cell r="A4862" t="str">
            <v>ZSL-120117</v>
          </cell>
          <cell r="BG4862" t="str">
            <v>Não Montado</v>
          </cell>
        </row>
        <row r="4863">
          <cell r="A4863" t="str">
            <v>ZSL-120437</v>
          </cell>
          <cell r="BG4863" t="str">
            <v>Não Montado</v>
          </cell>
        </row>
        <row r="4864">
          <cell r="A4864" t="str">
            <v>ZSL-120438</v>
          </cell>
          <cell r="BG4864" t="str">
            <v>Não Montado</v>
          </cell>
        </row>
        <row r="4865">
          <cell r="A4865" t="str">
            <v>ZSL-120604</v>
          </cell>
          <cell r="BG4865" t="str">
            <v>Não Montado</v>
          </cell>
        </row>
        <row r="4866">
          <cell r="A4866" t="str">
            <v>ZSL-120606A</v>
          </cell>
          <cell r="BG4866" t="str">
            <v>Não Montado</v>
          </cell>
        </row>
        <row r="4867">
          <cell r="A4867" t="str">
            <v>ZSL-120606B</v>
          </cell>
          <cell r="BG4867" t="str">
            <v>Não Montado</v>
          </cell>
        </row>
        <row r="4868">
          <cell r="A4868" t="str">
            <v>ZSL-120606C</v>
          </cell>
          <cell r="BG4868" t="str">
            <v>Não Montado</v>
          </cell>
        </row>
        <row r="4869">
          <cell r="A4869" t="str">
            <v>ZSL-120606D</v>
          </cell>
          <cell r="BG4869" t="str">
            <v>Não Montado</v>
          </cell>
        </row>
        <row r="4870">
          <cell r="A4870" t="str">
            <v>ZSL-120606E</v>
          </cell>
          <cell r="BG4870" t="str">
            <v>Não Montado</v>
          </cell>
        </row>
        <row r="4871">
          <cell r="A4871" t="str">
            <v>ZSL-120606F</v>
          </cell>
          <cell r="BG4871" t="str">
            <v>Não Montado</v>
          </cell>
        </row>
        <row r="4872">
          <cell r="A4872" t="str">
            <v>ZSL-120606G</v>
          </cell>
          <cell r="BG4872" t="str">
            <v>Não Montado</v>
          </cell>
        </row>
        <row r="4873">
          <cell r="A4873" t="str">
            <v>ZSL-120606H</v>
          </cell>
          <cell r="BG4873" t="str">
            <v>Não Montado</v>
          </cell>
        </row>
        <row r="4874">
          <cell r="A4874" t="str">
            <v>ZSL-120606J</v>
          </cell>
          <cell r="BG4874" t="str">
            <v>Não Montado</v>
          </cell>
        </row>
        <row r="4875">
          <cell r="A4875" t="str">
            <v>ZSL-120606K</v>
          </cell>
          <cell r="BG4875" t="str">
            <v>Não Montado</v>
          </cell>
        </row>
        <row r="4876">
          <cell r="A4876" t="str">
            <v>ZSL-120606L</v>
          </cell>
          <cell r="BG4876" t="str">
            <v>Não Montado</v>
          </cell>
        </row>
        <row r="4877">
          <cell r="A4877" t="str">
            <v>ZSL-120606M</v>
          </cell>
          <cell r="BG4877" t="str">
            <v>Não Montado</v>
          </cell>
        </row>
        <row r="4878">
          <cell r="A4878" t="str">
            <v>ZSL-120606N</v>
          </cell>
          <cell r="BG4878" t="str">
            <v>Não Montado</v>
          </cell>
        </row>
        <row r="4879">
          <cell r="A4879" t="str">
            <v>ZSL-120606P</v>
          </cell>
          <cell r="BG4879" t="str">
            <v>Não Montado</v>
          </cell>
        </row>
        <row r="4880">
          <cell r="A4880" t="str">
            <v>ZSL-120606Q</v>
          </cell>
          <cell r="BG4880" t="str">
            <v>Não Montado</v>
          </cell>
        </row>
        <row r="4881">
          <cell r="A4881" t="str">
            <v>ZSL-120608</v>
          </cell>
          <cell r="BG4881" t="str">
            <v>Não Montado</v>
          </cell>
        </row>
        <row r="4882">
          <cell r="A4882" t="str">
            <v>ZSL-120609</v>
          </cell>
          <cell r="BG4882" t="str">
            <v>Não Montado</v>
          </cell>
        </row>
        <row r="4883">
          <cell r="A4883" t="str">
            <v>ZSL-120610A</v>
          </cell>
          <cell r="BG4883" t="str">
            <v>Não Montado</v>
          </cell>
        </row>
        <row r="4884">
          <cell r="A4884" t="str">
            <v>ZSL-120610B</v>
          </cell>
          <cell r="BG4884" t="str">
            <v>Não Montado</v>
          </cell>
        </row>
        <row r="4885">
          <cell r="A4885" t="str">
            <v>ZSL-120610C</v>
          </cell>
          <cell r="BG4885" t="str">
            <v>Não Montado</v>
          </cell>
        </row>
        <row r="4886">
          <cell r="A4886" t="str">
            <v>ZSL-120610D</v>
          </cell>
          <cell r="BG4886" t="str">
            <v>Não Montado</v>
          </cell>
        </row>
        <row r="4887">
          <cell r="A4887" t="str">
            <v>ZSL-120610E</v>
          </cell>
          <cell r="BG4887" t="str">
            <v>Não Montado</v>
          </cell>
        </row>
        <row r="4888">
          <cell r="A4888" t="str">
            <v>ZSL-120610F</v>
          </cell>
          <cell r="BG4888" t="str">
            <v>Não Montado</v>
          </cell>
        </row>
        <row r="4889">
          <cell r="A4889" t="str">
            <v>ZSL-120610G</v>
          </cell>
          <cell r="BG4889" t="str">
            <v>Não Montado</v>
          </cell>
        </row>
        <row r="4890">
          <cell r="A4890" t="str">
            <v>ZSL-120610H</v>
          </cell>
          <cell r="BG4890" t="str">
            <v>Não Montado</v>
          </cell>
        </row>
        <row r="4891">
          <cell r="A4891" t="str">
            <v>ZSL-120610J</v>
          </cell>
          <cell r="BG4891" t="str">
            <v>Não Montado</v>
          </cell>
        </row>
        <row r="4892">
          <cell r="A4892" t="str">
            <v>ZSL-120610K</v>
          </cell>
          <cell r="BG4892" t="str">
            <v>Não Montado</v>
          </cell>
        </row>
        <row r="4893">
          <cell r="A4893" t="str">
            <v>ZSL-120610L</v>
          </cell>
          <cell r="BG4893" t="str">
            <v>Não Montado</v>
          </cell>
        </row>
        <row r="4894">
          <cell r="A4894" t="str">
            <v>ZSL-120610M</v>
          </cell>
          <cell r="BG4894" t="str">
            <v>Não Montado</v>
          </cell>
        </row>
        <row r="4895">
          <cell r="A4895" t="str">
            <v>ZSL-120610N</v>
          </cell>
          <cell r="BG4895" t="str">
            <v>Não Montado</v>
          </cell>
        </row>
        <row r="4896">
          <cell r="A4896" t="str">
            <v>ZSL-120610P</v>
          </cell>
          <cell r="BG4896" t="str">
            <v>Não Montado</v>
          </cell>
        </row>
        <row r="4897">
          <cell r="A4897" t="str">
            <v>ZSL-120610Q</v>
          </cell>
          <cell r="BG4897" t="str">
            <v>Não Montado</v>
          </cell>
        </row>
        <row r="4898">
          <cell r="A4898" t="str">
            <v>ZSL-120612A</v>
          </cell>
          <cell r="BG4898" t="str">
            <v>Não Montado</v>
          </cell>
        </row>
        <row r="4899">
          <cell r="A4899" t="str">
            <v>ZSL-120612B</v>
          </cell>
          <cell r="BG4899" t="str">
            <v>Não Montado</v>
          </cell>
        </row>
        <row r="4900">
          <cell r="A4900" t="str">
            <v>ZSL-120612C</v>
          </cell>
          <cell r="BG4900" t="str">
            <v>Não Montado</v>
          </cell>
        </row>
        <row r="4901">
          <cell r="A4901" t="str">
            <v>ZSL-120612D</v>
          </cell>
          <cell r="BG4901" t="str">
            <v>Não Montado</v>
          </cell>
        </row>
        <row r="4902">
          <cell r="A4902" t="str">
            <v>ZSL-120612E</v>
          </cell>
          <cell r="BG4902" t="str">
            <v>Não Montado</v>
          </cell>
        </row>
        <row r="4903">
          <cell r="A4903" t="str">
            <v>ZSL-120612F</v>
          </cell>
          <cell r="BG4903" t="str">
            <v>Não Montado</v>
          </cell>
        </row>
        <row r="4904">
          <cell r="A4904" t="str">
            <v>ZSL-120612G</v>
          </cell>
          <cell r="BG4904" t="str">
            <v>Não Montado</v>
          </cell>
        </row>
        <row r="4905">
          <cell r="A4905" t="str">
            <v>ZSL-120612H</v>
          </cell>
          <cell r="BG4905" t="str">
            <v>Não Montado</v>
          </cell>
        </row>
        <row r="4906">
          <cell r="A4906" t="str">
            <v>ZSL-120612J</v>
          </cell>
          <cell r="BG4906" t="str">
            <v>Não Montado</v>
          </cell>
        </row>
        <row r="4907">
          <cell r="A4907" t="str">
            <v>ZSL-120612K</v>
          </cell>
          <cell r="BG4907" t="str">
            <v>Não Montado</v>
          </cell>
        </row>
        <row r="4908">
          <cell r="A4908" t="str">
            <v>ZSL-120612L</v>
          </cell>
          <cell r="BG4908" t="str">
            <v>Não Montado</v>
          </cell>
        </row>
        <row r="4909">
          <cell r="A4909" t="str">
            <v>ZSL-120612M</v>
          </cell>
          <cell r="BG4909" t="str">
            <v>Não Montado</v>
          </cell>
        </row>
        <row r="4910">
          <cell r="A4910" t="str">
            <v>ZSL-120612N</v>
          </cell>
          <cell r="BG4910" t="str">
            <v>Não Montado</v>
          </cell>
        </row>
        <row r="4911">
          <cell r="A4911" t="str">
            <v>ZSL-120612P</v>
          </cell>
          <cell r="BG4911" t="str">
            <v>Não Montado</v>
          </cell>
        </row>
        <row r="4912">
          <cell r="A4912" t="str">
            <v>ZSL-120612Q</v>
          </cell>
          <cell r="BG4912" t="str">
            <v>Não Montado</v>
          </cell>
        </row>
        <row r="4913">
          <cell r="A4913" t="str">
            <v>ZSL-120613A</v>
          </cell>
          <cell r="BG4913" t="str">
            <v>Não Montado</v>
          </cell>
        </row>
        <row r="4914">
          <cell r="A4914" t="str">
            <v>ZSL-120613B</v>
          </cell>
          <cell r="BG4914" t="str">
            <v>Não Montado</v>
          </cell>
        </row>
        <row r="4915">
          <cell r="A4915" t="str">
            <v>ZSL-120613C</v>
          </cell>
          <cell r="BG4915" t="str">
            <v>Não Montado</v>
          </cell>
        </row>
        <row r="4916">
          <cell r="A4916" t="str">
            <v>ZSL-120613D</v>
          </cell>
          <cell r="BG4916" t="str">
            <v>Não Montado</v>
          </cell>
        </row>
        <row r="4917">
          <cell r="A4917" t="str">
            <v>ZSL-120613E</v>
          </cell>
          <cell r="BG4917" t="str">
            <v>Não Montado</v>
          </cell>
        </row>
        <row r="4918">
          <cell r="A4918" t="str">
            <v>ZSL-120613F</v>
          </cell>
          <cell r="BG4918" t="str">
            <v>Não Montado</v>
          </cell>
        </row>
        <row r="4919">
          <cell r="A4919" t="str">
            <v>ZSL-120613G</v>
          </cell>
          <cell r="BG4919" t="str">
            <v>Não Montado</v>
          </cell>
        </row>
        <row r="4920">
          <cell r="A4920" t="str">
            <v>ZSL-120613H</v>
          </cell>
          <cell r="BG4920" t="str">
            <v>Não Montado</v>
          </cell>
        </row>
        <row r="4921">
          <cell r="A4921" t="str">
            <v>ZSL-120613J</v>
          </cell>
          <cell r="BG4921" t="str">
            <v>Não Montado</v>
          </cell>
        </row>
        <row r="4922">
          <cell r="A4922" t="str">
            <v>ZSL-120613L</v>
          </cell>
          <cell r="BG4922" t="str">
            <v>Não Montado</v>
          </cell>
        </row>
        <row r="4923">
          <cell r="A4923" t="str">
            <v>ZSL-120613M</v>
          </cell>
          <cell r="BG4923" t="str">
            <v>Não Montado</v>
          </cell>
        </row>
        <row r="4924">
          <cell r="A4924" t="str">
            <v>ZSL-120613N</v>
          </cell>
          <cell r="BG4924" t="str">
            <v>Não Montado</v>
          </cell>
        </row>
        <row r="4925">
          <cell r="A4925" t="str">
            <v>ZSL-120613P</v>
          </cell>
          <cell r="BG4925" t="str">
            <v>Não Montado</v>
          </cell>
        </row>
        <row r="4926">
          <cell r="A4926" t="str">
            <v>ZSL-120613Q</v>
          </cell>
          <cell r="BG4926" t="str">
            <v>Não Montado</v>
          </cell>
        </row>
        <row r="4927">
          <cell r="A4927" t="str">
            <v>ZSL-120616</v>
          </cell>
          <cell r="BG4927" t="str">
            <v>Não Montado</v>
          </cell>
        </row>
        <row r="4928">
          <cell r="A4928" t="str">
            <v>ZSL-120617A</v>
          </cell>
          <cell r="BG4928" t="str">
            <v>Não Montado</v>
          </cell>
        </row>
        <row r="4929">
          <cell r="A4929" t="str">
            <v>ZSL-120618</v>
          </cell>
          <cell r="BG4929" t="str">
            <v>Não Montado</v>
          </cell>
        </row>
        <row r="4930">
          <cell r="A4930" t="str">
            <v>ZSL-120620</v>
          </cell>
          <cell r="BG4930" t="str">
            <v>Não Montado</v>
          </cell>
        </row>
        <row r="4931">
          <cell r="A4931" t="str">
            <v>ZSL-120621</v>
          </cell>
          <cell r="BG4931" t="str">
            <v>Não Montado</v>
          </cell>
        </row>
        <row r="4932">
          <cell r="A4932" t="str">
            <v>ZSL-120622</v>
          </cell>
          <cell r="BG4932" t="str">
            <v>Não Montado</v>
          </cell>
        </row>
        <row r="4933">
          <cell r="A4933" t="str">
            <v>ZSL-120623</v>
          </cell>
          <cell r="BG4933" t="str">
            <v>Não Montado</v>
          </cell>
        </row>
        <row r="4934">
          <cell r="A4934" t="str">
            <v>ZSL-120624</v>
          </cell>
          <cell r="BG4934" t="str">
            <v>Não Montado</v>
          </cell>
        </row>
        <row r="4935">
          <cell r="A4935" t="str">
            <v>ZSL-120625</v>
          </cell>
          <cell r="BG4935" t="str">
            <v>Não Montado</v>
          </cell>
        </row>
        <row r="4936">
          <cell r="A4936" t="str">
            <v>ZSL-120626</v>
          </cell>
          <cell r="BG4936" t="str">
            <v>Não Montado</v>
          </cell>
        </row>
        <row r="4937">
          <cell r="A4937" t="str">
            <v>ZSL-120627</v>
          </cell>
          <cell r="BG4937" t="str">
            <v>Não Montado</v>
          </cell>
        </row>
        <row r="4938">
          <cell r="A4938" t="str">
            <v>ZSL-120628</v>
          </cell>
          <cell r="BG4938" t="str">
            <v>Não Montado</v>
          </cell>
        </row>
        <row r="4939">
          <cell r="A4939" t="str">
            <v>ZSL-120629</v>
          </cell>
          <cell r="BG4939" t="str">
            <v>Não Montado</v>
          </cell>
        </row>
        <row r="4940">
          <cell r="A4940" t="str">
            <v>ZSL-120630</v>
          </cell>
          <cell r="BG4940" t="str">
            <v>Não Montado</v>
          </cell>
        </row>
        <row r="4941">
          <cell r="A4941" t="str">
            <v>ZSL-120631</v>
          </cell>
          <cell r="BG4941" t="str">
            <v>Não Montado</v>
          </cell>
        </row>
        <row r="4942">
          <cell r="A4942" t="str">
            <v>ZSL-120632</v>
          </cell>
          <cell r="BG4942" t="str">
            <v>Não Montado</v>
          </cell>
        </row>
        <row r="4943">
          <cell r="A4943" t="str">
            <v>ZSL-120633</v>
          </cell>
          <cell r="BG4943" t="str">
            <v>Não Montado</v>
          </cell>
        </row>
        <row r="4944">
          <cell r="A4944" t="str">
            <v>ZSL-120634</v>
          </cell>
          <cell r="BG4944" t="str">
            <v>Não Montado</v>
          </cell>
        </row>
        <row r="4945">
          <cell r="A4945" t="str">
            <v>ZSL-120635</v>
          </cell>
          <cell r="BG4945" t="str">
            <v>Não Montado</v>
          </cell>
        </row>
        <row r="4946">
          <cell r="A4946" t="str">
            <v>ZSL-120636</v>
          </cell>
          <cell r="BG4946" t="str">
            <v>Não Montado</v>
          </cell>
        </row>
        <row r="4947">
          <cell r="A4947" t="str">
            <v>ZSL-120637</v>
          </cell>
          <cell r="BG4947" t="str">
            <v>Não Montado</v>
          </cell>
        </row>
        <row r="4948">
          <cell r="A4948" t="str">
            <v>ZSL-120638</v>
          </cell>
          <cell r="BG4948" t="str">
            <v>Não Montado</v>
          </cell>
        </row>
        <row r="4949">
          <cell r="A4949" t="str">
            <v>ZSL-120639</v>
          </cell>
          <cell r="BG4949" t="str">
            <v>Não Montado</v>
          </cell>
        </row>
        <row r="4950">
          <cell r="A4950" t="str">
            <v>ZSL-120640</v>
          </cell>
          <cell r="BG4950" t="str">
            <v>Não Montado</v>
          </cell>
        </row>
        <row r="4951">
          <cell r="A4951" t="str">
            <v>ZSL-120641</v>
          </cell>
          <cell r="BG4951" t="str">
            <v>Não Montado</v>
          </cell>
        </row>
        <row r="4952">
          <cell r="A4952" t="str">
            <v>ZSL-120642</v>
          </cell>
          <cell r="BG4952" t="str">
            <v>Não Montado</v>
          </cell>
        </row>
        <row r="4953">
          <cell r="A4953" t="str">
            <v>ZSL-120643</v>
          </cell>
          <cell r="BG4953" t="str">
            <v>Não Montado</v>
          </cell>
        </row>
        <row r="4954">
          <cell r="A4954" t="str">
            <v>ZSL-120644</v>
          </cell>
          <cell r="BG4954" t="str">
            <v>Não Montado</v>
          </cell>
        </row>
        <row r="4955">
          <cell r="A4955" t="str">
            <v>ZSL-120645</v>
          </cell>
          <cell r="BG4955" t="str">
            <v>Não Montado</v>
          </cell>
        </row>
        <row r="4956">
          <cell r="A4956" t="str">
            <v>ZSL-120646</v>
          </cell>
          <cell r="BG4956" t="str">
            <v>Não Montado</v>
          </cell>
        </row>
        <row r="4957">
          <cell r="A4957" t="str">
            <v>ZSL-120647</v>
          </cell>
          <cell r="BG4957" t="str">
            <v>Não Montado</v>
          </cell>
        </row>
        <row r="4958">
          <cell r="A4958" t="str">
            <v>ZSL-120649</v>
          </cell>
          <cell r="BG4958" t="str">
            <v>Não Montado</v>
          </cell>
        </row>
        <row r="4959">
          <cell r="A4959" t="str">
            <v>ZSL-120706A</v>
          </cell>
          <cell r="BG4959" t="str">
            <v>Não Montado</v>
          </cell>
        </row>
        <row r="4960">
          <cell r="A4960" t="str">
            <v>ZSL-120706B</v>
          </cell>
          <cell r="BG4960" t="str">
            <v>Não Montado</v>
          </cell>
        </row>
        <row r="4961">
          <cell r="A4961" t="str">
            <v>ZSL-120706C</v>
          </cell>
          <cell r="BG4961" t="str">
            <v>Não Montado</v>
          </cell>
        </row>
        <row r="4962">
          <cell r="A4962" t="str">
            <v>ZSL-120706D</v>
          </cell>
          <cell r="BG4962" t="str">
            <v>Não Montado</v>
          </cell>
        </row>
        <row r="4963">
          <cell r="A4963" t="str">
            <v>ZSL-120706E</v>
          </cell>
          <cell r="BG4963" t="str">
            <v>Não Montado</v>
          </cell>
        </row>
        <row r="4964">
          <cell r="A4964" t="str">
            <v>ZSL-120706F</v>
          </cell>
          <cell r="BG4964" t="str">
            <v>Não Montado</v>
          </cell>
        </row>
        <row r="4965">
          <cell r="A4965" t="str">
            <v>ZSL-120706G</v>
          </cell>
          <cell r="BG4965" t="str">
            <v>Não Montado</v>
          </cell>
        </row>
        <row r="4966">
          <cell r="A4966" t="str">
            <v>ZSL-120706H</v>
          </cell>
          <cell r="BG4966" t="str">
            <v>Não Montado</v>
          </cell>
        </row>
        <row r="4967">
          <cell r="A4967" t="str">
            <v>ZSL-120706J</v>
          </cell>
          <cell r="BG4967" t="str">
            <v>Não Montado</v>
          </cell>
        </row>
        <row r="4968">
          <cell r="A4968" t="str">
            <v>ZSL-120706K</v>
          </cell>
          <cell r="BG4968" t="str">
            <v>Não Montado</v>
          </cell>
        </row>
        <row r="4969">
          <cell r="A4969" t="str">
            <v>ZSL-120706L</v>
          </cell>
          <cell r="BG4969" t="str">
            <v>Não Montado</v>
          </cell>
        </row>
        <row r="4970">
          <cell r="A4970" t="str">
            <v>ZSL-120706M</v>
          </cell>
          <cell r="BG4970" t="str">
            <v>Não Montado</v>
          </cell>
        </row>
        <row r="4971">
          <cell r="A4971" t="str">
            <v>ZSL-120706N</v>
          </cell>
          <cell r="BG4971" t="str">
            <v>Não Montado</v>
          </cell>
        </row>
        <row r="4972">
          <cell r="A4972" t="str">
            <v>ZSL-120706P</v>
          </cell>
          <cell r="BG4972" t="str">
            <v>Não Montado</v>
          </cell>
        </row>
        <row r="4973">
          <cell r="A4973" t="str">
            <v>ZSL-120706Q</v>
          </cell>
          <cell r="BG4973" t="str">
            <v>Não Montado</v>
          </cell>
        </row>
        <row r="4974">
          <cell r="A4974" t="str">
            <v>ZSL-120707</v>
          </cell>
          <cell r="BG4974" t="str">
            <v>Não Montado</v>
          </cell>
        </row>
        <row r="4975">
          <cell r="A4975" t="str">
            <v>ZSL-120708</v>
          </cell>
          <cell r="BG4975" t="str">
            <v>Não Montado</v>
          </cell>
        </row>
        <row r="4976">
          <cell r="A4976" t="str">
            <v>ZSL-120709</v>
          </cell>
          <cell r="BG4976" t="str">
            <v>Não Montado</v>
          </cell>
        </row>
        <row r="4977">
          <cell r="A4977" t="str">
            <v>ZSL-120710A</v>
          </cell>
          <cell r="BG4977" t="str">
            <v>Não Montado</v>
          </cell>
        </row>
        <row r="4978">
          <cell r="A4978" t="str">
            <v>ZSL-120710B</v>
          </cell>
          <cell r="BG4978" t="str">
            <v>Não Montado</v>
          </cell>
        </row>
        <row r="4979">
          <cell r="A4979" t="str">
            <v>ZSL-120710C</v>
          </cell>
          <cell r="BG4979" t="str">
            <v>Não Montado</v>
          </cell>
        </row>
        <row r="4980">
          <cell r="A4980" t="str">
            <v>ZSL-120710D</v>
          </cell>
          <cell r="BG4980" t="str">
            <v>Não Montado</v>
          </cell>
        </row>
        <row r="4981">
          <cell r="A4981" t="str">
            <v>ZSL-120710E</v>
          </cell>
          <cell r="BG4981" t="str">
            <v>Não Montado</v>
          </cell>
        </row>
        <row r="4982">
          <cell r="A4982" t="str">
            <v>ZSL-120710F</v>
          </cell>
          <cell r="BG4982" t="str">
            <v>Não Montado</v>
          </cell>
        </row>
        <row r="4983">
          <cell r="A4983" t="str">
            <v>ZSL-120710G</v>
          </cell>
          <cell r="BG4983" t="str">
            <v>Não Montado</v>
          </cell>
        </row>
        <row r="4984">
          <cell r="A4984" t="str">
            <v>ZSL-120710H</v>
          </cell>
          <cell r="BG4984" t="str">
            <v>Não Montado</v>
          </cell>
        </row>
        <row r="4985">
          <cell r="A4985" t="str">
            <v>ZSL-120710J</v>
          </cell>
          <cell r="BG4985" t="str">
            <v>Não Montado</v>
          </cell>
        </row>
        <row r="4986">
          <cell r="A4986" t="str">
            <v>ZSL-120710K</v>
          </cell>
          <cell r="BG4986" t="str">
            <v>Não Montado</v>
          </cell>
        </row>
        <row r="4987">
          <cell r="A4987" t="str">
            <v>ZSL-120710L</v>
          </cell>
          <cell r="BG4987" t="str">
            <v>Não Montado</v>
          </cell>
        </row>
        <row r="4988">
          <cell r="A4988" t="str">
            <v>ZSL-120710M</v>
          </cell>
          <cell r="BG4988" t="str">
            <v>Não Montado</v>
          </cell>
        </row>
        <row r="4989">
          <cell r="A4989" t="str">
            <v>ZSL-120710N</v>
          </cell>
          <cell r="BG4989" t="str">
            <v>Não Montado</v>
          </cell>
        </row>
        <row r="4990">
          <cell r="A4990" t="str">
            <v>ZSL-120710P</v>
          </cell>
          <cell r="BG4990" t="str">
            <v>Não Montado</v>
          </cell>
        </row>
        <row r="4991">
          <cell r="A4991" t="str">
            <v>ZSL-120710Q</v>
          </cell>
          <cell r="BG4991" t="str">
            <v>Não Montado</v>
          </cell>
        </row>
        <row r="4992">
          <cell r="A4992" t="str">
            <v>ZSL-120712A</v>
          </cell>
          <cell r="BG4992" t="str">
            <v>Não Montado</v>
          </cell>
        </row>
        <row r="4993">
          <cell r="A4993" t="str">
            <v>ZSL-120712B</v>
          </cell>
          <cell r="BG4993" t="str">
            <v>Não Montado</v>
          </cell>
        </row>
        <row r="4994">
          <cell r="A4994" t="str">
            <v>ZSL-120712C</v>
          </cell>
          <cell r="BG4994" t="str">
            <v>Não Montado</v>
          </cell>
        </row>
        <row r="4995">
          <cell r="A4995" t="str">
            <v>ZSL-120712D</v>
          </cell>
          <cell r="BG4995" t="str">
            <v>Não Montado</v>
          </cell>
        </row>
        <row r="4996">
          <cell r="A4996" t="str">
            <v>ZSL-120712E</v>
          </cell>
          <cell r="BG4996" t="str">
            <v>Não Montado</v>
          </cell>
        </row>
        <row r="4997">
          <cell r="A4997" t="str">
            <v>ZSL-120712F</v>
          </cell>
          <cell r="BG4997" t="str">
            <v>Não Montado</v>
          </cell>
        </row>
        <row r="4998">
          <cell r="A4998" t="str">
            <v>ZSL-120712G</v>
          </cell>
          <cell r="BG4998" t="str">
            <v>Não Montado</v>
          </cell>
        </row>
        <row r="4999">
          <cell r="A4999" t="str">
            <v>ZSL-120712H</v>
          </cell>
          <cell r="BG4999" t="str">
            <v>Não Montado</v>
          </cell>
        </row>
        <row r="5000">
          <cell r="A5000" t="str">
            <v>ZSL-120712J</v>
          </cell>
          <cell r="BG5000" t="str">
            <v>Não Montado</v>
          </cell>
        </row>
        <row r="5001">
          <cell r="A5001" t="str">
            <v>ZSL-120712K</v>
          </cell>
          <cell r="BG5001" t="str">
            <v>Não Montado</v>
          </cell>
        </row>
        <row r="5002">
          <cell r="A5002" t="str">
            <v>ZSL-120712L</v>
          </cell>
          <cell r="BG5002" t="str">
            <v>Não Montado</v>
          </cell>
        </row>
        <row r="5003">
          <cell r="A5003" t="str">
            <v>ZSL-120712M</v>
          </cell>
          <cell r="BG5003" t="str">
            <v>Não Montado</v>
          </cell>
        </row>
        <row r="5004">
          <cell r="A5004" t="str">
            <v>ZSL-120712N</v>
          </cell>
          <cell r="BG5004" t="str">
            <v>Não Montado</v>
          </cell>
        </row>
        <row r="5005">
          <cell r="A5005" t="str">
            <v>ZSL-120712P</v>
          </cell>
          <cell r="BG5005" t="str">
            <v>Não Montado</v>
          </cell>
        </row>
        <row r="5006">
          <cell r="A5006" t="str">
            <v>ZSL-120712Q</v>
          </cell>
          <cell r="BG5006" t="str">
            <v>Não Montado</v>
          </cell>
        </row>
        <row r="5007">
          <cell r="A5007" t="str">
            <v>ZSL-120713A</v>
          </cell>
          <cell r="BG5007" t="str">
            <v>Não Montado</v>
          </cell>
        </row>
        <row r="5008">
          <cell r="A5008" t="str">
            <v>ZSL-120713B</v>
          </cell>
          <cell r="BG5008" t="str">
            <v>Não Montado</v>
          </cell>
        </row>
        <row r="5009">
          <cell r="A5009" t="str">
            <v>ZSL-120713C</v>
          </cell>
          <cell r="BG5009" t="str">
            <v>Não Montado</v>
          </cell>
        </row>
        <row r="5010">
          <cell r="A5010" t="str">
            <v>ZSL-120713D</v>
          </cell>
          <cell r="BG5010" t="str">
            <v>Não Montado</v>
          </cell>
        </row>
        <row r="5011">
          <cell r="A5011" t="str">
            <v>ZSL-120713E</v>
          </cell>
          <cell r="BG5011" t="str">
            <v>Não Montado</v>
          </cell>
        </row>
        <row r="5012">
          <cell r="A5012" t="str">
            <v>ZSL-120713F</v>
          </cell>
          <cell r="BG5012" t="str">
            <v>Não Montado</v>
          </cell>
        </row>
        <row r="5013">
          <cell r="A5013" t="str">
            <v>ZSL-120713G</v>
          </cell>
          <cell r="BG5013" t="str">
            <v>Não Montado</v>
          </cell>
        </row>
        <row r="5014">
          <cell r="A5014" t="str">
            <v>ZSL-120713H</v>
          </cell>
          <cell r="BG5014" t="str">
            <v>Não Montado</v>
          </cell>
        </row>
        <row r="5015">
          <cell r="A5015" t="str">
            <v>ZSL-120713J</v>
          </cell>
          <cell r="BG5015" t="str">
            <v>Não Montado</v>
          </cell>
        </row>
        <row r="5016">
          <cell r="A5016" t="str">
            <v>ZSL-120713K</v>
          </cell>
          <cell r="BG5016" t="str">
            <v>Não Montado</v>
          </cell>
        </row>
        <row r="5017">
          <cell r="A5017" t="str">
            <v>ZSL-120713L</v>
          </cell>
          <cell r="BG5017" t="str">
            <v>Não Montado</v>
          </cell>
        </row>
        <row r="5018">
          <cell r="A5018" t="str">
            <v>ZSL-120713M</v>
          </cell>
          <cell r="BG5018" t="str">
            <v>Não Montado</v>
          </cell>
        </row>
        <row r="5019">
          <cell r="A5019" t="str">
            <v>ZSL-120713N</v>
          </cell>
          <cell r="BG5019" t="str">
            <v>Não Montado</v>
          </cell>
        </row>
        <row r="5020">
          <cell r="A5020" t="str">
            <v>ZSL-120713P</v>
          </cell>
          <cell r="BG5020" t="str">
            <v>Não Montado</v>
          </cell>
        </row>
        <row r="5021">
          <cell r="A5021" t="str">
            <v>ZSL-120718</v>
          </cell>
          <cell r="BG5021" t="str">
            <v>Não Montado</v>
          </cell>
        </row>
        <row r="5022">
          <cell r="A5022" t="str">
            <v>ZSL-120720</v>
          </cell>
          <cell r="BG5022" t="str">
            <v>Não Montado</v>
          </cell>
        </row>
        <row r="5023">
          <cell r="A5023" t="str">
            <v>ZSL-120721</v>
          </cell>
          <cell r="BG5023" t="str">
            <v>Não Montado</v>
          </cell>
        </row>
        <row r="5024">
          <cell r="A5024" t="str">
            <v>ZSL-120722</v>
          </cell>
          <cell r="BG5024" t="str">
            <v>Não Montado</v>
          </cell>
        </row>
        <row r="5025">
          <cell r="A5025" t="str">
            <v>ZSL-120723</v>
          </cell>
          <cell r="BG5025" t="str">
            <v>Não Montado</v>
          </cell>
        </row>
        <row r="5026">
          <cell r="A5026" t="str">
            <v>ZSL-120724</v>
          </cell>
          <cell r="BG5026" t="str">
            <v>Não Montado</v>
          </cell>
        </row>
        <row r="5027">
          <cell r="A5027" t="str">
            <v>ZSL-120725</v>
          </cell>
          <cell r="BG5027" t="str">
            <v>Não Montado</v>
          </cell>
        </row>
        <row r="5028">
          <cell r="A5028" t="str">
            <v>ZSL-120726</v>
          </cell>
          <cell r="BG5028" t="str">
            <v>Não Montado</v>
          </cell>
        </row>
        <row r="5029">
          <cell r="A5029" t="str">
            <v>ZSL-120727</v>
          </cell>
          <cell r="BG5029" t="str">
            <v>Não Montado</v>
          </cell>
        </row>
        <row r="5030">
          <cell r="A5030" t="str">
            <v>ZSL-120728</v>
          </cell>
          <cell r="BG5030" t="str">
            <v>Não Montado</v>
          </cell>
        </row>
        <row r="5031">
          <cell r="A5031" t="str">
            <v>ZSL-120729</v>
          </cell>
          <cell r="BG5031" t="str">
            <v>Não Montado</v>
          </cell>
        </row>
        <row r="5032">
          <cell r="A5032" t="str">
            <v>ZSL-120730</v>
          </cell>
          <cell r="BG5032" t="str">
            <v>Não Montado</v>
          </cell>
        </row>
        <row r="5033">
          <cell r="A5033" t="str">
            <v>ZSL-120731</v>
          </cell>
          <cell r="BG5033" t="str">
            <v>Não Montado</v>
          </cell>
        </row>
        <row r="5034">
          <cell r="A5034" t="str">
            <v>ZSL-120732</v>
          </cell>
          <cell r="BG5034" t="str">
            <v>Não Montado</v>
          </cell>
        </row>
        <row r="5035">
          <cell r="A5035" t="str">
            <v>ZSL-120733</v>
          </cell>
          <cell r="BG5035" t="str">
            <v>Não Montado</v>
          </cell>
        </row>
        <row r="5036">
          <cell r="A5036" t="str">
            <v>ZSL-120734</v>
          </cell>
          <cell r="BG5036" t="str">
            <v>Não Montado</v>
          </cell>
        </row>
        <row r="5037">
          <cell r="A5037" t="str">
            <v>ZSL-120735</v>
          </cell>
          <cell r="BG5037" t="str">
            <v>Não Montado</v>
          </cell>
        </row>
        <row r="5038">
          <cell r="A5038" t="str">
            <v>ZSL-120736</v>
          </cell>
          <cell r="BG5038" t="str">
            <v>Não Montado</v>
          </cell>
        </row>
        <row r="5039">
          <cell r="A5039" t="str">
            <v>ZSL-120737</v>
          </cell>
          <cell r="BG5039" t="str">
            <v>Não Montado</v>
          </cell>
        </row>
        <row r="5040">
          <cell r="A5040" t="str">
            <v>ZSL-120738</v>
          </cell>
          <cell r="BG5040" t="str">
            <v>Não Montado</v>
          </cell>
        </row>
        <row r="5041">
          <cell r="A5041" t="str">
            <v>ZSL-120739</v>
          </cell>
          <cell r="BG5041" t="str">
            <v>Não Montado</v>
          </cell>
        </row>
        <row r="5042">
          <cell r="A5042" t="str">
            <v>ZSL-120740</v>
          </cell>
          <cell r="BG5042" t="str">
            <v>Não Montado</v>
          </cell>
        </row>
        <row r="5043">
          <cell r="A5043" t="str">
            <v>ZSL-120741</v>
          </cell>
          <cell r="BG5043" t="str">
            <v>Não Montado</v>
          </cell>
        </row>
        <row r="5044">
          <cell r="A5044" t="str">
            <v>ZSL-120742</v>
          </cell>
          <cell r="BG5044" t="str">
            <v>Não Montado</v>
          </cell>
        </row>
        <row r="5045">
          <cell r="A5045" t="str">
            <v>ZSL-120743</v>
          </cell>
          <cell r="BG5045" t="str">
            <v>Não Montado</v>
          </cell>
        </row>
        <row r="5046">
          <cell r="A5046" t="str">
            <v>ZSL-120744</v>
          </cell>
          <cell r="BG5046" t="str">
            <v>Não Montado</v>
          </cell>
        </row>
        <row r="5047">
          <cell r="A5047" t="str">
            <v>ZSL-120745</v>
          </cell>
          <cell r="BG5047" t="str">
            <v>Não Montado</v>
          </cell>
        </row>
        <row r="5048">
          <cell r="A5048" t="str">
            <v>ZSL-120746</v>
          </cell>
          <cell r="BG5048" t="str">
            <v>Não Montado</v>
          </cell>
        </row>
        <row r="5049">
          <cell r="A5049" t="str">
            <v>ZSL-120901</v>
          </cell>
          <cell r="BG5049" t="str">
            <v>Não Montado</v>
          </cell>
        </row>
        <row r="5050">
          <cell r="A5050" t="str">
            <v>ZSL-121001</v>
          </cell>
          <cell r="BG5050" t="str">
            <v>Montado</v>
          </cell>
        </row>
        <row r="5051">
          <cell r="A5051" t="str">
            <v>ZSL-121002</v>
          </cell>
          <cell r="BG5051" t="str">
            <v>Montado</v>
          </cell>
        </row>
        <row r="5052">
          <cell r="A5052" t="str">
            <v>ZSL-121003</v>
          </cell>
          <cell r="BG5052" t="str">
            <v>Montado</v>
          </cell>
        </row>
        <row r="5053">
          <cell r="A5053" t="str">
            <v>ZSL-121004</v>
          </cell>
          <cell r="BG5053" t="str">
            <v>Montado</v>
          </cell>
        </row>
        <row r="5054">
          <cell r="A5054" t="str">
            <v>ZSL-121005</v>
          </cell>
          <cell r="BG5054" t="str">
            <v>Montado</v>
          </cell>
        </row>
        <row r="5055">
          <cell r="A5055" t="str">
            <v>ZSL-121006</v>
          </cell>
          <cell r="BG5055" t="str">
            <v>Montado</v>
          </cell>
        </row>
        <row r="5056">
          <cell r="A5056" t="str">
            <v>ZSL-121010</v>
          </cell>
          <cell r="BG5056" t="str">
            <v>Montado</v>
          </cell>
        </row>
        <row r="5057">
          <cell r="A5057" t="str">
            <v>ZSL-121011</v>
          </cell>
          <cell r="BG5057" t="str">
            <v>Montado</v>
          </cell>
        </row>
        <row r="5058">
          <cell r="A5058" t="str">
            <v>ZSL-121012</v>
          </cell>
          <cell r="BG5058" t="str">
            <v>Montado</v>
          </cell>
        </row>
        <row r="5059">
          <cell r="A5059" t="str">
            <v>ZSL-121013</v>
          </cell>
          <cell r="BG5059" t="str">
            <v>Montado</v>
          </cell>
        </row>
        <row r="5060">
          <cell r="A5060" t="str">
            <v>ZSL-121016</v>
          </cell>
          <cell r="BG5060" t="str">
            <v>Montado</v>
          </cell>
        </row>
        <row r="5061">
          <cell r="A5061" t="str">
            <v>ZSL-121017</v>
          </cell>
          <cell r="BG5061" t="str">
            <v>Montado</v>
          </cell>
        </row>
        <row r="5062">
          <cell r="A5062" t="str">
            <v>ZSL-121018</v>
          </cell>
          <cell r="BG5062" t="str">
            <v>Montado</v>
          </cell>
        </row>
        <row r="5063">
          <cell r="A5063" t="str">
            <v>ZSL-121019</v>
          </cell>
          <cell r="BG5063" t="str">
            <v>Montado</v>
          </cell>
        </row>
        <row r="5064">
          <cell r="A5064" t="str">
            <v>ZSL-121022</v>
          </cell>
          <cell r="BG5064" t="str">
            <v>Montado</v>
          </cell>
        </row>
        <row r="5065">
          <cell r="A5065" t="str">
            <v>ZSL-121023</v>
          </cell>
          <cell r="BG5065" t="str">
            <v>Montado</v>
          </cell>
        </row>
        <row r="5066">
          <cell r="A5066" t="str">
            <v>ZSL-121024</v>
          </cell>
          <cell r="BG5066" t="str">
            <v>Montado</v>
          </cell>
        </row>
        <row r="5067">
          <cell r="A5067" t="str">
            <v>ZSL-121025</v>
          </cell>
          <cell r="BG5067" t="str">
            <v>Montado</v>
          </cell>
        </row>
        <row r="5068">
          <cell r="A5068" t="str">
            <v>ZSL-121029</v>
          </cell>
          <cell r="BG5068" t="str">
            <v>Montado</v>
          </cell>
        </row>
        <row r="5069">
          <cell r="A5069" t="str">
            <v>ZSL-121030</v>
          </cell>
          <cell r="BG5069" t="str">
            <v>Montado</v>
          </cell>
        </row>
        <row r="5070">
          <cell r="A5070" t="str">
            <v>ZSL-121031</v>
          </cell>
          <cell r="BG5070" t="str">
            <v>Montado</v>
          </cell>
        </row>
        <row r="5071">
          <cell r="A5071" t="str">
            <v>ZSL-121032</v>
          </cell>
          <cell r="BG5071" t="str">
            <v>Montado</v>
          </cell>
        </row>
        <row r="5072">
          <cell r="A5072" t="str">
            <v>ZSL-121033</v>
          </cell>
          <cell r="BG5072" t="str">
            <v>Montado</v>
          </cell>
        </row>
        <row r="5073">
          <cell r="A5073" t="str">
            <v>ZSL-121034</v>
          </cell>
          <cell r="BG5073" t="str">
            <v>Montado</v>
          </cell>
        </row>
        <row r="5074">
          <cell r="A5074" t="str">
            <v>ZSL-121037</v>
          </cell>
          <cell r="BG5074" t="str">
            <v>Montado</v>
          </cell>
        </row>
        <row r="5075">
          <cell r="A5075" t="str">
            <v>ZSL-121038</v>
          </cell>
          <cell r="BG5075" t="str">
            <v>Montado</v>
          </cell>
        </row>
        <row r="5076">
          <cell r="A5076" t="str">
            <v>ZSL-121039</v>
          </cell>
          <cell r="BG5076" t="str">
            <v>Montado</v>
          </cell>
        </row>
        <row r="5077">
          <cell r="A5077" t="str">
            <v>ZSL-121040</v>
          </cell>
          <cell r="BG5077" t="str">
            <v>Não Montado</v>
          </cell>
        </row>
        <row r="5078">
          <cell r="A5078" t="str">
            <v>ZSL-121041</v>
          </cell>
          <cell r="BG5078" t="str">
            <v>Montado</v>
          </cell>
        </row>
        <row r="5079">
          <cell r="A5079" t="str">
            <v>ZSL-121044</v>
          </cell>
          <cell r="BG5079" t="str">
            <v>Montado</v>
          </cell>
        </row>
        <row r="5080">
          <cell r="A5080" t="str">
            <v>ZSL-121047</v>
          </cell>
          <cell r="BG5080" t="str">
            <v>Montado</v>
          </cell>
        </row>
        <row r="5081">
          <cell r="A5081" t="str">
            <v>ZSL-121054</v>
          </cell>
          <cell r="BG5081" t="str">
            <v>Montado</v>
          </cell>
        </row>
        <row r="5082">
          <cell r="A5082" t="str">
            <v>ZSL-121055</v>
          </cell>
          <cell r="BG5082" t="str">
            <v>Montado</v>
          </cell>
        </row>
        <row r="5083">
          <cell r="A5083" t="str">
            <v>ZSL-121056</v>
          </cell>
          <cell r="BG5083" t="str">
            <v>Montado</v>
          </cell>
        </row>
        <row r="5084">
          <cell r="A5084" t="str">
            <v>ZSL-121057</v>
          </cell>
          <cell r="BG5084" t="str">
            <v>Montado</v>
          </cell>
        </row>
        <row r="5085">
          <cell r="A5085" t="str">
            <v>ZT-121300</v>
          </cell>
          <cell r="BG5085" t="str">
            <v>Não Montado</v>
          </cell>
        </row>
        <row r="5086">
          <cell r="A5086" t="str">
            <v>ZT-121301</v>
          </cell>
          <cell r="BG5086" t="str">
            <v>Não Montado</v>
          </cell>
        </row>
        <row r="5087">
          <cell r="A5087" t="str">
            <v>ZT-121400</v>
          </cell>
          <cell r="BG5087" t="str">
            <v>Não Montado</v>
          </cell>
        </row>
        <row r="5088">
          <cell r="A5088" t="str">
            <v>ZT-121401</v>
          </cell>
          <cell r="BG5088" t="str">
            <v>Não Montado</v>
          </cell>
        </row>
        <row r="5089">
          <cell r="A5089" t="str">
            <v>ZV-121061</v>
          </cell>
          <cell r="BG5089" t="str">
            <v>Não Montado</v>
          </cell>
        </row>
        <row r="5090">
          <cell r="A5090" t="str">
            <v>ZV-121062</v>
          </cell>
          <cell r="BG5090" t="str">
            <v>Não Montado</v>
          </cell>
        </row>
        <row r="5091">
          <cell r="A5091" t="str">
            <v>ZV-121063</v>
          </cell>
          <cell r="BG5091" t="str">
            <v>Não Montado</v>
          </cell>
        </row>
        <row r="5092">
          <cell r="A5092" t="str">
            <v>ZV-121064</v>
          </cell>
          <cell r="BG5092" t="str">
            <v>Não Montado</v>
          </cell>
        </row>
        <row r="5093">
          <cell r="A5093" t="str">
            <v>ZV-121066</v>
          </cell>
          <cell r="BG5093" t="str">
            <v>Não Montado</v>
          </cell>
        </row>
        <row r="5094">
          <cell r="A5094" t="str">
            <v>ZV-121067</v>
          </cell>
          <cell r="BG5094" t="str">
            <v>Não Montado</v>
          </cell>
        </row>
        <row r="5095">
          <cell r="A5095" t="str">
            <v>ZV-121068</v>
          </cell>
          <cell r="BG5095" t="str">
            <v>Não Montado</v>
          </cell>
        </row>
        <row r="5096">
          <cell r="A5096" t="str">
            <v>ZV-121069</v>
          </cell>
          <cell r="BG5096" t="str">
            <v>Não Montado</v>
          </cell>
        </row>
        <row r="5097">
          <cell r="A5097" t="str">
            <v>ZV-121070</v>
          </cell>
          <cell r="BG5097" t="str">
            <v>Não Montado</v>
          </cell>
        </row>
        <row r="5098">
          <cell r="A5098" t="str">
            <v>ZV-121071</v>
          </cell>
          <cell r="BG5098" t="str">
            <v>Não Montado</v>
          </cell>
        </row>
        <row r="5099">
          <cell r="A5099" t="str">
            <v>ZV-121072</v>
          </cell>
          <cell r="BG5099" t="str">
            <v>Não Montado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80"/>
  <sheetViews>
    <sheetView tabSelected="1" zoomScaleNormal="100" workbookViewId="0">
      <pane xSplit="1" ySplit="2" topLeftCell="AI592" activePane="bottomRight" state="frozen"/>
      <selection pane="topRight" activeCell="B1" sqref="B1"/>
      <selection pane="bottomLeft" activeCell="A3" sqref="A3"/>
      <selection pane="bottomRight" activeCell="AN173" sqref="AN173:AN592"/>
    </sheetView>
  </sheetViews>
  <sheetFormatPr defaultColWidth="42.81640625" defaultRowHeight="14.5" x14ac:dyDescent="0.35"/>
  <cols>
    <col min="1" max="1" width="13.453125" customWidth="1"/>
    <col min="2" max="2" width="8.453125" customWidth="1"/>
    <col min="3" max="3" width="7" customWidth="1"/>
    <col min="4" max="4" width="13.1796875" customWidth="1"/>
    <col min="5" max="5" width="7.7265625" customWidth="1"/>
    <col min="6" max="6" width="14.1796875" customWidth="1"/>
    <col min="7" max="7" width="17.90625" customWidth="1"/>
    <col min="8" max="8" width="8.54296875" customWidth="1"/>
    <col min="9" max="9" width="17.54296875" bestFit="1" customWidth="1"/>
    <col min="10" max="10" width="70" customWidth="1"/>
    <col min="11" max="11" width="39.453125" customWidth="1"/>
    <col min="12" max="12" width="10.08984375" customWidth="1"/>
    <col min="13" max="13" width="4.453125" customWidth="1"/>
    <col min="14" max="14" width="8.36328125" customWidth="1"/>
    <col min="15" max="15" width="6.26953125" customWidth="1"/>
    <col min="16" max="16" width="4.54296875" customWidth="1"/>
    <col min="17" max="17" width="9.26953125" customWidth="1"/>
    <col min="18" max="18" width="14" customWidth="1"/>
    <col min="19" max="19" width="8.26953125" customWidth="1"/>
    <col min="20" max="20" width="10.26953125" customWidth="1"/>
    <col min="21" max="21" width="4.26953125" customWidth="1"/>
    <col min="22" max="22" width="41.1796875" customWidth="1"/>
    <col min="23" max="23" width="10" customWidth="1"/>
    <col min="24" max="24" width="37.453125" customWidth="1"/>
    <col min="25" max="25" width="20" customWidth="1"/>
    <col min="26" max="26" width="18" customWidth="1"/>
    <col min="27" max="27" width="10" customWidth="1"/>
    <col min="28" max="28" width="9" customWidth="1"/>
    <col min="29" max="29" width="10" customWidth="1"/>
    <col min="30" max="30" width="11" customWidth="1"/>
    <col min="31" max="31" width="12" customWidth="1"/>
    <col min="32" max="32" width="11" customWidth="1"/>
    <col min="33" max="33" width="24" customWidth="1"/>
    <col min="34" max="34" width="14" customWidth="1"/>
    <col min="35" max="35" width="8" customWidth="1"/>
    <col min="36" max="39" width="15" customWidth="1"/>
    <col min="40" max="40" width="16" customWidth="1"/>
    <col min="41" max="41" width="15" customWidth="1"/>
    <col min="42" max="42" width="10" customWidth="1"/>
    <col min="43" max="43" width="9" customWidth="1"/>
    <col min="44" max="44" width="10" customWidth="1"/>
    <col min="45" max="45" width="9" customWidth="1"/>
    <col min="46" max="46" width="10" customWidth="1"/>
    <col min="47" max="47" width="60" customWidth="1"/>
  </cols>
  <sheetData>
    <row r="1" spans="1:47" ht="21" customHeight="1" x14ac:dyDescent="0.35">
      <c r="A1" s="1"/>
      <c r="B1" s="2"/>
      <c r="C1" s="3"/>
      <c r="D1" s="4"/>
      <c r="E1" s="5"/>
      <c r="F1" s="6"/>
      <c r="G1" s="7"/>
      <c r="H1" s="7"/>
      <c r="I1" s="1"/>
      <c r="J1" s="1"/>
      <c r="K1" s="8"/>
      <c r="L1" s="1"/>
      <c r="M1" s="1"/>
      <c r="N1" s="1"/>
      <c r="O1" s="1"/>
      <c r="P1" s="1"/>
      <c r="Q1" s="1"/>
      <c r="R1" s="8"/>
      <c r="S1" s="1"/>
      <c r="T1" s="1"/>
      <c r="U1" s="1"/>
      <c r="V1" s="1"/>
      <c r="W1" s="1"/>
      <c r="X1" s="9" t="s">
        <v>0</v>
      </c>
      <c r="Y1" s="10" t="s">
        <v>1</v>
      </c>
      <c r="AJ1" s="11" t="s">
        <v>2</v>
      </c>
      <c r="AP1" s="10" t="s">
        <v>3</v>
      </c>
    </row>
    <row r="2" spans="1:47" ht="42" customHeight="1" x14ac:dyDescent="0.35">
      <c r="A2" s="12" t="s">
        <v>4</v>
      </c>
      <c r="B2" s="13" t="s">
        <v>5</v>
      </c>
      <c r="C2" s="13" t="s">
        <v>6</v>
      </c>
      <c r="D2" s="13" t="s">
        <v>7</v>
      </c>
      <c r="E2" s="13" t="s">
        <v>8</v>
      </c>
      <c r="F2" s="13" t="s">
        <v>9</v>
      </c>
      <c r="G2" s="13" t="s">
        <v>10</v>
      </c>
      <c r="H2" s="13" t="s">
        <v>11</v>
      </c>
      <c r="I2" s="28" t="s">
        <v>12</v>
      </c>
      <c r="J2" s="13" t="s">
        <v>13</v>
      </c>
      <c r="K2" s="13" t="s">
        <v>14</v>
      </c>
      <c r="L2" s="13" t="s">
        <v>15</v>
      </c>
      <c r="M2" s="12" t="s">
        <v>16</v>
      </c>
      <c r="N2" s="12" t="s">
        <v>17</v>
      </c>
      <c r="O2" s="12" t="s">
        <v>18</v>
      </c>
      <c r="P2" s="14" t="s">
        <v>19</v>
      </c>
      <c r="Q2" s="15" t="s">
        <v>20</v>
      </c>
      <c r="R2" s="13" t="s">
        <v>21</v>
      </c>
      <c r="S2" s="15" t="s">
        <v>22</v>
      </c>
      <c r="T2" s="12" t="s">
        <v>23</v>
      </c>
      <c r="U2" s="12" t="s">
        <v>24</v>
      </c>
      <c r="V2" s="12" t="s">
        <v>25</v>
      </c>
      <c r="W2" s="12" t="s">
        <v>26</v>
      </c>
      <c r="X2" s="16" t="s">
        <v>27</v>
      </c>
      <c r="Y2" s="17" t="s">
        <v>28</v>
      </c>
      <c r="Z2" s="17" t="s">
        <v>29</v>
      </c>
      <c r="AA2" s="17" t="s">
        <v>30</v>
      </c>
      <c r="AB2" s="17" t="s">
        <v>31</v>
      </c>
      <c r="AC2" s="17" t="s">
        <v>32</v>
      </c>
      <c r="AD2" s="17" t="s">
        <v>33</v>
      </c>
      <c r="AE2" s="17" t="s">
        <v>34</v>
      </c>
      <c r="AF2" s="17" t="s">
        <v>35</v>
      </c>
      <c r="AG2" s="17" t="s">
        <v>36</v>
      </c>
      <c r="AH2" s="17" t="s">
        <v>37</v>
      </c>
      <c r="AI2" s="17" t="s">
        <v>38</v>
      </c>
      <c r="AJ2" s="18" t="s">
        <v>39</v>
      </c>
      <c r="AK2" s="18" t="s">
        <v>40</v>
      </c>
      <c r="AL2" s="18" t="s">
        <v>41</v>
      </c>
      <c r="AM2" s="18" t="s">
        <v>42</v>
      </c>
      <c r="AN2" s="18" t="s">
        <v>43</v>
      </c>
      <c r="AO2" s="18" t="s">
        <v>44</v>
      </c>
      <c r="AP2" s="18" t="s">
        <v>45</v>
      </c>
      <c r="AQ2" s="17" t="s">
        <v>46</v>
      </c>
      <c r="AR2" s="18" t="s">
        <v>47</v>
      </c>
      <c r="AS2" s="17" t="s">
        <v>48</v>
      </c>
      <c r="AT2" s="17" t="s">
        <v>49</v>
      </c>
      <c r="AU2" s="17" t="s">
        <v>50</v>
      </c>
    </row>
    <row r="3" spans="1:47" x14ac:dyDescent="0.35">
      <c r="A3" s="19" t="s">
        <v>51</v>
      </c>
      <c r="B3" s="19" t="s">
        <v>52</v>
      </c>
      <c r="C3" s="19"/>
      <c r="D3" s="19" t="s">
        <v>53</v>
      </c>
      <c r="E3" s="19" t="s">
        <v>54</v>
      </c>
      <c r="F3" s="20" t="s">
        <v>55</v>
      </c>
      <c r="G3" s="20" t="s">
        <v>56</v>
      </c>
      <c r="H3" s="19" t="s">
        <v>57</v>
      </c>
      <c r="I3" s="20" t="s">
        <v>58</v>
      </c>
      <c r="J3" s="20" t="s">
        <v>59</v>
      </c>
      <c r="K3" s="20" t="s">
        <v>60</v>
      </c>
      <c r="L3" s="19" t="s">
        <v>61</v>
      </c>
      <c r="M3" s="19" t="s">
        <v>62</v>
      </c>
      <c r="N3" s="20" t="s">
        <v>63</v>
      </c>
      <c r="O3" s="19">
        <v>21</v>
      </c>
      <c r="P3" s="19">
        <v>3.73</v>
      </c>
      <c r="Q3" s="19">
        <v>1</v>
      </c>
      <c r="R3" s="20">
        <v>7</v>
      </c>
      <c r="S3" s="19">
        <v>6.6000000000000003E-2</v>
      </c>
      <c r="T3" s="19" t="s">
        <v>64</v>
      </c>
      <c r="U3" s="19" t="s">
        <v>65</v>
      </c>
      <c r="V3" s="19" t="s">
        <v>66</v>
      </c>
      <c r="W3" s="19" t="s">
        <v>67</v>
      </c>
      <c r="X3" s="19" t="s">
        <v>68</v>
      </c>
      <c r="Y3" s="21" t="s">
        <v>69</v>
      </c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2"/>
      <c r="AK3" s="22"/>
      <c r="AL3" s="22"/>
      <c r="AM3" s="21" t="s">
        <v>70</v>
      </c>
      <c r="AN3" s="21" t="s">
        <v>70</v>
      </c>
      <c r="AO3" s="21" t="str">
        <f>_xlfn.XLOOKUP(A:A,[1]TAGS!$A:$A,[1]TAGS!$BG:$BG)</f>
        <v>Programar</v>
      </c>
      <c r="AP3" s="21"/>
      <c r="AQ3" s="21"/>
      <c r="AR3" s="21"/>
      <c r="AS3" s="21"/>
      <c r="AT3" s="21"/>
      <c r="AU3" s="21"/>
    </row>
    <row r="4" spans="1:47" x14ac:dyDescent="0.35">
      <c r="A4" s="19" t="s">
        <v>71</v>
      </c>
      <c r="B4" s="19" t="s">
        <v>52</v>
      </c>
      <c r="C4" s="19"/>
      <c r="D4" s="19" t="s">
        <v>53</v>
      </c>
      <c r="E4" s="19" t="s">
        <v>54</v>
      </c>
      <c r="F4" s="20" t="s">
        <v>55</v>
      </c>
      <c r="G4" s="20" t="s">
        <v>56</v>
      </c>
      <c r="H4" s="19" t="s">
        <v>72</v>
      </c>
      <c r="I4" s="20" t="s">
        <v>58</v>
      </c>
      <c r="J4" s="20" t="s">
        <v>59</v>
      </c>
      <c r="K4" s="20" t="s">
        <v>73</v>
      </c>
      <c r="L4" s="19" t="s">
        <v>61</v>
      </c>
      <c r="M4" s="19" t="s">
        <v>62</v>
      </c>
      <c r="N4" s="20" t="s">
        <v>63</v>
      </c>
      <c r="O4" s="19">
        <v>21</v>
      </c>
      <c r="P4" s="19">
        <v>3.73</v>
      </c>
      <c r="Q4" s="19">
        <v>1</v>
      </c>
      <c r="R4" s="20">
        <v>7</v>
      </c>
      <c r="S4" s="19">
        <v>6.6000000000000003E-2</v>
      </c>
      <c r="T4" s="19" t="s">
        <v>64</v>
      </c>
      <c r="U4" s="19" t="s">
        <v>65</v>
      </c>
      <c r="V4" s="19" t="s">
        <v>66</v>
      </c>
      <c r="W4" s="19" t="s">
        <v>67</v>
      </c>
      <c r="X4" s="19" t="s">
        <v>68</v>
      </c>
      <c r="Y4" s="21" t="s">
        <v>69</v>
      </c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2"/>
      <c r="AK4" s="22"/>
      <c r="AL4" s="22"/>
      <c r="AM4" s="21" t="s">
        <v>70</v>
      </c>
      <c r="AN4" s="21" t="s">
        <v>70</v>
      </c>
      <c r="AO4" s="21" t="str">
        <f>_xlfn.XLOOKUP(A:A,[1]TAGS!$A:$A,[1]TAGS!$BG:$BG)</f>
        <v>Programar</v>
      </c>
      <c r="AP4" s="21"/>
      <c r="AQ4" s="21"/>
      <c r="AR4" s="21"/>
      <c r="AS4" s="21"/>
      <c r="AT4" s="21"/>
      <c r="AU4" s="21"/>
    </row>
    <row r="5" spans="1:47" x14ac:dyDescent="0.35">
      <c r="A5" s="19" t="s">
        <v>74</v>
      </c>
      <c r="B5" s="19" t="s">
        <v>52</v>
      </c>
      <c r="C5" s="19"/>
      <c r="D5" s="19" t="s">
        <v>53</v>
      </c>
      <c r="E5" s="19" t="s">
        <v>54</v>
      </c>
      <c r="F5" s="20" t="s">
        <v>55</v>
      </c>
      <c r="G5" s="20" t="s">
        <v>75</v>
      </c>
      <c r="H5" s="19" t="s">
        <v>76</v>
      </c>
      <c r="I5" s="20" t="s">
        <v>58</v>
      </c>
      <c r="J5" s="20" t="s">
        <v>77</v>
      </c>
      <c r="K5" s="20" t="s">
        <v>78</v>
      </c>
      <c r="L5" s="19" t="s">
        <v>61</v>
      </c>
      <c r="M5" s="19" t="s">
        <v>62</v>
      </c>
      <c r="N5" s="20" t="s">
        <v>63</v>
      </c>
      <c r="O5" s="19">
        <v>21</v>
      </c>
      <c r="P5" s="19">
        <v>3.73</v>
      </c>
      <c r="Q5" s="19">
        <v>1</v>
      </c>
      <c r="R5" s="20">
        <v>7</v>
      </c>
      <c r="S5" s="19">
        <v>6.6000000000000003E-2</v>
      </c>
      <c r="T5" s="19" t="s">
        <v>64</v>
      </c>
      <c r="U5" s="19" t="s">
        <v>65</v>
      </c>
      <c r="V5" s="19" t="s">
        <v>66</v>
      </c>
      <c r="W5" s="19" t="s">
        <v>67</v>
      </c>
      <c r="X5" s="19" t="s">
        <v>68</v>
      </c>
      <c r="Y5" s="21" t="s">
        <v>69</v>
      </c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2"/>
      <c r="AK5" s="22"/>
      <c r="AL5" s="22"/>
      <c r="AM5" s="21" t="s">
        <v>70</v>
      </c>
      <c r="AN5" s="21" t="s">
        <v>70</v>
      </c>
      <c r="AO5" s="21" t="str">
        <f>_xlfn.XLOOKUP(A:A,[1]TAGS!$A:$A,[1]TAGS!$BG:$BG)</f>
        <v>Programar</v>
      </c>
      <c r="AP5" s="21"/>
      <c r="AQ5" s="21"/>
      <c r="AR5" s="21"/>
      <c r="AS5" s="21"/>
      <c r="AT5" s="21"/>
      <c r="AU5" s="21"/>
    </row>
    <row r="6" spans="1:47" x14ac:dyDescent="0.35">
      <c r="A6" s="19" t="s">
        <v>79</v>
      </c>
      <c r="B6" s="19" t="s">
        <v>52</v>
      </c>
      <c r="C6" s="19"/>
      <c r="D6" s="19" t="s">
        <v>53</v>
      </c>
      <c r="E6" s="19" t="s">
        <v>54</v>
      </c>
      <c r="F6" s="20" t="s">
        <v>55</v>
      </c>
      <c r="G6" s="20" t="s">
        <v>75</v>
      </c>
      <c r="H6" s="19" t="s">
        <v>80</v>
      </c>
      <c r="I6" s="20" t="s">
        <v>58</v>
      </c>
      <c r="J6" s="20" t="s">
        <v>77</v>
      </c>
      <c r="K6" s="20" t="s">
        <v>81</v>
      </c>
      <c r="L6" s="19" t="s">
        <v>61</v>
      </c>
      <c r="M6" s="19" t="s">
        <v>62</v>
      </c>
      <c r="N6" s="20" t="s">
        <v>63</v>
      </c>
      <c r="O6" s="19">
        <v>21</v>
      </c>
      <c r="P6" s="19">
        <v>3.73</v>
      </c>
      <c r="Q6" s="19">
        <v>1</v>
      </c>
      <c r="R6" s="20">
        <v>7</v>
      </c>
      <c r="S6" s="19">
        <v>6.6000000000000003E-2</v>
      </c>
      <c r="T6" s="19" t="s">
        <v>64</v>
      </c>
      <c r="U6" s="19" t="s">
        <v>65</v>
      </c>
      <c r="V6" s="19" t="s">
        <v>66</v>
      </c>
      <c r="W6" s="19" t="s">
        <v>67</v>
      </c>
      <c r="X6" s="19" t="s">
        <v>68</v>
      </c>
      <c r="Y6" s="21" t="s">
        <v>69</v>
      </c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2"/>
      <c r="AK6" s="22"/>
      <c r="AL6" s="22"/>
      <c r="AM6" s="21" t="s">
        <v>70</v>
      </c>
      <c r="AN6" s="21" t="s">
        <v>70</v>
      </c>
      <c r="AO6" s="21" t="str">
        <f>_xlfn.XLOOKUP(A:A,[1]TAGS!$A:$A,[1]TAGS!$BG:$BG)</f>
        <v>Programar</v>
      </c>
      <c r="AP6" s="21"/>
      <c r="AQ6" s="21"/>
      <c r="AR6" s="21"/>
      <c r="AS6" s="21"/>
      <c r="AT6" s="21"/>
      <c r="AU6" s="21"/>
    </row>
    <row r="7" spans="1:47" x14ac:dyDescent="0.35">
      <c r="A7" s="19" t="s">
        <v>82</v>
      </c>
      <c r="B7" s="19" t="s">
        <v>52</v>
      </c>
      <c r="C7" s="19"/>
      <c r="D7" s="19" t="s">
        <v>53</v>
      </c>
      <c r="E7" s="19" t="s">
        <v>54</v>
      </c>
      <c r="F7" s="20" t="s">
        <v>83</v>
      </c>
      <c r="G7" s="20" t="s">
        <v>84</v>
      </c>
      <c r="H7" s="19" t="s">
        <v>85</v>
      </c>
      <c r="I7" s="20" t="s">
        <v>58</v>
      </c>
      <c r="J7" s="20" t="s">
        <v>86</v>
      </c>
      <c r="K7" s="20" t="s">
        <v>87</v>
      </c>
      <c r="L7" s="19" t="s">
        <v>61</v>
      </c>
      <c r="M7" s="19" t="s">
        <v>62</v>
      </c>
      <c r="N7" s="20" t="s">
        <v>63</v>
      </c>
      <c r="O7" s="19">
        <v>21</v>
      </c>
      <c r="P7" s="19">
        <v>3.73</v>
      </c>
      <c r="Q7" s="19">
        <v>1</v>
      </c>
      <c r="R7" s="20">
        <v>7</v>
      </c>
      <c r="S7" s="19">
        <v>6.6000000000000003E-2</v>
      </c>
      <c r="T7" s="19" t="s">
        <v>64</v>
      </c>
      <c r="U7" s="19" t="s">
        <v>65</v>
      </c>
      <c r="V7" s="19" t="s">
        <v>66</v>
      </c>
      <c r="W7" s="19" t="s">
        <v>67</v>
      </c>
      <c r="X7" s="19" t="s">
        <v>68</v>
      </c>
      <c r="Y7" s="21" t="s">
        <v>69</v>
      </c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2"/>
      <c r="AK7" s="22"/>
      <c r="AL7" s="22"/>
      <c r="AM7" s="21" t="s">
        <v>70</v>
      </c>
      <c r="AN7" s="21" t="s">
        <v>70</v>
      </c>
      <c r="AO7" s="21" t="str">
        <f>_xlfn.XLOOKUP(A:A,[1]TAGS!$A:$A,[1]TAGS!$BG:$BG)</f>
        <v>Montado</v>
      </c>
      <c r="AP7" s="21"/>
      <c r="AQ7" s="21"/>
      <c r="AR7" s="21"/>
      <c r="AS7" s="21"/>
      <c r="AT7" s="21"/>
      <c r="AU7" s="21"/>
    </row>
    <row r="8" spans="1:47" x14ac:dyDescent="0.35">
      <c r="A8" s="19" t="s">
        <v>88</v>
      </c>
      <c r="B8" s="19" t="s">
        <v>52</v>
      </c>
      <c r="C8" s="19"/>
      <c r="D8" s="19" t="s">
        <v>53</v>
      </c>
      <c r="E8" s="19" t="s">
        <v>54</v>
      </c>
      <c r="F8" s="20" t="s">
        <v>89</v>
      </c>
      <c r="G8" s="20" t="s">
        <v>90</v>
      </c>
      <c r="H8" s="19" t="s">
        <v>91</v>
      </c>
      <c r="I8" s="20" t="s">
        <v>58</v>
      </c>
      <c r="J8" s="20" t="s">
        <v>92</v>
      </c>
      <c r="K8" s="20" t="s">
        <v>93</v>
      </c>
      <c r="L8" s="19" t="s">
        <v>61</v>
      </c>
      <c r="M8" s="19" t="s">
        <v>62</v>
      </c>
      <c r="N8" s="20" t="s">
        <v>63</v>
      </c>
      <c r="O8" s="19">
        <v>21</v>
      </c>
      <c r="P8" s="19">
        <v>3.73</v>
      </c>
      <c r="Q8" s="19">
        <v>1</v>
      </c>
      <c r="R8" s="20">
        <v>7</v>
      </c>
      <c r="S8" s="19">
        <v>6.6000000000000003E-2</v>
      </c>
      <c r="T8" s="19" t="s">
        <v>64</v>
      </c>
      <c r="U8" s="19" t="s">
        <v>65</v>
      </c>
      <c r="V8" s="19" t="s">
        <v>66</v>
      </c>
      <c r="W8" s="19" t="s">
        <v>67</v>
      </c>
      <c r="X8" s="19" t="s">
        <v>68</v>
      </c>
      <c r="Y8" s="21" t="s">
        <v>69</v>
      </c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2"/>
      <c r="AK8" s="22"/>
      <c r="AL8" s="22"/>
      <c r="AM8" s="21" t="s">
        <v>70</v>
      </c>
      <c r="AN8" s="21" t="s">
        <v>70</v>
      </c>
      <c r="AO8" s="21" t="str">
        <f>_xlfn.XLOOKUP(A:A,[1]TAGS!$A:$A,[1]TAGS!$BG:$BG)</f>
        <v>Montado</v>
      </c>
      <c r="AP8" s="21"/>
      <c r="AQ8" s="21"/>
      <c r="AR8" s="21"/>
      <c r="AS8" s="21"/>
      <c r="AT8" s="21"/>
      <c r="AU8" s="21"/>
    </row>
    <row r="9" spans="1:47" x14ac:dyDescent="0.35">
      <c r="A9" s="19" t="s">
        <v>94</v>
      </c>
      <c r="B9" s="19" t="s">
        <v>52</v>
      </c>
      <c r="C9" s="19"/>
      <c r="D9" s="19" t="s">
        <v>53</v>
      </c>
      <c r="E9" s="19" t="s">
        <v>54</v>
      </c>
      <c r="F9" s="20" t="s">
        <v>95</v>
      </c>
      <c r="G9" s="20" t="s">
        <v>96</v>
      </c>
      <c r="H9" s="19" t="s">
        <v>97</v>
      </c>
      <c r="I9" s="20" t="s">
        <v>58</v>
      </c>
      <c r="J9" s="20" t="s">
        <v>98</v>
      </c>
      <c r="K9" s="20" t="s">
        <v>99</v>
      </c>
      <c r="L9" s="19" t="s">
        <v>61</v>
      </c>
      <c r="M9" s="19" t="s">
        <v>62</v>
      </c>
      <c r="N9" s="20" t="s">
        <v>63</v>
      </c>
      <c r="O9" s="19">
        <v>21</v>
      </c>
      <c r="P9" s="19">
        <v>3.73</v>
      </c>
      <c r="Q9" s="19">
        <v>1</v>
      </c>
      <c r="R9" s="20">
        <v>7</v>
      </c>
      <c r="S9" s="19">
        <v>6.6000000000000003E-2</v>
      </c>
      <c r="T9" s="19" t="s">
        <v>64</v>
      </c>
      <c r="U9" s="19" t="s">
        <v>65</v>
      </c>
      <c r="V9" s="19" t="s">
        <v>66</v>
      </c>
      <c r="W9" s="19" t="s">
        <v>67</v>
      </c>
      <c r="X9" s="19" t="s">
        <v>68</v>
      </c>
      <c r="Y9" s="21" t="s">
        <v>69</v>
      </c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2"/>
      <c r="AK9" s="22"/>
      <c r="AL9" s="22"/>
      <c r="AM9" s="21" t="s">
        <v>70</v>
      </c>
      <c r="AN9" s="21" t="s">
        <v>70</v>
      </c>
      <c r="AO9" s="21" t="str">
        <f>_xlfn.XLOOKUP(A:A,[1]TAGS!$A:$A,[1]TAGS!$BG:$BG)</f>
        <v>Montado</v>
      </c>
      <c r="AP9" s="21"/>
      <c r="AQ9" s="21"/>
      <c r="AR9" s="21"/>
      <c r="AS9" s="21"/>
      <c r="AT9" s="21"/>
      <c r="AU9" s="21"/>
    </row>
    <row r="10" spans="1:47" x14ac:dyDescent="0.35">
      <c r="A10" s="19" t="s">
        <v>100</v>
      </c>
      <c r="B10" s="19" t="s">
        <v>52</v>
      </c>
      <c r="C10" s="19"/>
      <c r="D10" s="19" t="s">
        <v>53</v>
      </c>
      <c r="E10" s="19" t="s">
        <v>54</v>
      </c>
      <c r="F10" s="20" t="s">
        <v>101</v>
      </c>
      <c r="G10" s="20" t="s">
        <v>102</v>
      </c>
      <c r="H10" s="19" t="s">
        <v>103</v>
      </c>
      <c r="I10" s="20" t="s">
        <v>58</v>
      </c>
      <c r="J10" s="20" t="s">
        <v>104</v>
      </c>
      <c r="K10" s="20" t="s">
        <v>105</v>
      </c>
      <c r="L10" s="19" t="s">
        <v>61</v>
      </c>
      <c r="M10" s="19" t="s">
        <v>62</v>
      </c>
      <c r="N10" s="20" t="s">
        <v>63</v>
      </c>
      <c r="O10" s="19">
        <v>21</v>
      </c>
      <c r="P10" s="19">
        <v>3.73</v>
      </c>
      <c r="Q10" s="19">
        <v>1</v>
      </c>
      <c r="R10" s="20">
        <v>7</v>
      </c>
      <c r="S10" s="19">
        <v>6.6000000000000003E-2</v>
      </c>
      <c r="T10" s="19" t="s">
        <v>64</v>
      </c>
      <c r="U10" s="19" t="s">
        <v>65</v>
      </c>
      <c r="V10" s="19" t="s">
        <v>66</v>
      </c>
      <c r="W10" s="19" t="s">
        <v>67</v>
      </c>
      <c r="X10" s="19" t="s">
        <v>68</v>
      </c>
      <c r="Y10" s="21" t="s">
        <v>69</v>
      </c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2"/>
      <c r="AK10" s="22"/>
      <c r="AL10" s="22"/>
      <c r="AM10" s="21" t="s">
        <v>70</v>
      </c>
      <c r="AN10" s="21" t="s">
        <v>70</v>
      </c>
      <c r="AO10" s="21" t="str">
        <f>_xlfn.XLOOKUP(A:A,[1]TAGS!$A:$A,[1]TAGS!$BG:$BG)</f>
        <v>Não Montado</v>
      </c>
      <c r="AP10" s="21"/>
      <c r="AQ10" s="21"/>
      <c r="AR10" s="21"/>
      <c r="AS10" s="21"/>
      <c r="AT10" s="21"/>
      <c r="AU10" s="21"/>
    </row>
    <row r="11" spans="1:47" x14ac:dyDescent="0.35">
      <c r="A11" s="19" t="s">
        <v>106</v>
      </c>
      <c r="B11" s="19" t="s">
        <v>52</v>
      </c>
      <c r="C11" s="19"/>
      <c r="D11" s="19" t="s">
        <v>53</v>
      </c>
      <c r="E11" s="19" t="s">
        <v>54</v>
      </c>
      <c r="F11" s="20" t="s">
        <v>101</v>
      </c>
      <c r="G11" s="20" t="s">
        <v>102</v>
      </c>
      <c r="H11" s="19" t="s">
        <v>107</v>
      </c>
      <c r="I11" s="20" t="s">
        <v>58</v>
      </c>
      <c r="J11" s="20" t="s">
        <v>104</v>
      </c>
      <c r="K11" s="20" t="s">
        <v>108</v>
      </c>
      <c r="L11" s="19" t="s">
        <v>61</v>
      </c>
      <c r="M11" s="19" t="s">
        <v>62</v>
      </c>
      <c r="N11" s="20" t="s">
        <v>63</v>
      </c>
      <c r="O11" s="19">
        <v>21</v>
      </c>
      <c r="P11" s="19">
        <v>3.73</v>
      </c>
      <c r="Q11" s="19">
        <v>1</v>
      </c>
      <c r="R11" s="20">
        <v>4</v>
      </c>
      <c r="S11" s="19">
        <v>6.6000000000000003E-2</v>
      </c>
      <c r="T11" s="19" t="s">
        <v>64</v>
      </c>
      <c r="U11" s="19" t="s">
        <v>65</v>
      </c>
      <c r="V11" s="19" t="s">
        <v>66</v>
      </c>
      <c r="W11" s="19" t="s">
        <v>67</v>
      </c>
      <c r="X11" s="19" t="s">
        <v>68</v>
      </c>
      <c r="Y11" s="21" t="s">
        <v>69</v>
      </c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2"/>
      <c r="AK11" s="22"/>
      <c r="AL11" s="22"/>
      <c r="AM11" s="21" t="s">
        <v>70</v>
      </c>
      <c r="AN11" s="21" t="s">
        <v>70</v>
      </c>
      <c r="AO11" s="21" t="str">
        <f>_xlfn.XLOOKUP(A:A,[1]TAGS!$A:$A,[1]TAGS!$BG:$BG)</f>
        <v>Montado</v>
      </c>
      <c r="AP11" s="21"/>
      <c r="AQ11" s="21"/>
      <c r="AR11" s="21"/>
      <c r="AS11" s="21"/>
      <c r="AT11" s="21"/>
      <c r="AU11" s="21"/>
    </row>
    <row r="12" spans="1:47" x14ac:dyDescent="0.35">
      <c r="A12" s="19" t="s">
        <v>109</v>
      </c>
      <c r="B12" s="19" t="s">
        <v>52</v>
      </c>
      <c r="C12" s="19"/>
      <c r="D12" s="19" t="s">
        <v>53</v>
      </c>
      <c r="E12" s="19" t="s">
        <v>54</v>
      </c>
      <c r="F12" s="20" t="s">
        <v>101</v>
      </c>
      <c r="G12" s="20" t="s">
        <v>102</v>
      </c>
      <c r="H12" s="19" t="s">
        <v>110</v>
      </c>
      <c r="I12" s="20" t="s">
        <v>58</v>
      </c>
      <c r="J12" s="20" t="s">
        <v>104</v>
      </c>
      <c r="K12" s="20" t="s">
        <v>111</v>
      </c>
      <c r="L12" s="19" t="s">
        <v>61</v>
      </c>
      <c r="M12" s="19" t="s">
        <v>62</v>
      </c>
      <c r="N12" s="20" t="s">
        <v>63</v>
      </c>
      <c r="O12" s="19">
        <v>21</v>
      </c>
      <c r="P12" s="19">
        <v>3.73</v>
      </c>
      <c r="Q12" s="19">
        <v>1</v>
      </c>
      <c r="R12" s="20">
        <v>7</v>
      </c>
      <c r="S12" s="19">
        <v>6.6000000000000003E-2</v>
      </c>
      <c r="T12" s="19" t="s">
        <v>64</v>
      </c>
      <c r="U12" s="19" t="s">
        <v>65</v>
      </c>
      <c r="V12" s="19" t="s">
        <v>66</v>
      </c>
      <c r="W12" s="19" t="s">
        <v>67</v>
      </c>
      <c r="X12" s="19" t="s">
        <v>68</v>
      </c>
      <c r="Y12" s="21" t="s">
        <v>69</v>
      </c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2"/>
      <c r="AK12" s="22"/>
      <c r="AL12" s="22"/>
      <c r="AM12" s="21" t="s">
        <v>70</v>
      </c>
      <c r="AN12" s="21" t="s">
        <v>70</v>
      </c>
      <c r="AO12" s="21" t="str">
        <f>_xlfn.XLOOKUP(A:A,[1]TAGS!$A:$A,[1]TAGS!$BG:$BG)</f>
        <v>Não Montado</v>
      </c>
      <c r="AP12" s="21"/>
      <c r="AQ12" s="21"/>
      <c r="AR12" s="21"/>
      <c r="AS12" s="21"/>
      <c r="AT12" s="21"/>
      <c r="AU12" s="21"/>
    </row>
    <row r="13" spans="1:47" x14ac:dyDescent="0.35">
      <c r="A13" s="19" t="s">
        <v>112</v>
      </c>
      <c r="B13" s="19" t="s">
        <v>52</v>
      </c>
      <c r="C13" s="19"/>
      <c r="D13" s="19" t="s">
        <v>53</v>
      </c>
      <c r="E13" s="19" t="s">
        <v>54</v>
      </c>
      <c r="F13" s="20" t="s">
        <v>101</v>
      </c>
      <c r="G13" s="20" t="s">
        <v>102</v>
      </c>
      <c r="H13" s="19" t="s">
        <v>113</v>
      </c>
      <c r="I13" s="20" t="s">
        <v>58</v>
      </c>
      <c r="J13" s="20" t="s">
        <v>104</v>
      </c>
      <c r="K13" s="20" t="s">
        <v>114</v>
      </c>
      <c r="L13" s="19" t="s">
        <v>61</v>
      </c>
      <c r="M13" s="19" t="s">
        <v>62</v>
      </c>
      <c r="N13" s="20" t="s">
        <v>63</v>
      </c>
      <c r="O13" s="19">
        <v>21</v>
      </c>
      <c r="P13" s="19">
        <v>3.73</v>
      </c>
      <c r="Q13" s="19">
        <v>1</v>
      </c>
      <c r="R13" s="20">
        <v>7</v>
      </c>
      <c r="S13" s="19">
        <v>6.6000000000000003E-2</v>
      </c>
      <c r="T13" s="19" t="s">
        <v>64</v>
      </c>
      <c r="U13" s="19" t="s">
        <v>65</v>
      </c>
      <c r="V13" s="19" t="s">
        <v>66</v>
      </c>
      <c r="W13" s="19" t="s">
        <v>67</v>
      </c>
      <c r="X13" s="19" t="s">
        <v>68</v>
      </c>
      <c r="Y13" s="21" t="s">
        <v>69</v>
      </c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2"/>
      <c r="AK13" s="22"/>
      <c r="AL13" s="22"/>
      <c r="AM13" s="21" t="s">
        <v>70</v>
      </c>
      <c r="AN13" s="21" t="s">
        <v>70</v>
      </c>
      <c r="AO13" s="21" t="str">
        <f>_xlfn.XLOOKUP(A:A,[1]TAGS!$A:$A,[1]TAGS!$BG:$BG)</f>
        <v>Montado</v>
      </c>
      <c r="AP13" s="21"/>
      <c r="AQ13" s="21"/>
      <c r="AR13" s="21"/>
      <c r="AS13" s="21"/>
      <c r="AT13" s="21"/>
      <c r="AU13" s="21"/>
    </row>
    <row r="14" spans="1:47" x14ac:dyDescent="0.35">
      <c r="A14" s="19" t="s">
        <v>115</v>
      </c>
      <c r="B14" s="19" t="s">
        <v>52</v>
      </c>
      <c r="C14" s="19"/>
      <c r="D14" s="19" t="s">
        <v>53</v>
      </c>
      <c r="E14" s="19" t="s">
        <v>54</v>
      </c>
      <c r="F14" s="20" t="s">
        <v>116</v>
      </c>
      <c r="G14" s="20" t="s">
        <v>117</v>
      </c>
      <c r="H14" s="19" t="s">
        <v>118</v>
      </c>
      <c r="I14" s="20" t="s">
        <v>58</v>
      </c>
      <c r="J14" s="20" t="s">
        <v>119</v>
      </c>
      <c r="K14" s="20" t="s">
        <v>120</v>
      </c>
      <c r="L14" s="19" t="s">
        <v>61</v>
      </c>
      <c r="M14" s="19" t="s">
        <v>62</v>
      </c>
      <c r="N14" s="20" t="s">
        <v>63</v>
      </c>
      <c r="O14" s="19">
        <v>21</v>
      </c>
      <c r="P14" s="19">
        <v>3.73</v>
      </c>
      <c r="Q14" s="19">
        <v>1</v>
      </c>
      <c r="R14" s="20">
        <v>7</v>
      </c>
      <c r="S14" s="19">
        <v>6.6000000000000003E-2</v>
      </c>
      <c r="T14" s="19" t="s">
        <v>64</v>
      </c>
      <c r="U14" s="19" t="s">
        <v>65</v>
      </c>
      <c r="V14" s="19" t="s">
        <v>66</v>
      </c>
      <c r="W14" s="19" t="s">
        <v>67</v>
      </c>
      <c r="X14" s="19" t="s">
        <v>68</v>
      </c>
      <c r="Y14" s="21" t="s">
        <v>69</v>
      </c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2"/>
      <c r="AK14" s="22"/>
      <c r="AL14" s="22"/>
      <c r="AM14" s="21" t="s">
        <v>70</v>
      </c>
      <c r="AN14" s="21" t="s">
        <v>70</v>
      </c>
      <c r="AO14" s="21" t="str">
        <f>_xlfn.XLOOKUP(A:A,[1]TAGS!$A:$A,[1]TAGS!$BG:$BG)</f>
        <v>Montado</v>
      </c>
      <c r="AP14" s="21"/>
      <c r="AQ14" s="21"/>
      <c r="AR14" s="21"/>
      <c r="AS14" s="21"/>
      <c r="AT14" s="21"/>
      <c r="AU14" s="21"/>
    </row>
    <row r="15" spans="1:47" x14ac:dyDescent="0.35">
      <c r="A15" s="19" t="s">
        <v>121</v>
      </c>
      <c r="B15" s="19" t="s">
        <v>52</v>
      </c>
      <c r="C15" s="19"/>
      <c r="D15" s="19" t="s">
        <v>53</v>
      </c>
      <c r="E15" s="19" t="s">
        <v>54</v>
      </c>
      <c r="F15" s="20" t="s">
        <v>116</v>
      </c>
      <c r="G15" s="20" t="s">
        <v>122</v>
      </c>
      <c r="H15" s="19" t="s">
        <v>123</v>
      </c>
      <c r="I15" s="20" t="s">
        <v>124</v>
      </c>
      <c r="J15" s="20" t="s">
        <v>125</v>
      </c>
      <c r="K15" s="20" t="s">
        <v>126</v>
      </c>
      <c r="L15" s="19" t="s">
        <v>61</v>
      </c>
      <c r="M15" s="19" t="s">
        <v>62</v>
      </c>
      <c r="N15" s="20" t="s">
        <v>63</v>
      </c>
      <c r="O15" s="19">
        <v>21</v>
      </c>
      <c r="P15" s="19">
        <v>3.73</v>
      </c>
      <c r="Q15" s="19">
        <v>1</v>
      </c>
      <c r="R15" s="20">
        <v>7</v>
      </c>
      <c r="S15" s="19">
        <v>6.6000000000000003E-2</v>
      </c>
      <c r="T15" s="19" t="s">
        <v>64</v>
      </c>
      <c r="U15" s="19" t="s">
        <v>65</v>
      </c>
      <c r="V15" s="19" t="s">
        <v>66</v>
      </c>
      <c r="W15" s="19" t="s">
        <v>67</v>
      </c>
      <c r="X15" s="19" t="s">
        <v>68</v>
      </c>
      <c r="Y15" s="21" t="s">
        <v>69</v>
      </c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2"/>
      <c r="AK15" s="22"/>
      <c r="AL15" s="22"/>
      <c r="AM15" s="21" t="s">
        <v>70</v>
      </c>
      <c r="AN15" s="21" t="s">
        <v>70</v>
      </c>
      <c r="AO15" s="21" t="str">
        <f>_xlfn.XLOOKUP(A:A,[1]TAGS!$A:$A,[1]TAGS!$BG:$BG)</f>
        <v>Montado</v>
      </c>
      <c r="AP15" s="21"/>
      <c r="AQ15" s="21"/>
      <c r="AR15" s="21"/>
      <c r="AS15" s="21"/>
      <c r="AT15" s="21"/>
      <c r="AU15" s="21"/>
    </row>
    <row r="16" spans="1:47" x14ac:dyDescent="0.35">
      <c r="A16" s="19" t="s">
        <v>127</v>
      </c>
      <c r="B16" s="19" t="s">
        <v>52</v>
      </c>
      <c r="C16" s="19"/>
      <c r="D16" s="19" t="s">
        <v>53</v>
      </c>
      <c r="E16" s="19" t="s">
        <v>54</v>
      </c>
      <c r="F16" s="20" t="s">
        <v>116</v>
      </c>
      <c r="G16" s="20" t="s">
        <v>128</v>
      </c>
      <c r="H16" s="19" t="s">
        <v>129</v>
      </c>
      <c r="I16" s="20" t="s">
        <v>124</v>
      </c>
      <c r="J16" s="20" t="s">
        <v>130</v>
      </c>
      <c r="K16" s="20" t="s">
        <v>131</v>
      </c>
      <c r="L16" s="19" t="s">
        <v>61</v>
      </c>
      <c r="M16" s="19" t="s">
        <v>62</v>
      </c>
      <c r="N16" s="20" t="s">
        <v>63</v>
      </c>
      <c r="O16" s="19">
        <v>21</v>
      </c>
      <c r="P16" s="19">
        <v>3.73</v>
      </c>
      <c r="Q16" s="19">
        <v>1</v>
      </c>
      <c r="R16" s="20">
        <v>7</v>
      </c>
      <c r="S16" s="19">
        <v>6.6000000000000003E-2</v>
      </c>
      <c r="T16" s="19" t="s">
        <v>64</v>
      </c>
      <c r="U16" s="19" t="s">
        <v>65</v>
      </c>
      <c r="V16" s="19" t="s">
        <v>66</v>
      </c>
      <c r="W16" s="19" t="s">
        <v>67</v>
      </c>
      <c r="X16" s="19" t="s">
        <v>68</v>
      </c>
      <c r="Y16" s="21" t="s">
        <v>69</v>
      </c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2"/>
      <c r="AK16" s="22"/>
      <c r="AL16" s="22"/>
      <c r="AM16" s="21" t="s">
        <v>70</v>
      </c>
      <c r="AN16" s="21" t="s">
        <v>70</v>
      </c>
      <c r="AO16" s="21" t="str">
        <f>_xlfn.XLOOKUP(A:A,[1]TAGS!$A:$A,[1]TAGS!$BG:$BG)</f>
        <v>Montado</v>
      </c>
      <c r="AP16" s="21"/>
      <c r="AQ16" s="21"/>
      <c r="AR16" s="21"/>
      <c r="AS16" s="21"/>
      <c r="AT16" s="21"/>
      <c r="AU16" s="21"/>
    </row>
    <row r="17" spans="1:47" x14ac:dyDescent="0.35">
      <c r="A17" s="19" t="s">
        <v>132</v>
      </c>
      <c r="B17" s="19" t="s">
        <v>52</v>
      </c>
      <c r="C17" s="19"/>
      <c r="D17" s="19" t="s">
        <v>53</v>
      </c>
      <c r="E17" s="19" t="s">
        <v>54</v>
      </c>
      <c r="F17" s="20" t="s">
        <v>116</v>
      </c>
      <c r="G17" s="20" t="s">
        <v>133</v>
      </c>
      <c r="H17" s="19" t="s">
        <v>134</v>
      </c>
      <c r="I17" s="20" t="s">
        <v>58</v>
      </c>
      <c r="J17" s="20" t="s">
        <v>135</v>
      </c>
      <c r="K17" s="20" t="s">
        <v>136</v>
      </c>
      <c r="L17" s="19" t="s">
        <v>61</v>
      </c>
      <c r="M17" s="19" t="s">
        <v>62</v>
      </c>
      <c r="N17" s="20" t="s">
        <v>63</v>
      </c>
      <c r="O17" s="19">
        <v>21</v>
      </c>
      <c r="P17" s="19">
        <v>3.73</v>
      </c>
      <c r="Q17" s="19">
        <v>1</v>
      </c>
      <c r="R17" s="20">
        <v>7</v>
      </c>
      <c r="S17" s="19">
        <v>6.6000000000000003E-2</v>
      </c>
      <c r="T17" s="19" t="s">
        <v>64</v>
      </c>
      <c r="U17" s="19" t="s">
        <v>65</v>
      </c>
      <c r="V17" s="19" t="s">
        <v>66</v>
      </c>
      <c r="W17" s="19" t="s">
        <v>67</v>
      </c>
      <c r="X17" s="19" t="s">
        <v>68</v>
      </c>
      <c r="Y17" s="21" t="s">
        <v>69</v>
      </c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2"/>
      <c r="AK17" s="22"/>
      <c r="AL17" s="22"/>
      <c r="AM17" s="21" t="s">
        <v>70</v>
      </c>
      <c r="AN17" s="21" t="s">
        <v>70</v>
      </c>
      <c r="AO17" s="21" t="str">
        <f>_xlfn.XLOOKUP(A:A,[1]TAGS!$A:$A,[1]TAGS!$BG:$BG)</f>
        <v>Montado</v>
      </c>
      <c r="AP17" s="21"/>
      <c r="AQ17" s="21"/>
      <c r="AR17" s="21"/>
      <c r="AS17" s="21"/>
      <c r="AT17" s="21"/>
      <c r="AU17" s="21"/>
    </row>
    <row r="18" spans="1:47" x14ac:dyDescent="0.35">
      <c r="A18" s="19" t="s">
        <v>137</v>
      </c>
      <c r="B18" s="19" t="s">
        <v>52</v>
      </c>
      <c r="C18" s="19"/>
      <c r="D18" s="19" t="s">
        <v>53</v>
      </c>
      <c r="E18" s="19" t="s">
        <v>54</v>
      </c>
      <c r="F18" s="20" t="s">
        <v>101</v>
      </c>
      <c r="G18" s="20" t="s">
        <v>102</v>
      </c>
      <c r="H18" s="19" t="s">
        <v>138</v>
      </c>
      <c r="I18" s="20" t="s">
        <v>58</v>
      </c>
      <c r="J18" s="20" t="s">
        <v>104</v>
      </c>
      <c r="K18" s="20" t="s">
        <v>139</v>
      </c>
      <c r="L18" s="19" t="s">
        <v>61</v>
      </c>
      <c r="M18" s="19" t="s">
        <v>62</v>
      </c>
      <c r="N18" s="20" t="s">
        <v>63</v>
      </c>
      <c r="O18" s="19">
        <v>21</v>
      </c>
      <c r="P18" s="19">
        <v>3.73</v>
      </c>
      <c r="Q18" s="19">
        <v>1</v>
      </c>
      <c r="R18" s="20">
        <v>7</v>
      </c>
      <c r="S18" s="19">
        <v>6.6000000000000003E-2</v>
      </c>
      <c r="T18" s="19" t="s">
        <v>64</v>
      </c>
      <c r="U18" s="19" t="s">
        <v>65</v>
      </c>
      <c r="V18" s="19" t="s">
        <v>66</v>
      </c>
      <c r="W18" s="19" t="s">
        <v>67</v>
      </c>
      <c r="X18" s="19" t="s">
        <v>68</v>
      </c>
      <c r="Y18" s="21" t="s">
        <v>69</v>
      </c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2"/>
      <c r="AK18" s="22"/>
      <c r="AL18" s="22"/>
      <c r="AM18" s="21" t="s">
        <v>70</v>
      </c>
      <c r="AN18" s="21" t="s">
        <v>70</v>
      </c>
      <c r="AO18" s="21" t="str">
        <f>_xlfn.XLOOKUP(A:A,[1]TAGS!$A:$A,[1]TAGS!$BG:$BG)</f>
        <v>Montado</v>
      </c>
      <c r="AP18" s="21"/>
      <c r="AQ18" s="21"/>
      <c r="AR18" s="21"/>
      <c r="AS18" s="21"/>
      <c r="AT18" s="21"/>
      <c r="AU18" s="21"/>
    </row>
    <row r="19" spans="1:47" x14ac:dyDescent="0.35">
      <c r="A19" s="19" t="s">
        <v>140</v>
      </c>
      <c r="B19" s="19" t="s">
        <v>52</v>
      </c>
      <c r="C19" s="19"/>
      <c r="D19" s="19" t="s">
        <v>53</v>
      </c>
      <c r="E19" s="19" t="s">
        <v>54</v>
      </c>
      <c r="F19" s="20" t="s">
        <v>141</v>
      </c>
      <c r="G19" s="20" t="s">
        <v>142</v>
      </c>
      <c r="H19" s="19" t="s">
        <v>143</v>
      </c>
      <c r="I19" s="20" t="s">
        <v>58</v>
      </c>
      <c r="J19" s="20" t="s">
        <v>144</v>
      </c>
      <c r="K19" s="20" t="s">
        <v>145</v>
      </c>
      <c r="L19" s="19" t="s">
        <v>61</v>
      </c>
      <c r="M19" s="19" t="s">
        <v>62</v>
      </c>
      <c r="N19" s="20" t="s">
        <v>63</v>
      </c>
      <c r="O19" s="19">
        <v>21</v>
      </c>
      <c r="P19" s="19">
        <v>3.73</v>
      </c>
      <c r="Q19" s="19">
        <v>1</v>
      </c>
      <c r="R19" s="20">
        <v>7</v>
      </c>
      <c r="S19" s="19">
        <v>6.6000000000000003E-2</v>
      </c>
      <c r="T19" s="19" t="s">
        <v>64</v>
      </c>
      <c r="U19" s="19" t="s">
        <v>65</v>
      </c>
      <c r="V19" s="19" t="s">
        <v>66</v>
      </c>
      <c r="W19" s="19" t="s">
        <v>67</v>
      </c>
      <c r="X19" s="19" t="s">
        <v>68</v>
      </c>
      <c r="Y19" s="21" t="s">
        <v>69</v>
      </c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2"/>
      <c r="AK19" s="22"/>
      <c r="AL19" s="22"/>
      <c r="AM19" s="21" t="s">
        <v>70</v>
      </c>
      <c r="AN19" s="21" t="s">
        <v>70</v>
      </c>
      <c r="AO19" s="21" t="str">
        <f>_xlfn.XLOOKUP(A:A,[1]TAGS!$A:$A,[1]TAGS!$BG:$BG)</f>
        <v>Montado</v>
      </c>
      <c r="AP19" s="21"/>
      <c r="AQ19" s="21"/>
      <c r="AR19" s="21"/>
      <c r="AS19" s="21"/>
      <c r="AT19" s="21"/>
      <c r="AU19" s="21"/>
    </row>
    <row r="20" spans="1:47" x14ac:dyDescent="0.35">
      <c r="A20" s="19" t="s">
        <v>146</v>
      </c>
      <c r="B20" s="19" t="s">
        <v>52</v>
      </c>
      <c r="C20" s="19"/>
      <c r="D20" s="19" t="s">
        <v>53</v>
      </c>
      <c r="E20" s="19" t="s">
        <v>54</v>
      </c>
      <c r="F20" s="20" t="s">
        <v>141</v>
      </c>
      <c r="G20" s="20" t="s">
        <v>142</v>
      </c>
      <c r="H20" s="19" t="s">
        <v>147</v>
      </c>
      <c r="I20" s="20" t="s">
        <v>58</v>
      </c>
      <c r="J20" s="20" t="s">
        <v>144</v>
      </c>
      <c r="K20" s="20" t="s">
        <v>148</v>
      </c>
      <c r="L20" s="19" t="s">
        <v>61</v>
      </c>
      <c r="M20" s="19" t="s">
        <v>62</v>
      </c>
      <c r="N20" s="20" t="s">
        <v>63</v>
      </c>
      <c r="O20" s="19">
        <v>21</v>
      </c>
      <c r="P20" s="19">
        <v>3.73</v>
      </c>
      <c r="Q20" s="19">
        <v>1</v>
      </c>
      <c r="R20" s="20">
        <v>7</v>
      </c>
      <c r="S20" s="19">
        <v>6.6000000000000003E-2</v>
      </c>
      <c r="T20" s="19" t="s">
        <v>64</v>
      </c>
      <c r="U20" s="19" t="s">
        <v>65</v>
      </c>
      <c r="V20" s="19" t="s">
        <v>66</v>
      </c>
      <c r="W20" s="19" t="s">
        <v>67</v>
      </c>
      <c r="X20" s="19" t="s">
        <v>68</v>
      </c>
      <c r="Y20" s="21" t="s">
        <v>69</v>
      </c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2"/>
      <c r="AK20" s="22"/>
      <c r="AL20" s="22"/>
      <c r="AM20" s="21" t="s">
        <v>70</v>
      </c>
      <c r="AN20" s="21" t="s">
        <v>70</v>
      </c>
      <c r="AO20" s="21" t="str">
        <f>_xlfn.XLOOKUP(A:A,[1]TAGS!$A:$A,[1]TAGS!$BG:$BG)</f>
        <v>Montado</v>
      </c>
      <c r="AP20" s="21"/>
      <c r="AQ20" s="21"/>
      <c r="AR20" s="21"/>
      <c r="AS20" s="21"/>
      <c r="AT20" s="21"/>
      <c r="AU20" s="21"/>
    </row>
    <row r="21" spans="1:47" x14ac:dyDescent="0.35">
      <c r="A21" s="19" t="s">
        <v>149</v>
      </c>
      <c r="B21" s="19" t="s">
        <v>52</v>
      </c>
      <c r="C21" s="19"/>
      <c r="D21" s="19" t="s">
        <v>53</v>
      </c>
      <c r="E21" s="19" t="s">
        <v>54</v>
      </c>
      <c r="F21" s="20" t="s">
        <v>141</v>
      </c>
      <c r="G21" s="20" t="s">
        <v>142</v>
      </c>
      <c r="H21" s="19" t="s">
        <v>150</v>
      </c>
      <c r="I21" s="20" t="s">
        <v>58</v>
      </c>
      <c r="J21" s="20" t="s">
        <v>144</v>
      </c>
      <c r="K21" s="20" t="s">
        <v>151</v>
      </c>
      <c r="L21" s="19" t="s">
        <v>61</v>
      </c>
      <c r="M21" s="19" t="s">
        <v>62</v>
      </c>
      <c r="N21" s="20" t="s">
        <v>63</v>
      </c>
      <c r="O21" s="19">
        <v>21</v>
      </c>
      <c r="P21" s="19">
        <v>3.73</v>
      </c>
      <c r="Q21" s="19">
        <v>1</v>
      </c>
      <c r="R21" s="20">
        <v>7</v>
      </c>
      <c r="S21" s="19">
        <v>6.6000000000000003E-2</v>
      </c>
      <c r="T21" s="19" t="s">
        <v>64</v>
      </c>
      <c r="U21" s="19" t="s">
        <v>65</v>
      </c>
      <c r="V21" s="19" t="s">
        <v>66</v>
      </c>
      <c r="W21" s="19" t="s">
        <v>67</v>
      </c>
      <c r="X21" s="19" t="s">
        <v>68</v>
      </c>
      <c r="Y21" s="21" t="s">
        <v>69</v>
      </c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2"/>
      <c r="AK21" s="22"/>
      <c r="AL21" s="22"/>
      <c r="AM21" s="21" t="s">
        <v>70</v>
      </c>
      <c r="AN21" s="21" t="s">
        <v>70</v>
      </c>
      <c r="AO21" s="21" t="str">
        <f>_xlfn.XLOOKUP(A:A,[1]TAGS!$A:$A,[1]TAGS!$BG:$BG)</f>
        <v>Montado</v>
      </c>
      <c r="AP21" s="21"/>
      <c r="AQ21" s="21"/>
      <c r="AR21" s="21"/>
      <c r="AS21" s="21"/>
      <c r="AT21" s="21"/>
      <c r="AU21" s="21"/>
    </row>
    <row r="22" spans="1:47" x14ac:dyDescent="0.35">
      <c r="A22" s="19" t="s">
        <v>152</v>
      </c>
      <c r="B22" s="19" t="s">
        <v>52</v>
      </c>
      <c r="C22" s="19"/>
      <c r="D22" s="19" t="s">
        <v>53</v>
      </c>
      <c r="E22" s="19" t="s">
        <v>54</v>
      </c>
      <c r="F22" s="20" t="s">
        <v>141</v>
      </c>
      <c r="G22" s="20" t="s">
        <v>142</v>
      </c>
      <c r="H22" s="19" t="s">
        <v>153</v>
      </c>
      <c r="I22" s="20" t="s">
        <v>58</v>
      </c>
      <c r="J22" s="20" t="s">
        <v>144</v>
      </c>
      <c r="K22" s="20" t="s">
        <v>154</v>
      </c>
      <c r="L22" s="19" t="s">
        <v>61</v>
      </c>
      <c r="M22" s="19" t="s">
        <v>62</v>
      </c>
      <c r="N22" s="20" t="s">
        <v>63</v>
      </c>
      <c r="O22" s="19">
        <v>21</v>
      </c>
      <c r="P22" s="19">
        <v>3.73</v>
      </c>
      <c r="Q22" s="19">
        <v>1</v>
      </c>
      <c r="R22" s="20">
        <v>7</v>
      </c>
      <c r="S22" s="19">
        <v>6.6000000000000003E-2</v>
      </c>
      <c r="T22" s="19" t="s">
        <v>64</v>
      </c>
      <c r="U22" s="19" t="s">
        <v>65</v>
      </c>
      <c r="V22" s="19" t="s">
        <v>66</v>
      </c>
      <c r="W22" s="19" t="s">
        <v>67</v>
      </c>
      <c r="X22" s="19" t="s">
        <v>68</v>
      </c>
      <c r="Y22" s="21" t="s">
        <v>69</v>
      </c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2"/>
      <c r="AK22" s="22"/>
      <c r="AL22" s="22"/>
      <c r="AM22" s="21" t="s">
        <v>70</v>
      </c>
      <c r="AN22" s="21" t="s">
        <v>70</v>
      </c>
      <c r="AO22" s="21" t="str">
        <f>_xlfn.XLOOKUP(A:A,[1]TAGS!$A:$A,[1]TAGS!$BG:$BG)</f>
        <v>Não Montado</v>
      </c>
      <c r="AP22" s="21"/>
      <c r="AQ22" s="21"/>
      <c r="AR22" s="21"/>
      <c r="AS22" s="21"/>
      <c r="AT22" s="21"/>
      <c r="AU22" s="21"/>
    </row>
    <row r="23" spans="1:47" x14ac:dyDescent="0.35">
      <c r="A23" s="19" t="s">
        <v>155</v>
      </c>
      <c r="B23" s="19" t="s">
        <v>52</v>
      </c>
      <c r="C23" s="19"/>
      <c r="D23" s="19" t="s">
        <v>53</v>
      </c>
      <c r="E23" s="19" t="s">
        <v>54</v>
      </c>
      <c r="F23" s="20" t="s">
        <v>141</v>
      </c>
      <c r="G23" s="20" t="s">
        <v>142</v>
      </c>
      <c r="H23" s="19" t="s">
        <v>156</v>
      </c>
      <c r="I23" s="20" t="s">
        <v>58</v>
      </c>
      <c r="J23" s="20" t="s">
        <v>144</v>
      </c>
      <c r="K23" s="20" t="s">
        <v>157</v>
      </c>
      <c r="L23" s="19" t="s">
        <v>61</v>
      </c>
      <c r="M23" s="19" t="s">
        <v>62</v>
      </c>
      <c r="N23" s="20" t="s">
        <v>63</v>
      </c>
      <c r="O23" s="19">
        <v>21</v>
      </c>
      <c r="P23" s="19">
        <v>3.73</v>
      </c>
      <c r="Q23" s="19">
        <v>1</v>
      </c>
      <c r="R23" s="20">
        <v>7</v>
      </c>
      <c r="S23" s="19">
        <v>6.6000000000000003E-2</v>
      </c>
      <c r="T23" s="19" t="s">
        <v>64</v>
      </c>
      <c r="U23" s="19" t="s">
        <v>65</v>
      </c>
      <c r="V23" s="19" t="s">
        <v>66</v>
      </c>
      <c r="W23" s="19" t="s">
        <v>67</v>
      </c>
      <c r="X23" s="19" t="s">
        <v>68</v>
      </c>
      <c r="Y23" s="21" t="s">
        <v>69</v>
      </c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2"/>
      <c r="AK23" s="22"/>
      <c r="AL23" s="22"/>
      <c r="AM23" s="21" t="s">
        <v>70</v>
      </c>
      <c r="AN23" s="21" t="s">
        <v>70</v>
      </c>
      <c r="AO23" s="21" t="str">
        <f>_xlfn.XLOOKUP(A:A,[1]TAGS!$A:$A,[1]TAGS!$BG:$BG)</f>
        <v>Montado</v>
      </c>
      <c r="AP23" s="21"/>
      <c r="AQ23" s="21"/>
      <c r="AR23" s="21"/>
      <c r="AS23" s="21"/>
      <c r="AT23" s="21"/>
      <c r="AU23" s="21"/>
    </row>
    <row r="24" spans="1:47" x14ac:dyDescent="0.35">
      <c r="A24" s="19" t="s">
        <v>158</v>
      </c>
      <c r="B24" s="19" t="s">
        <v>52</v>
      </c>
      <c r="C24" s="19"/>
      <c r="D24" s="19" t="s">
        <v>53</v>
      </c>
      <c r="E24" s="19" t="s">
        <v>54</v>
      </c>
      <c r="F24" s="20" t="s">
        <v>141</v>
      </c>
      <c r="G24" s="20" t="s">
        <v>142</v>
      </c>
      <c r="H24" s="19" t="s">
        <v>159</v>
      </c>
      <c r="I24" s="20" t="s">
        <v>58</v>
      </c>
      <c r="J24" s="20" t="s">
        <v>144</v>
      </c>
      <c r="K24" s="20" t="s">
        <v>160</v>
      </c>
      <c r="L24" s="19" t="s">
        <v>61</v>
      </c>
      <c r="M24" s="19" t="s">
        <v>62</v>
      </c>
      <c r="N24" s="20" t="s">
        <v>63</v>
      </c>
      <c r="O24" s="19">
        <v>21</v>
      </c>
      <c r="P24" s="19">
        <v>3.73</v>
      </c>
      <c r="Q24" s="19">
        <v>1</v>
      </c>
      <c r="R24" s="20">
        <v>7</v>
      </c>
      <c r="S24" s="19">
        <v>6.6000000000000003E-2</v>
      </c>
      <c r="T24" s="19" t="s">
        <v>64</v>
      </c>
      <c r="U24" s="19" t="s">
        <v>65</v>
      </c>
      <c r="V24" s="19" t="s">
        <v>66</v>
      </c>
      <c r="W24" s="19" t="s">
        <v>67</v>
      </c>
      <c r="X24" s="19" t="s">
        <v>68</v>
      </c>
      <c r="Y24" s="21" t="s">
        <v>69</v>
      </c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2"/>
      <c r="AK24" s="22"/>
      <c r="AL24" s="22"/>
      <c r="AM24" s="21" t="s">
        <v>70</v>
      </c>
      <c r="AN24" s="21" t="s">
        <v>70</v>
      </c>
      <c r="AO24" s="21" t="str">
        <f>_xlfn.XLOOKUP(A:A,[1]TAGS!$A:$A,[1]TAGS!$BG:$BG)</f>
        <v>Não Montado</v>
      </c>
      <c r="AP24" s="21"/>
      <c r="AQ24" s="21"/>
      <c r="AR24" s="21"/>
      <c r="AS24" s="21"/>
      <c r="AT24" s="21"/>
      <c r="AU24" s="21"/>
    </row>
    <row r="25" spans="1:47" x14ac:dyDescent="0.35">
      <c r="A25" s="19" t="s">
        <v>161</v>
      </c>
      <c r="B25" s="19" t="s">
        <v>52</v>
      </c>
      <c r="C25" s="19"/>
      <c r="D25" s="19" t="s">
        <v>53</v>
      </c>
      <c r="E25" s="19" t="s">
        <v>54</v>
      </c>
      <c r="F25" s="20" t="s">
        <v>141</v>
      </c>
      <c r="G25" s="20" t="s">
        <v>142</v>
      </c>
      <c r="H25" s="19" t="s">
        <v>162</v>
      </c>
      <c r="I25" s="20" t="s">
        <v>58</v>
      </c>
      <c r="J25" s="20" t="s">
        <v>144</v>
      </c>
      <c r="K25" s="20" t="s">
        <v>163</v>
      </c>
      <c r="L25" s="19" t="s">
        <v>61</v>
      </c>
      <c r="M25" s="19" t="s">
        <v>62</v>
      </c>
      <c r="N25" s="20" t="s">
        <v>63</v>
      </c>
      <c r="O25" s="19">
        <v>21</v>
      </c>
      <c r="P25" s="19">
        <v>3.73</v>
      </c>
      <c r="Q25" s="19">
        <v>1</v>
      </c>
      <c r="R25" s="20">
        <v>7</v>
      </c>
      <c r="S25" s="19">
        <v>6.6000000000000003E-2</v>
      </c>
      <c r="T25" s="19" t="s">
        <v>64</v>
      </c>
      <c r="U25" s="19" t="s">
        <v>65</v>
      </c>
      <c r="V25" s="19" t="s">
        <v>66</v>
      </c>
      <c r="W25" s="19" t="s">
        <v>67</v>
      </c>
      <c r="X25" s="19" t="s">
        <v>68</v>
      </c>
      <c r="Y25" s="21" t="s">
        <v>69</v>
      </c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2"/>
      <c r="AK25" s="22"/>
      <c r="AL25" s="22"/>
      <c r="AM25" s="21" t="s">
        <v>70</v>
      </c>
      <c r="AN25" s="21" t="s">
        <v>70</v>
      </c>
      <c r="AO25" s="21" t="str">
        <f>_xlfn.XLOOKUP(A:A,[1]TAGS!$A:$A,[1]TAGS!$BG:$BG)</f>
        <v>Montado</v>
      </c>
      <c r="AP25" s="21"/>
      <c r="AQ25" s="21"/>
      <c r="AR25" s="21"/>
      <c r="AS25" s="21"/>
      <c r="AT25" s="21"/>
      <c r="AU25" s="21"/>
    </row>
    <row r="26" spans="1:47" x14ac:dyDescent="0.35">
      <c r="A26" s="19" t="s">
        <v>164</v>
      </c>
      <c r="B26" s="19" t="s">
        <v>52</v>
      </c>
      <c r="C26" s="19"/>
      <c r="D26" s="19" t="s">
        <v>53</v>
      </c>
      <c r="E26" s="19" t="s">
        <v>54</v>
      </c>
      <c r="F26" s="20" t="s">
        <v>141</v>
      </c>
      <c r="G26" s="20" t="s">
        <v>142</v>
      </c>
      <c r="H26" s="19" t="s">
        <v>165</v>
      </c>
      <c r="I26" s="20" t="s">
        <v>58</v>
      </c>
      <c r="J26" s="20" t="s">
        <v>144</v>
      </c>
      <c r="K26" s="20" t="s">
        <v>166</v>
      </c>
      <c r="L26" s="19" t="s">
        <v>61</v>
      </c>
      <c r="M26" s="19" t="s">
        <v>62</v>
      </c>
      <c r="N26" s="20" t="s">
        <v>63</v>
      </c>
      <c r="O26" s="19">
        <v>21</v>
      </c>
      <c r="P26" s="19">
        <v>3.73</v>
      </c>
      <c r="Q26" s="19">
        <v>1</v>
      </c>
      <c r="R26" s="20">
        <v>7</v>
      </c>
      <c r="S26" s="19">
        <v>6.6000000000000003E-2</v>
      </c>
      <c r="T26" s="19" t="s">
        <v>64</v>
      </c>
      <c r="U26" s="19" t="s">
        <v>65</v>
      </c>
      <c r="V26" s="19" t="s">
        <v>66</v>
      </c>
      <c r="W26" s="19" t="s">
        <v>67</v>
      </c>
      <c r="X26" s="19" t="s">
        <v>68</v>
      </c>
      <c r="Y26" s="21" t="s">
        <v>69</v>
      </c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2"/>
      <c r="AK26" s="22"/>
      <c r="AL26" s="22"/>
      <c r="AM26" s="21" t="s">
        <v>70</v>
      </c>
      <c r="AN26" s="21" t="s">
        <v>70</v>
      </c>
      <c r="AO26" s="21" t="str">
        <f>_xlfn.XLOOKUP(A:A,[1]TAGS!$A:$A,[1]TAGS!$BG:$BG)</f>
        <v>Não Montado</v>
      </c>
      <c r="AP26" s="21"/>
      <c r="AQ26" s="21"/>
      <c r="AR26" s="21"/>
      <c r="AS26" s="21"/>
      <c r="AT26" s="21"/>
      <c r="AU26" s="21"/>
    </row>
    <row r="27" spans="1:47" x14ac:dyDescent="0.35">
      <c r="A27" s="19" t="s">
        <v>167</v>
      </c>
      <c r="B27" s="19" t="s">
        <v>52</v>
      </c>
      <c r="C27" s="19"/>
      <c r="D27" s="19" t="s">
        <v>53</v>
      </c>
      <c r="E27" s="19" t="s">
        <v>54</v>
      </c>
      <c r="F27" s="20" t="s">
        <v>141</v>
      </c>
      <c r="G27" s="20" t="s">
        <v>142</v>
      </c>
      <c r="H27" s="19" t="s">
        <v>168</v>
      </c>
      <c r="I27" s="20" t="s">
        <v>58</v>
      </c>
      <c r="J27" s="20" t="s">
        <v>144</v>
      </c>
      <c r="K27" s="20" t="s">
        <v>169</v>
      </c>
      <c r="L27" s="19" t="s">
        <v>61</v>
      </c>
      <c r="M27" s="19" t="s">
        <v>62</v>
      </c>
      <c r="N27" s="20" t="s">
        <v>63</v>
      </c>
      <c r="O27" s="19">
        <v>21</v>
      </c>
      <c r="P27" s="19">
        <v>3.73</v>
      </c>
      <c r="Q27" s="19">
        <v>1</v>
      </c>
      <c r="R27" s="20">
        <v>7</v>
      </c>
      <c r="S27" s="19">
        <v>6.6000000000000003E-2</v>
      </c>
      <c r="T27" s="19" t="s">
        <v>64</v>
      </c>
      <c r="U27" s="19" t="s">
        <v>65</v>
      </c>
      <c r="V27" s="19" t="s">
        <v>66</v>
      </c>
      <c r="W27" s="19" t="s">
        <v>67</v>
      </c>
      <c r="X27" s="19" t="s">
        <v>68</v>
      </c>
      <c r="Y27" s="21" t="s">
        <v>69</v>
      </c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2"/>
      <c r="AK27" s="22"/>
      <c r="AL27" s="22"/>
      <c r="AM27" s="21" t="s">
        <v>70</v>
      </c>
      <c r="AN27" s="21" t="s">
        <v>70</v>
      </c>
      <c r="AO27" s="21" t="str">
        <f>_xlfn.XLOOKUP(A:A,[1]TAGS!$A:$A,[1]TAGS!$BG:$BG)</f>
        <v>Não Montado</v>
      </c>
      <c r="AP27" s="21"/>
      <c r="AQ27" s="21"/>
      <c r="AR27" s="21"/>
      <c r="AS27" s="21"/>
      <c r="AT27" s="21"/>
      <c r="AU27" s="21"/>
    </row>
    <row r="28" spans="1:47" x14ac:dyDescent="0.35">
      <c r="A28" s="19" t="s">
        <v>170</v>
      </c>
      <c r="B28" s="19" t="s">
        <v>52</v>
      </c>
      <c r="C28" s="19"/>
      <c r="D28" s="19" t="s">
        <v>53</v>
      </c>
      <c r="E28" s="19" t="s">
        <v>54</v>
      </c>
      <c r="F28" s="20" t="s">
        <v>141</v>
      </c>
      <c r="G28" s="20" t="s">
        <v>142</v>
      </c>
      <c r="H28" s="19" t="s">
        <v>171</v>
      </c>
      <c r="I28" s="20" t="s">
        <v>58</v>
      </c>
      <c r="J28" s="20" t="s">
        <v>144</v>
      </c>
      <c r="K28" s="20" t="s">
        <v>172</v>
      </c>
      <c r="L28" s="19" t="s">
        <v>61</v>
      </c>
      <c r="M28" s="19" t="s">
        <v>62</v>
      </c>
      <c r="N28" s="20" t="s">
        <v>63</v>
      </c>
      <c r="O28" s="19">
        <v>21</v>
      </c>
      <c r="P28" s="19">
        <v>3.73</v>
      </c>
      <c r="Q28" s="19">
        <v>1</v>
      </c>
      <c r="R28" s="20">
        <v>7</v>
      </c>
      <c r="S28" s="19">
        <v>6.6000000000000003E-2</v>
      </c>
      <c r="T28" s="19" t="s">
        <v>64</v>
      </c>
      <c r="U28" s="19" t="s">
        <v>65</v>
      </c>
      <c r="V28" s="19" t="s">
        <v>66</v>
      </c>
      <c r="W28" s="19" t="s">
        <v>67</v>
      </c>
      <c r="X28" s="19" t="s">
        <v>68</v>
      </c>
      <c r="Y28" s="21" t="s">
        <v>69</v>
      </c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2"/>
      <c r="AK28" s="22"/>
      <c r="AL28" s="22"/>
      <c r="AM28" s="21" t="s">
        <v>70</v>
      </c>
      <c r="AN28" s="21" t="s">
        <v>70</v>
      </c>
      <c r="AO28" s="21" t="str">
        <f>_xlfn.XLOOKUP(A:A,[1]TAGS!$A:$A,[1]TAGS!$BG:$BG)</f>
        <v>Não Montado</v>
      </c>
      <c r="AP28" s="21"/>
      <c r="AQ28" s="21"/>
      <c r="AR28" s="21"/>
      <c r="AS28" s="21"/>
      <c r="AT28" s="21"/>
      <c r="AU28" s="21"/>
    </row>
    <row r="29" spans="1:47" x14ac:dyDescent="0.35">
      <c r="A29" s="19" t="s">
        <v>173</v>
      </c>
      <c r="B29" s="19" t="s">
        <v>52</v>
      </c>
      <c r="C29" s="19"/>
      <c r="D29" s="19" t="s">
        <v>53</v>
      </c>
      <c r="E29" s="19" t="s">
        <v>54</v>
      </c>
      <c r="F29" s="20" t="s">
        <v>141</v>
      </c>
      <c r="G29" s="20" t="s">
        <v>174</v>
      </c>
      <c r="H29" s="19" t="s">
        <v>175</v>
      </c>
      <c r="I29" s="20" t="s">
        <v>58</v>
      </c>
      <c r="J29" s="20" t="s">
        <v>176</v>
      </c>
      <c r="K29" s="20" t="s">
        <v>177</v>
      </c>
      <c r="L29" s="19" t="s">
        <v>61</v>
      </c>
      <c r="M29" s="19" t="s">
        <v>62</v>
      </c>
      <c r="N29" s="20" t="s">
        <v>63</v>
      </c>
      <c r="O29" s="19">
        <v>21</v>
      </c>
      <c r="P29" s="19">
        <v>3.73</v>
      </c>
      <c r="Q29" s="19">
        <v>1</v>
      </c>
      <c r="R29" s="20">
        <v>7</v>
      </c>
      <c r="S29" s="19">
        <v>6.6000000000000003E-2</v>
      </c>
      <c r="T29" s="19" t="s">
        <v>64</v>
      </c>
      <c r="U29" s="19" t="s">
        <v>65</v>
      </c>
      <c r="V29" s="19" t="s">
        <v>66</v>
      </c>
      <c r="W29" s="19" t="s">
        <v>67</v>
      </c>
      <c r="X29" s="19" t="s">
        <v>68</v>
      </c>
      <c r="Y29" s="21" t="s">
        <v>69</v>
      </c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2"/>
      <c r="AK29" s="22"/>
      <c r="AL29" s="22"/>
      <c r="AM29" s="21" t="s">
        <v>70</v>
      </c>
      <c r="AN29" s="21" t="s">
        <v>70</v>
      </c>
      <c r="AO29" s="21" t="str">
        <f>_xlfn.XLOOKUP(A:A,[1]TAGS!$A:$A,[1]TAGS!$BG:$BG)</f>
        <v>Não Montado</v>
      </c>
      <c r="AP29" s="21"/>
      <c r="AQ29" s="21"/>
      <c r="AR29" s="21"/>
      <c r="AS29" s="21"/>
      <c r="AT29" s="21"/>
      <c r="AU29" s="21"/>
    </row>
    <row r="30" spans="1:47" x14ac:dyDescent="0.35">
      <c r="A30" s="19" t="s">
        <v>178</v>
      </c>
      <c r="B30" s="19" t="s">
        <v>52</v>
      </c>
      <c r="C30" s="19"/>
      <c r="D30" s="19" t="s">
        <v>53</v>
      </c>
      <c r="E30" s="19" t="s">
        <v>54</v>
      </c>
      <c r="F30" s="20" t="s">
        <v>141</v>
      </c>
      <c r="G30" s="20" t="s">
        <v>174</v>
      </c>
      <c r="H30" s="19" t="s">
        <v>179</v>
      </c>
      <c r="I30" s="20" t="s">
        <v>58</v>
      </c>
      <c r="J30" s="20" t="s">
        <v>176</v>
      </c>
      <c r="K30" s="20" t="s">
        <v>180</v>
      </c>
      <c r="L30" s="19" t="s">
        <v>61</v>
      </c>
      <c r="M30" s="19" t="s">
        <v>62</v>
      </c>
      <c r="N30" s="20" t="s">
        <v>63</v>
      </c>
      <c r="O30" s="19">
        <v>21</v>
      </c>
      <c r="P30" s="19">
        <v>3.73</v>
      </c>
      <c r="Q30" s="19">
        <v>1</v>
      </c>
      <c r="R30" s="20">
        <v>7</v>
      </c>
      <c r="S30" s="19">
        <v>6.6000000000000003E-2</v>
      </c>
      <c r="T30" s="19" t="s">
        <v>64</v>
      </c>
      <c r="U30" s="19" t="s">
        <v>65</v>
      </c>
      <c r="V30" s="19" t="s">
        <v>66</v>
      </c>
      <c r="W30" s="19" t="s">
        <v>67</v>
      </c>
      <c r="X30" s="19" t="s">
        <v>68</v>
      </c>
      <c r="Y30" s="21" t="s">
        <v>69</v>
      </c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2"/>
      <c r="AK30" s="22"/>
      <c r="AL30" s="22"/>
      <c r="AM30" s="21" t="s">
        <v>70</v>
      </c>
      <c r="AN30" s="21" t="s">
        <v>70</v>
      </c>
      <c r="AO30" s="21" t="str">
        <f>_xlfn.XLOOKUP(A:A,[1]TAGS!$A:$A,[1]TAGS!$BG:$BG)</f>
        <v>Não Montado</v>
      </c>
      <c r="AP30" s="21"/>
      <c r="AQ30" s="21"/>
      <c r="AR30" s="21"/>
      <c r="AS30" s="21"/>
      <c r="AT30" s="21"/>
      <c r="AU30" s="21"/>
    </row>
    <row r="31" spans="1:47" x14ac:dyDescent="0.35">
      <c r="A31" s="19" t="s">
        <v>181</v>
      </c>
      <c r="B31" s="19" t="s">
        <v>52</v>
      </c>
      <c r="C31" s="19"/>
      <c r="D31" s="19" t="s">
        <v>53</v>
      </c>
      <c r="E31" s="19" t="s">
        <v>54</v>
      </c>
      <c r="F31" s="20" t="s">
        <v>141</v>
      </c>
      <c r="G31" s="20" t="s">
        <v>174</v>
      </c>
      <c r="H31" s="19" t="s">
        <v>182</v>
      </c>
      <c r="I31" s="20" t="s">
        <v>58</v>
      </c>
      <c r="J31" s="20" t="s">
        <v>176</v>
      </c>
      <c r="K31" s="20" t="s">
        <v>183</v>
      </c>
      <c r="L31" s="19" t="s">
        <v>61</v>
      </c>
      <c r="M31" s="19" t="s">
        <v>62</v>
      </c>
      <c r="N31" s="20" t="s">
        <v>63</v>
      </c>
      <c r="O31" s="19">
        <v>21</v>
      </c>
      <c r="P31" s="19">
        <v>3.73</v>
      </c>
      <c r="Q31" s="19">
        <v>1</v>
      </c>
      <c r="R31" s="20">
        <v>7</v>
      </c>
      <c r="S31" s="19">
        <v>6.6000000000000003E-2</v>
      </c>
      <c r="T31" s="19" t="s">
        <v>64</v>
      </c>
      <c r="U31" s="19" t="s">
        <v>65</v>
      </c>
      <c r="V31" s="19" t="s">
        <v>66</v>
      </c>
      <c r="W31" s="19" t="s">
        <v>67</v>
      </c>
      <c r="X31" s="19" t="s">
        <v>68</v>
      </c>
      <c r="Y31" s="21" t="s">
        <v>69</v>
      </c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2"/>
      <c r="AK31" s="22"/>
      <c r="AL31" s="22"/>
      <c r="AM31" s="21" t="s">
        <v>70</v>
      </c>
      <c r="AN31" s="21" t="s">
        <v>70</v>
      </c>
      <c r="AO31" s="21" t="str">
        <f>_xlfn.XLOOKUP(A:A,[1]TAGS!$A:$A,[1]TAGS!$BG:$BG)</f>
        <v>Montado</v>
      </c>
      <c r="AP31" s="21"/>
      <c r="AQ31" s="21"/>
      <c r="AR31" s="21"/>
      <c r="AS31" s="21"/>
      <c r="AT31" s="21"/>
      <c r="AU31" s="21"/>
    </row>
    <row r="32" spans="1:47" x14ac:dyDescent="0.35">
      <c r="A32" s="19" t="s">
        <v>184</v>
      </c>
      <c r="B32" s="19" t="s">
        <v>52</v>
      </c>
      <c r="C32" s="19"/>
      <c r="D32" s="19" t="s">
        <v>53</v>
      </c>
      <c r="E32" s="19" t="s">
        <v>54</v>
      </c>
      <c r="F32" s="20" t="s">
        <v>141</v>
      </c>
      <c r="G32" s="20" t="s">
        <v>174</v>
      </c>
      <c r="H32" s="19" t="s">
        <v>185</v>
      </c>
      <c r="I32" s="20" t="s">
        <v>58</v>
      </c>
      <c r="J32" s="20" t="s">
        <v>176</v>
      </c>
      <c r="K32" s="20" t="s">
        <v>186</v>
      </c>
      <c r="L32" s="19" t="s">
        <v>61</v>
      </c>
      <c r="M32" s="19" t="s">
        <v>62</v>
      </c>
      <c r="N32" s="20" t="s">
        <v>63</v>
      </c>
      <c r="O32" s="19">
        <v>21</v>
      </c>
      <c r="P32" s="19">
        <v>3.73</v>
      </c>
      <c r="Q32" s="19">
        <v>1</v>
      </c>
      <c r="R32" s="20">
        <v>7</v>
      </c>
      <c r="S32" s="19">
        <v>6.6000000000000003E-2</v>
      </c>
      <c r="T32" s="19" t="s">
        <v>64</v>
      </c>
      <c r="U32" s="19" t="s">
        <v>65</v>
      </c>
      <c r="V32" s="19" t="s">
        <v>66</v>
      </c>
      <c r="W32" s="19" t="s">
        <v>67</v>
      </c>
      <c r="X32" s="19" t="s">
        <v>68</v>
      </c>
      <c r="Y32" s="21" t="s">
        <v>69</v>
      </c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2"/>
      <c r="AK32" s="22"/>
      <c r="AL32" s="22"/>
      <c r="AM32" s="21" t="s">
        <v>70</v>
      </c>
      <c r="AN32" s="21" t="s">
        <v>70</v>
      </c>
      <c r="AO32" s="21" t="str">
        <f>_xlfn.XLOOKUP(A:A,[1]TAGS!$A:$A,[1]TAGS!$BG:$BG)</f>
        <v>Não Montado</v>
      </c>
      <c r="AP32" s="21"/>
      <c r="AQ32" s="21"/>
      <c r="AR32" s="21"/>
      <c r="AS32" s="21"/>
      <c r="AT32" s="21"/>
      <c r="AU32" s="21"/>
    </row>
    <row r="33" spans="1:47" x14ac:dyDescent="0.35">
      <c r="A33" s="19" t="s">
        <v>187</v>
      </c>
      <c r="B33" s="19" t="s">
        <v>52</v>
      </c>
      <c r="C33" s="19"/>
      <c r="D33" s="19" t="s">
        <v>53</v>
      </c>
      <c r="E33" s="19" t="s">
        <v>54</v>
      </c>
      <c r="F33" s="20" t="s">
        <v>141</v>
      </c>
      <c r="G33" s="20" t="s">
        <v>174</v>
      </c>
      <c r="H33" s="19" t="s">
        <v>188</v>
      </c>
      <c r="I33" s="20" t="s">
        <v>58</v>
      </c>
      <c r="J33" s="20" t="s">
        <v>176</v>
      </c>
      <c r="K33" s="20" t="s">
        <v>189</v>
      </c>
      <c r="L33" s="19" t="s">
        <v>61</v>
      </c>
      <c r="M33" s="19" t="s">
        <v>62</v>
      </c>
      <c r="N33" s="20" t="s">
        <v>63</v>
      </c>
      <c r="O33" s="19">
        <v>21</v>
      </c>
      <c r="P33" s="19">
        <v>3.73</v>
      </c>
      <c r="Q33" s="19">
        <v>1</v>
      </c>
      <c r="R33" s="20">
        <v>7</v>
      </c>
      <c r="S33" s="19">
        <v>6.6000000000000003E-2</v>
      </c>
      <c r="T33" s="19" t="s">
        <v>64</v>
      </c>
      <c r="U33" s="19" t="s">
        <v>65</v>
      </c>
      <c r="V33" s="19" t="s">
        <v>66</v>
      </c>
      <c r="W33" s="19" t="s">
        <v>67</v>
      </c>
      <c r="X33" s="19" t="s">
        <v>68</v>
      </c>
      <c r="Y33" s="21" t="s">
        <v>69</v>
      </c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2"/>
      <c r="AK33" s="22"/>
      <c r="AL33" s="22"/>
      <c r="AM33" s="21" t="s">
        <v>70</v>
      </c>
      <c r="AN33" s="21" t="s">
        <v>70</v>
      </c>
      <c r="AO33" s="21" t="str">
        <f>_xlfn.XLOOKUP(A:A,[1]TAGS!$A:$A,[1]TAGS!$BG:$BG)</f>
        <v>Montado</v>
      </c>
      <c r="AP33" s="21"/>
      <c r="AQ33" s="21"/>
      <c r="AR33" s="21"/>
      <c r="AS33" s="21"/>
      <c r="AT33" s="21"/>
      <c r="AU33" s="21"/>
    </row>
    <row r="34" spans="1:47" x14ac:dyDescent="0.35">
      <c r="A34" s="19" t="s">
        <v>190</v>
      </c>
      <c r="B34" s="19" t="s">
        <v>52</v>
      </c>
      <c r="C34" s="19"/>
      <c r="D34" s="19" t="s">
        <v>53</v>
      </c>
      <c r="E34" s="19" t="s">
        <v>54</v>
      </c>
      <c r="F34" s="20" t="s">
        <v>141</v>
      </c>
      <c r="G34" s="20" t="s">
        <v>174</v>
      </c>
      <c r="H34" s="19" t="s">
        <v>191</v>
      </c>
      <c r="I34" s="20" t="s">
        <v>58</v>
      </c>
      <c r="J34" s="20" t="s">
        <v>176</v>
      </c>
      <c r="K34" s="20" t="s">
        <v>192</v>
      </c>
      <c r="L34" s="19" t="s">
        <v>61</v>
      </c>
      <c r="M34" s="19" t="s">
        <v>62</v>
      </c>
      <c r="N34" s="20" t="s">
        <v>63</v>
      </c>
      <c r="O34" s="19">
        <v>21</v>
      </c>
      <c r="P34" s="19">
        <v>3.73</v>
      </c>
      <c r="Q34" s="19">
        <v>1</v>
      </c>
      <c r="R34" s="20">
        <v>7</v>
      </c>
      <c r="S34" s="19">
        <v>6.6000000000000003E-2</v>
      </c>
      <c r="T34" s="19" t="s">
        <v>64</v>
      </c>
      <c r="U34" s="19" t="s">
        <v>65</v>
      </c>
      <c r="V34" s="19" t="s">
        <v>66</v>
      </c>
      <c r="W34" s="19" t="s">
        <v>67</v>
      </c>
      <c r="X34" s="19" t="s">
        <v>68</v>
      </c>
      <c r="Y34" s="21" t="s">
        <v>69</v>
      </c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2"/>
      <c r="AK34" s="22"/>
      <c r="AL34" s="22"/>
      <c r="AM34" s="21" t="s">
        <v>70</v>
      </c>
      <c r="AN34" s="21" t="s">
        <v>70</v>
      </c>
      <c r="AO34" s="21" t="str">
        <f>_xlfn.XLOOKUP(A:A,[1]TAGS!$A:$A,[1]TAGS!$BG:$BG)</f>
        <v>Não Montado</v>
      </c>
      <c r="AP34" s="21"/>
      <c r="AQ34" s="21"/>
      <c r="AR34" s="21"/>
      <c r="AS34" s="21"/>
      <c r="AT34" s="21"/>
      <c r="AU34" s="21"/>
    </row>
    <row r="35" spans="1:47" x14ac:dyDescent="0.35">
      <c r="A35" s="19" t="s">
        <v>193</v>
      </c>
      <c r="B35" s="19" t="s">
        <v>52</v>
      </c>
      <c r="C35" s="19"/>
      <c r="D35" s="19" t="s">
        <v>53</v>
      </c>
      <c r="E35" s="19" t="s">
        <v>54</v>
      </c>
      <c r="F35" s="20" t="s">
        <v>141</v>
      </c>
      <c r="G35" s="20" t="s">
        <v>142</v>
      </c>
      <c r="H35" s="19" t="s">
        <v>194</v>
      </c>
      <c r="I35" s="20" t="s">
        <v>58</v>
      </c>
      <c r="J35" s="20" t="s">
        <v>144</v>
      </c>
      <c r="K35" s="20" t="s">
        <v>195</v>
      </c>
      <c r="L35" s="19" t="s">
        <v>61</v>
      </c>
      <c r="M35" s="19" t="s">
        <v>62</v>
      </c>
      <c r="N35" s="20" t="s">
        <v>63</v>
      </c>
      <c r="O35" s="19">
        <v>21</v>
      </c>
      <c r="P35" s="19">
        <v>3.73</v>
      </c>
      <c r="Q35" s="19">
        <v>1</v>
      </c>
      <c r="R35" s="20">
        <v>7</v>
      </c>
      <c r="S35" s="19">
        <v>6.6000000000000003E-2</v>
      </c>
      <c r="T35" s="19" t="s">
        <v>64</v>
      </c>
      <c r="U35" s="19" t="s">
        <v>65</v>
      </c>
      <c r="V35" s="19" t="s">
        <v>66</v>
      </c>
      <c r="W35" s="19" t="s">
        <v>67</v>
      </c>
      <c r="X35" s="19" t="s">
        <v>68</v>
      </c>
      <c r="Y35" s="21" t="s">
        <v>69</v>
      </c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2"/>
      <c r="AK35" s="22"/>
      <c r="AL35" s="22"/>
      <c r="AM35" s="21" t="s">
        <v>70</v>
      </c>
      <c r="AN35" s="21" t="s">
        <v>70</v>
      </c>
      <c r="AO35" s="21" t="str">
        <f>_xlfn.XLOOKUP(A:A,[1]TAGS!$A:$A,[1]TAGS!$BG:$BG)</f>
        <v>Não Montado</v>
      </c>
      <c r="AP35" s="21"/>
      <c r="AQ35" s="21"/>
      <c r="AR35" s="21"/>
      <c r="AS35" s="21"/>
      <c r="AT35" s="21"/>
      <c r="AU35" s="21"/>
    </row>
    <row r="36" spans="1:47" x14ac:dyDescent="0.35">
      <c r="A36" s="19" t="s">
        <v>196</v>
      </c>
      <c r="B36" s="19" t="s">
        <v>52</v>
      </c>
      <c r="C36" s="19"/>
      <c r="D36" s="19" t="s">
        <v>53</v>
      </c>
      <c r="E36" s="19" t="s">
        <v>54</v>
      </c>
      <c r="F36" s="20" t="s">
        <v>141</v>
      </c>
      <c r="G36" s="20" t="s">
        <v>174</v>
      </c>
      <c r="H36" s="19" t="s">
        <v>197</v>
      </c>
      <c r="I36" s="20" t="s">
        <v>58</v>
      </c>
      <c r="J36" s="20" t="s">
        <v>176</v>
      </c>
      <c r="K36" s="20" t="s">
        <v>198</v>
      </c>
      <c r="L36" s="19" t="s">
        <v>61</v>
      </c>
      <c r="M36" s="19" t="s">
        <v>62</v>
      </c>
      <c r="N36" s="20" t="s">
        <v>63</v>
      </c>
      <c r="O36" s="19">
        <v>21</v>
      </c>
      <c r="P36" s="19">
        <v>3.73</v>
      </c>
      <c r="Q36" s="19">
        <v>1</v>
      </c>
      <c r="R36" s="20">
        <v>7</v>
      </c>
      <c r="S36" s="19">
        <v>6.6000000000000003E-2</v>
      </c>
      <c r="T36" s="19" t="s">
        <v>64</v>
      </c>
      <c r="U36" s="19" t="s">
        <v>65</v>
      </c>
      <c r="V36" s="19" t="s">
        <v>66</v>
      </c>
      <c r="W36" s="19" t="s">
        <v>67</v>
      </c>
      <c r="X36" s="19" t="s">
        <v>68</v>
      </c>
      <c r="Y36" s="21" t="s">
        <v>69</v>
      </c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2"/>
      <c r="AK36" s="22"/>
      <c r="AL36" s="22"/>
      <c r="AM36" s="21" t="s">
        <v>70</v>
      </c>
      <c r="AN36" s="21" t="s">
        <v>70</v>
      </c>
      <c r="AO36" s="21" t="str">
        <f>_xlfn.XLOOKUP(A:A,[1]TAGS!$A:$A,[1]TAGS!$BG:$BG)</f>
        <v>Não Montado</v>
      </c>
      <c r="AP36" s="21"/>
      <c r="AQ36" s="21"/>
      <c r="AR36" s="21"/>
      <c r="AS36" s="21"/>
      <c r="AT36" s="21"/>
      <c r="AU36" s="21"/>
    </row>
    <row r="37" spans="1:47" x14ac:dyDescent="0.35">
      <c r="A37" s="19" t="s">
        <v>199</v>
      </c>
      <c r="B37" s="19" t="s">
        <v>52</v>
      </c>
      <c r="C37" s="19"/>
      <c r="D37" s="19" t="s">
        <v>53</v>
      </c>
      <c r="E37" s="19" t="s">
        <v>54</v>
      </c>
      <c r="F37" s="20" t="s">
        <v>200</v>
      </c>
      <c r="G37" s="20" t="s">
        <v>201</v>
      </c>
      <c r="H37" s="19" t="s">
        <v>202</v>
      </c>
      <c r="I37" s="20" t="s">
        <v>58</v>
      </c>
      <c r="J37" s="20" t="s">
        <v>203</v>
      </c>
      <c r="K37" s="20" t="s">
        <v>204</v>
      </c>
      <c r="L37" s="19" t="s">
        <v>61</v>
      </c>
      <c r="M37" s="19" t="s">
        <v>62</v>
      </c>
      <c r="N37" s="20" t="s">
        <v>63</v>
      </c>
      <c r="O37" s="19">
        <v>21</v>
      </c>
      <c r="P37" s="19">
        <v>3.73</v>
      </c>
      <c r="Q37" s="19">
        <v>1</v>
      </c>
      <c r="R37" s="20">
        <v>7</v>
      </c>
      <c r="S37" s="19">
        <v>6.6000000000000003E-2</v>
      </c>
      <c r="T37" s="19" t="s">
        <v>64</v>
      </c>
      <c r="U37" s="19" t="s">
        <v>65</v>
      </c>
      <c r="V37" s="19" t="s">
        <v>66</v>
      </c>
      <c r="W37" s="19" t="s">
        <v>67</v>
      </c>
      <c r="X37" s="19" t="s">
        <v>68</v>
      </c>
      <c r="Y37" s="21" t="s">
        <v>69</v>
      </c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2"/>
      <c r="AK37" s="22"/>
      <c r="AL37" s="22"/>
      <c r="AM37" s="21" t="s">
        <v>70</v>
      </c>
      <c r="AN37" s="21" t="s">
        <v>70</v>
      </c>
      <c r="AO37" s="21" t="str">
        <f>_xlfn.XLOOKUP(A:A,[1]TAGS!$A:$A,[1]TAGS!$BG:$BG)</f>
        <v>Montado</v>
      </c>
      <c r="AP37" s="21"/>
      <c r="AQ37" s="21"/>
      <c r="AR37" s="21"/>
      <c r="AS37" s="21"/>
      <c r="AT37" s="21"/>
      <c r="AU37" s="21"/>
    </row>
    <row r="38" spans="1:47" x14ac:dyDescent="0.35">
      <c r="A38" s="19" t="s">
        <v>205</v>
      </c>
      <c r="B38" s="19" t="s">
        <v>52</v>
      </c>
      <c r="C38" s="19"/>
      <c r="D38" s="19" t="s">
        <v>53</v>
      </c>
      <c r="E38" s="19" t="s">
        <v>54</v>
      </c>
      <c r="F38" s="20" t="s">
        <v>206</v>
      </c>
      <c r="G38" s="20" t="s">
        <v>207</v>
      </c>
      <c r="H38" s="19" t="s">
        <v>208</v>
      </c>
      <c r="I38" s="20" t="s">
        <v>58</v>
      </c>
      <c r="J38" s="20" t="s">
        <v>209</v>
      </c>
      <c r="K38" s="20" t="s">
        <v>210</v>
      </c>
      <c r="L38" s="19" t="s">
        <v>61</v>
      </c>
      <c r="M38" s="19" t="s">
        <v>62</v>
      </c>
      <c r="N38" s="20" t="s">
        <v>63</v>
      </c>
      <c r="O38" s="19">
        <v>21</v>
      </c>
      <c r="P38" s="19">
        <v>3.73</v>
      </c>
      <c r="Q38" s="19">
        <v>1</v>
      </c>
      <c r="R38" s="20">
        <v>7</v>
      </c>
      <c r="S38" s="19">
        <v>6.6000000000000003E-2</v>
      </c>
      <c r="T38" s="19" t="s">
        <v>64</v>
      </c>
      <c r="U38" s="19" t="s">
        <v>65</v>
      </c>
      <c r="V38" s="19" t="s">
        <v>66</v>
      </c>
      <c r="W38" s="19" t="s">
        <v>67</v>
      </c>
      <c r="X38" s="19" t="s">
        <v>68</v>
      </c>
      <c r="Y38" s="21" t="s">
        <v>69</v>
      </c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2"/>
      <c r="AK38" s="22"/>
      <c r="AL38" s="22"/>
      <c r="AM38" s="21" t="s">
        <v>70</v>
      </c>
      <c r="AN38" s="21" t="s">
        <v>70</v>
      </c>
      <c r="AO38" s="21" t="str">
        <f>_xlfn.XLOOKUP(A:A,[1]TAGS!$A:$A,[1]TAGS!$BG:$BG)</f>
        <v>Montado</v>
      </c>
      <c r="AP38" s="21"/>
      <c r="AQ38" s="21"/>
      <c r="AR38" s="21"/>
      <c r="AS38" s="21"/>
      <c r="AT38" s="21"/>
      <c r="AU38" s="21"/>
    </row>
    <row r="39" spans="1:47" x14ac:dyDescent="0.35">
      <c r="A39" s="19" t="s">
        <v>211</v>
      </c>
      <c r="B39" s="19" t="s">
        <v>52</v>
      </c>
      <c r="C39" s="19"/>
      <c r="D39" s="19" t="s">
        <v>53</v>
      </c>
      <c r="E39" s="19" t="s">
        <v>54</v>
      </c>
      <c r="F39" s="20" t="s">
        <v>212</v>
      </c>
      <c r="G39" s="20" t="s">
        <v>213</v>
      </c>
      <c r="H39" s="19" t="s">
        <v>214</v>
      </c>
      <c r="I39" s="20" t="s">
        <v>58</v>
      </c>
      <c r="J39" s="20" t="s">
        <v>215</v>
      </c>
      <c r="K39" s="20" t="s">
        <v>216</v>
      </c>
      <c r="L39" s="19" t="s">
        <v>61</v>
      </c>
      <c r="M39" s="19" t="s">
        <v>62</v>
      </c>
      <c r="N39" s="20" t="s">
        <v>63</v>
      </c>
      <c r="O39" s="19">
        <v>21</v>
      </c>
      <c r="P39" s="19">
        <v>3.73</v>
      </c>
      <c r="Q39" s="19">
        <v>1</v>
      </c>
      <c r="R39" s="20">
        <v>7</v>
      </c>
      <c r="S39" s="19">
        <v>6.6000000000000003E-2</v>
      </c>
      <c r="T39" s="19" t="s">
        <v>64</v>
      </c>
      <c r="U39" s="19" t="s">
        <v>65</v>
      </c>
      <c r="V39" s="19" t="s">
        <v>66</v>
      </c>
      <c r="W39" s="19" t="s">
        <v>67</v>
      </c>
      <c r="X39" s="19" t="s">
        <v>68</v>
      </c>
      <c r="Y39" s="21" t="s">
        <v>69</v>
      </c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2"/>
      <c r="AK39" s="22"/>
      <c r="AL39" s="22"/>
      <c r="AM39" s="21" t="s">
        <v>70</v>
      </c>
      <c r="AN39" s="21" t="s">
        <v>70</v>
      </c>
      <c r="AO39" s="21" t="str">
        <f>_xlfn.XLOOKUP(A:A,[1]TAGS!$A:$A,[1]TAGS!$BG:$BG)</f>
        <v>Montado</v>
      </c>
      <c r="AP39" s="21"/>
      <c r="AQ39" s="21"/>
      <c r="AR39" s="21"/>
      <c r="AS39" s="21"/>
      <c r="AT39" s="21"/>
      <c r="AU39" s="21"/>
    </row>
    <row r="40" spans="1:47" x14ac:dyDescent="0.35">
      <c r="A40" s="19" t="s">
        <v>217</v>
      </c>
      <c r="B40" s="19" t="s">
        <v>52</v>
      </c>
      <c r="C40" s="19"/>
      <c r="D40" s="19" t="s">
        <v>53</v>
      </c>
      <c r="E40" s="19" t="s">
        <v>54</v>
      </c>
      <c r="F40" s="20" t="s">
        <v>218</v>
      </c>
      <c r="G40" s="20" t="s">
        <v>219</v>
      </c>
      <c r="H40" s="19" t="s">
        <v>220</v>
      </c>
      <c r="I40" s="20" t="s">
        <v>58</v>
      </c>
      <c r="J40" s="20" t="s">
        <v>221</v>
      </c>
      <c r="K40" s="20" t="s">
        <v>222</v>
      </c>
      <c r="L40" s="19" t="s">
        <v>61</v>
      </c>
      <c r="M40" s="19" t="s">
        <v>62</v>
      </c>
      <c r="N40" s="20" t="s">
        <v>63</v>
      </c>
      <c r="O40" s="19">
        <v>21</v>
      </c>
      <c r="P40" s="19">
        <v>3.73</v>
      </c>
      <c r="Q40" s="19">
        <v>1</v>
      </c>
      <c r="R40" s="20">
        <v>7</v>
      </c>
      <c r="S40" s="19">
        <v>6.6000000000000003E-2</v>
      </c>
      <c r="T40" s="19" t="s">
        <v>64</v>
      </c>
      <c r="U40" s="19" t="s">
        <v>65</v>
      </c>
      <c r="V40" s="19" t="s">
        <v>66</v>
      </c>
      <c r="W40" s="19" t="s">
        <v>67</v>
      </c>
      <c r="X40" s="19" t="s">
        <v>68</v>
      </c>
      <c r="Y40" s="21" t="s">
        <v>69</v>
      </c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2"/>
      <c r="AK40" s="22"/>
      <c r="AL40" s="22"/>
      <c r="AM40" s="21" t="s">
        <v>70</v>
      </c>
      <c r="AN40" s="21" t="s">
        <v>70</v>
      </c>
      <c r="AO40" s="21" t="str">
        <f>_xlfn.XLOOKUP(A:A,[1]TAGS!$A:$A,[1]TAGS!$BG:$BG)</f>
        <v>Montado</v>
      </c>
      <c r="AP40" s="21"/>
      <c r="AQ40" s="21"/>
      <c r="AR40" s="21"/>
      <c r="AS40" s="21"/>
      <c r="AT40" s="21"/>
      <c r="AU40" s="21"/>
    </row>
    <row r="41" spans="1:47" x14ac:dyDescent="0.35">
      <c r="A41" s="19" t="s">
        <v>223</v>
      </c>
      <c r="B41" s="19" t="s">
        <v>52</v>
      </c>
      <c r="C41" s="19"/>
      <c r="D41" s="19" t="s">
        <v>53</v>
      </c>
      <c r="E41" s="19" t="s">
        <v>54</v>
      </c>
      <c r="F41" s="20" t="s">
        <v>224</v>
      </c>
      <c r="G41" s="20" t="s">
        <v>225</v>
      </c>
      <c r="H41" s="19" t="s">
        <v>226</v>
      </c>
      <c r="I41" s="20" t="s">
        <v>58</v>
      </c>
      <c r="J41" s="20" t="s">
        <v>227</v>
      </c>
      <c r="K41" s="20" t="s">
        <v>228</v>
      </c>
      <c r="L41" s="19" t="s">
        <v>61</v>
      </c>
      <c r="M41" s="19" t="s">
        <v>62</v>
      </c>
      <c r="N41" s="20" t="s">
        <v>63</v>
      </c>
      <c r="O41" s="19">
        <v>21</v>
      </c>
      <c r="P41" s="19">
        <v>3.73</v>
      </c>
      <c r="Q41" s="19">
        <v>1</v>
      </c>
      <c r="R41" s="20">
        <v>7</v>
      </c>
      <c r="S41" s="19">
        <v>6.6000000000000003E-2</v>
      </c>
      <c r="T41" s="19" t="s">
        <v>64</v>
      </c>
      <c r="U41" s="19" t="s">
        <v>65</v>
      </c>
      <c r="V41" s="19" t="s">
        <v>66</v>
      </c>
      <c r="W41" s="19" t="s">
        <v>67</v>
      </c>
      <c r="X41" s="19" t="s">
        <v>68</v>
      </c>
      <c r="Y41" s="21" t="s">
        <v>69</v>
      </c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2"/>
      <c r="AK41" s="22"/>
      <c r="AL41" s="22"/>
      <c r="AM41" s="21" t="s">
        <v>70</v>
      </c>
      <c r="AN41" s="21" t="s">
        <v>70</v>
      </c>
      <c r="AO41" s="21" t="str">
        <f>_xlfn.XLOOKUP(A:A,[1]TAGS!$A:$A,[1]TAGS!$BG:$BG)</f>
        <v>Montado</v>
      </c>
      <c r="AP41" s="21"/>
      <c r="AQ41" s="21"/>
      <c r="AR41" s="21"/>
      <c r="AS41" s="21"/>
      <c r="AT41" s="21"/>
      <c r="AU41" s="21"/>
    </row>
    <row r="42" spans="1:47" x14ac:dyDescent="0.35">
      <c r="A42" s="19" t="s">
        <v>229</v>
      </c>
      <c r="B42" s="19" t="s">
        <v>52</v>
      </c>
      <c r="C42" s="19"/>
      <c r="D42" s="19" t="s">
        <v>53</v>
      </c>
      <c r="E42" s="19" t="s">
        <v>54</v>
      </c>
      <c r="F42" s="20" t="s">
        <v>224</v>
      </c>
      <c r="G42" s="20" t="s">
        <v>225</v>
      </c>
      <c r="H42" s="19" t="s">
        <v>230</v>
      </c>
      <c r="I42" s="20" t="s">
        <v>58</v>
      </c>
      <c r="J42" s="20" t="s">
        <v>227</v>
      </c>
      <c r="K42" s="20" t="s">
        <v>231</v>
      </c>
      <c r="L42" s="19" t="s">
        <v>61</v>
      </c>
      <c r="M42" s="19" t="s">
        <v>62</v>
      </c>
      <c r="N42" s="20" t="s">
        <v>63</v>
      </c>
      <c r="O42" s="19">
        <v>21</v>
      </c>
      <c r="P42" s="19">
        <v>3.73</v>
      </c>
      <c r="Q42" s="19">
        <v>1</v>
      </c>
      <c r="R42" s="20">
        <v>7</v>
      </c>
      <c r="S42" s="19">
        <v>6.6000000000000003E-2</v>
      </c>
      <c r="T42" s="19" t="s">
        <v>64</v>
      </c>
      <c r="U42" s="19" t="s">
        <v>65</v>
      </c>
      <c r="V42" s="19" t="s">
        <v>66</v>
      </c>
      <c r="W42" s="19" t="s">
        <v>67</v>
      </c>
      <c r="X42" s="19" t="s">
        <v>68</v>
      </c>
      <c r="Y42" s="21" t="s">
        <v>69</v>
      </c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2"/>
      <c r="AK42" s="22"/>
      <c r="AL42" s="22"/>
      <c r="AM42" s="21" t="s">
        <v>70</v>
      </c>
      <c r="AN42" s="21" t="s">
        <v>70</v>
      </c>
      <c r="AO42" s="21" t="str">
        <f>_xlfn.XLOOKUP(A:A,[1]TAGS!$A:$A,[1]TAGS!$BG:$BG)</f>
        <v>Montado</v>
      </c>
      <c r="AP42" s="21"/>
      <c r="AQ42" s="21"/>
      <c r="AR42" s="21"/>
      <c r="AS42" s="21"/>
      <c r="AT42" s="21"/>
      <c r="AU42" s="21"/>
    </row>
    <row r="43" spans="1:47" x14ac:dyDescent="0.35">
      <c r="A43" s="19" t="s">
        <v>232</v>
      </c>
      <c r="B43" s="19" t="s">
        <v>52</v>
      </c>
      <c r="C43" s="19"/>
      <c r="D43" s="19" t="s">
        <v>53</v>
      </c>
      <c r="E43" s="19" t="s">
        <v>54</v>
      </c>
      <c r="F43" s="20" t="s">
        <v>233</v>
      </c>
      <c r="G43" s="20" t="s">
        <v>234</v>
      </c>
      <c r="H43" s="19" t="s">
        <v>235</v>
      </c>
      <c r="I43" s="20" t="s">
        <v>58</v>
      </c>
      <c r="J43" s="20" t="s">
        <v>236</v>
      </c>
      <c r="K43" s="20" t="s">
        <v>237</v>
      </c>
      <c r="L43" s="19" t="s">
        <v>61</v>
      </c>
      <c r="M43" s="19" t="s">
        <v>62</v>
      </c>
      <c r="N43" s="20" t="s">
        <v>63</v>
      </c>
      <c r="O43" s="19">
        <v>21</v>
      </c>
      <c r="P43" s="19">
        <v>3.73</v>
      </c>
      <c r="Q43" s="19">
        <v>1</v>
      </c>
      <c r="R43" s="20">
        <v>7</v>
      </c>
      <c r="S43" s="19">
        <v>6.6000000000000003E-2</v>
      </c>
      <c r="T43" s="19" t="s">
        <v>64</v>
      </c>
      <c r="U43" s="19" t="s">
        <v>65</v>
      </c>
      <c r="V43" s="19" t="s">
        <v>66</v>
      </c>
      <c r="W43" s="19" t="s">
        <v>67</v>
      </c>
      <c r="X43" s="19" t="s">
        <v>68</v>
      </c>
      <c r="Y43" s="21" t="s">
        <v>69</v>
      </c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2"/>
      <c r="AK43" s="22"/>
      <c r="AL43" s="22"/>
      <c r="AM43" s="21" t="s">
        <v>70</v>
      </c>
      <c r="AN43" s="21" t="s">
        <v>70</v>
      </c>
      <c r="AO43" s="21" t="str">
        <f>_xlfn.XLOOKUP(A:A,[1]TAGS!$A:$A,[1]TAGS!$BG:$BG)</f>
        <v>Não Montado</v>
      </c>
      <c r="AP43" s="21"/>
      <c r="AQ43" s="21"/>
      <c r="AR43" s="21"/>
      <c r="AS43" s="21"/>
      <c r="AT43" s="21"/>
      <c r="AU43" s="21"/>
    </row>
    <row r="44" spans="1:47" x14ac:dyDescent="0.35">
      <c r="A44" s="19" t="s">
        <v>238</v>
      </c>
      <c r="B44" s="19" t="s">
        <v>52</v>
      </c>
      <c r="C44" s="19"/>
      <c r="D44" s="19" t="s">
        <v>53</v>
      </c>
      <c r="E44" s="19" t="s">
        <v>54</v>
      </c>
      <c r="F44" s="20" t="s">
        <v>89</v>
      </c>
      <c r="G44" s="20" t="s">
        <v>90</v>
      </c>
      <c r="H44" s="19" t="s">
        <v>239</v>
      </c>
      <c r="I44" s="20" t="s">
        <v>58</v>
      </c>
      <c r="J44" s="20" t="s">
        <v>92</v>
      </c>
      <c r="K44" s="20" t="s">
        <v>240</v>
      </c>
      <c r="L44" s="19" t="s">
        <v>61</v>
      </c>
      <c r="M44" s="19" t="s">
        <v>62</v>
      </c>
      <c r="N44" s="20" t="s">
        <v>63</v>
      </c>
      <c r="O44" s="19">
        <v>21</v>
      </c>
      <c r="P44" s="19">
        <v>3.73</v>
      </c>
      <c r="Q44" s="19">
        <v>1</v>
      </c>
      <c r="R44" s="20">
        <v>7</v>
      </c>
      <c r="S44" s="19">
        <v>6.6000000000000003E-2</v>
      </c>
      <c r="T44" s="19" t="s">
        <v>64</v>
      </c>
      <c r="U44" s="19" t="s">
        <v>65</v>
      </c>
      <c r="V44" s="19" t="s">
        <v>66</v>
      </c>
      <c r="W44" s="19" t="s">
        <v>67</v>
      </c>
      <c r="X44" s="19" t="s">
        <v>68</v>
      </c>
      <c r="Y44" s="21" t="s">
        <v>69</v>
      </c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2"/>
      <c r="AK44" s="22"/>
      <c r="AL44" s="22"/>
      <c r="AM44" s="21" t="s">
        <v>70</v>
      </c>
      <c r="AN44" s="21" t="s">
        <v>70</v>
      </c>
      <c r="AO44" s="21" t="str">
        <f>_xlfn.XLOOKUP(A:A,[1]TAGS!$A:$A,[1]TAGS!$BG:$BG)</f>
        <v>Montado</v>
      </c>
      <c r="AP44" s="21"/>
      <c r="AQ44" s="21"/>
      <c r="AR44" s="21"/>
      <c r="AS44" s="21"/>
      <c r="AT44" s="21"/>
      <c r="AU44" s="21"/>
    </row>
    <row r="45" spans="1:47" x14ac:dyDescent="0.35">
      <c r="A45" s="19" t="s">
        <v>241</v>
      </c>
      <c r="B45" s="19" t="s">
        <v>52</v>
      </c>
      <c r="C45" s="19"/>
      <c r="D45" s="19" t="s">
        <v>53</v>
      </c>
      <c r="E45" s="19" t="s">
        <v>54</v>
      </c>
      <c r="F45" s="20" t="s">
        <v>89</v>
      </c>
      <c r="G45" s="20" t="s">
        <v>90</v>
      </c>
      <c r="H45" s="19" t="s">
        <v>242</v>
      </c>
      <c r="I45" s="20" t="s">
        <v>58</v>
      </c>
      <c r="J45" s="20" t="s">
        <v>92</v>
      </c>
      <c r="K45" s="20" t="s">
        <v>243</v>
      </c>
      <c r="L45" s="19" t="s">
        <v>61</v>
      </c>
      <c r="M45" s="19" t="s">
        <v>62</v>
      </c>
      <c r="N45" s="20" t="s">
        <v>63</v>
      </c>
      <c r="O45" s="19">
        <v>21</v>
      </c>
      <c r="P45" s="19">
        <v>3.73</v>
      </c>
      <c r="Q45" s="19">
        <v>1</v>
      </c>
      <c r="R45" s="20">
        <v>7</v>
      </c>
      <c r="S45" s="19">
        <v>6.6000000000000003E-2</v>
      </c>
      <c r="T45" s="19" t="s">
        <v>64</v>
      </c>
      <c r="U45" s="19" t="s">
        <v>65</v>
      </c>
      <c r="V45" s="19" t="s">
        <v>66</v>
      </c>
      <c r="W45" s="19" t="s">
        <v>67</v>
      </c>
      <c r="X45" s="19" t="s">
        <v>68</v>
      </c>
      <c r="Y45" s="21" t="s">
        <v>69</v>
      </c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2"/>
      <c r="AK45" s="22"/>
      <c r="AL45" s="22"/>
      <c r="AM45" s="21" t="s">
        <v>70</v>
      </c>
      <c r="AN45" s="21" t="s">
        <v>70</v>
      </c>
      <c r="AO45" s="21" t="str">
        <f>_xlfn.XLOOKUP(A:A,[1]TAGS!$A:$A,[1]TAGS!$BG:$BG)</f>
        <v>Não Montado</v>
      </c>
      <c r="AP45" s="21"/>
      <c r="AQ45" s="21"/>
      <c r="AR45" s="21"/>
      <c r="AS45" s="21"/>
      <c r="AT45" s="21"/>
      <c r="AU45" s="21"/>
    </row>
    <row r="46" spans="1:47" x14ac:dyDescent="0.35">
      <c r="A46" s="19" t="s">
        <v>244</v>
      </c>
      <c r="B46" s="19" t="s">
        <v>52</v>
      </c>
      <c r="C46" s="19"/>
      <c r="D46" s="19" t="s">
        <v>53</v>
      </c>
      <c r="E46" s="19" t="s">
        <v>54</v>
      </c>
      <c r="F46" s="20" t="s">
        <v>233</v>
      </c>
      <c r="G46" s="20" t="s">
        <v>234</v>
      </c>
      <c r="H46" s="19" t="s">
        <v>245</v>
      </c>
      <c r="I46" s="20" t="s">
        <v>58</v>
      </c>
      <c r="J46" s="20" t="s">
        <v>236</v>
      </c>
      <c r="K46" s="20" t="s">
        <v>246</v>
      </c>
      <c r="L46" s="19" t="s">
        <v>61</v>
      </c>
      <c r="M46" s="19" t="s">
        <v>62</v>
      </c>
      <c r="N46" s="20" t="s">
        <v>63</v>
      </c>
      <c r="O46" s="19">
        <v>21</v>
      </c>
      <c r="P46" s="19">
        <v>3.73</v>
      </c>
      <c r="Q46" s="19">
        <v>1</v>
      </c>
      <c r="R46" s="20">
        <v>7</v>
      </c>
      <c r="S46" s="19">
        <v>6.6000000000000003E-2</v>
      </c>
      <c r="T46" s="19" t="s">
        <v>64</v>
      </c>
      <c r="U46" s="19" t="s">
        <v>65</v>
      </c>
      <c r="V46" s="19" t="s">
        <v>66</v>
      </c>
      <c r="W46" s="19" t="s">
        <v>67</v>
      </c>
      <c r="X46" s="19" t="s">
        <v>68</v>
      </c>
      <c r="Y46" s="21" t="s">
        <v>69</v>
      </c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2"/>
      <c r="AK46" s="22"/>
      <c r="AL46" s="22"/>
      <c r="AM46" s="21" t="s">
        <v>70</v>
      </c>
      <c r="AN46" s="21" t="s">
        <v>70</v>
      </c>
      <c r="AO46" s="21" t="str">
        <f>_xlfn.XLOOKUP(A:A,[1]TAGS!$A:$A,[1]TAGS!$BG:$BG)</f>
        <v>Montado</v>
      </c>
      <c r="AP46" s="21"/>
      <c r="AQ46" s="21"/>
      <c r="AR46" s="21"/>
      <c r="AS46" s="21"/>
      <c r="AT46" s="21"/>
      <c r="AU46" s="21"/>
    </row>
    <row r="47" spans="1:47" x14ac:dyDescent="0.35">
      <c r="A47" s="19" t="s">
        <v>247</v>
      </c>
      <c r="B47" s="19" t="s">
        <v>52</v>
      </c>
      <c r="C47" s="19"/>
      <c r="D47" s="19" t="s">
        <v>53</v>
      </c>
      <c r="E47" s="19" t="s">
        <v>54</v>
      </c>
      <c r="F47" s="20" t="s">
        <v>248</v>
      </c>
      <c r="G47" s="20" t="s">
        <v>249</v>
      </c>
      <c r="H47" s="19" t="s">
        <v>250</v>
      </c>
      <c r="I47" s="20" t="s">
        <v>58</v>
      </c>
      <c r="J47" s="20" t="s">
        <v>251</v>
      </c>
      <c r="K47" s="20" t="s">
        <v>252</v>
      </c>
      <c r="L47" s="19" t="s">
        <v>61</v>
      </c>
      <c r="M47" s="19" t="s">
        <v>62</v>
      </c>
      <c r="N47" s="20" t="s">
        <v>63</v>
      </c>
      <c r="O47" s="19">
        <v>21</v>
      </c>
      <c r="P47" s="19">
        <v>3.73</v>
      </c>
      <c r="Q47" s="19">
        <v>1</v>
      </c>
      <c r="R47" s="20">
        <v>7</v>
      </c>
      <c r="S47" s="19">
        <v>6.6000000000000003E-2</v>
      </c>
      <c r="T47" s="19" t="s">
        <v>64</v>
      </c>
      <c r="U47" s="19" t="s">
        <v>65</v>
      </c>
      <c r="V47" s="19" t="s">
        <v>66</v>
      </c>
      <c r="W47" s="19" t="s">
        <v>67</v>
      </c>
      <c r="X47" s="19" t="s">
        <v>68</v>
      </c>
      <c r="Y47" s="21" t="s">
        <v>69</v>
      </c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2"/>
      <c r="AK47" s="22"/>
      <c r="AL47" s="22"/>
      <c r="AM47" s="21" t="s">
        <v>70</v>
      </c>
      <c r="AN47" s="21" t="s">
        <v>70</v>
      </c>
      <c r="AO47" s="21" t="str">
        <f>_xlfn.XLOOKUP(A:A,[1]TAGS!$A:$A,[1]TAGS!$BG:$BG)</f>
        <v>Montado</v>
      </c>
      <c r="AP47" s="21"/>
      <c r="AQ47" s="21"/>
      <c r="AR47" s="21"/>
      <c r="AS47" s="21"/>
      <c r="AT47" s="21"/>
      <c r="AU47" s="21"/>
    </row>
    <row r="48" spans="1:47" x14ac:dyDescent="0.35">
      <c r="A48" s="19" t="s">
        <v>253</v>
      </c>
      <c r="B48" s="19" t="s">
        <v>52</v>
      </c>
      <c r="C48" s="19"/>
      <c r="D48" s="19" t="s">
        <v>53</v>
      </c>
      <c r="E48" s="19" t="s">
        <v>54</v>
      </c>
      <c r="F48" s="20" t="s">
        <v>254</v>
      </c>
      <c r="G48" s="20" t="s">
        <v>255</v>
      </c>
      <c r="H48" s="19" t="s">
        <v>256</v>
      </c>
      <c r="I48" s="20" t="s">
        <v>58</v>
      </c>
      <c r="J48" s="20" t="s">
        <v>257</v>
      </c>
      <c r="K48" s="20" t="s">
        <v>258</v>
      </c>
      <c r="L48" s="19" t="s">
        <v>61</v>
      </c>
      <c r="M48" s="19" t="s">
        <v>62</v>
      </c>
      <c r="N48" s="20" t="s">
        <v>63</v>
      </c>
      <c r="O48" s="19">
        <v>21</v>
      </c>
      <c r="P48" s="19">
        <v>3.73</v>
      </c>
      <c r="Q48" s="19">
        <v>1</v>
      </c>
      <c r="R48" s="20">
        <v>7</v>
      </c>
      <c r="S48" s="19">
        <v>6.6000000000000003E-2</v>
      </c>
      <c r="T48" s="19" t="s">
        <v>64</v>
      </c>
      <c r="U48" s="19" t="s">
        <v>65</v>
      </c>
      <c r="V48" s="19" t="s">
        <v>66</v>
      </c>
      <c r="W48" s="19" t="s">
        <v>67</v>
      </c>
      <c r="X48" s="19" t="s">
        <v>68</v>
      </c>
      <c r="Y48" s="21" t="s">
        <v>69</v>
      </c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2"/>
      <c r="AK48" s="22"/>
      <c r="AL48" s="22"/>
      <c r="AM48" s="21" t="s">
        <v>70</v>
      </c>
      <c r="AN48" s="21" t="s">
        <v>70</v>
      </c>
      <c r="AO48" s="21" t="str">
        <f>_xlfn.XLOOKUP(A:A,[1]TAGS!$A:$A,[1]TAGS!$BG:$BG)</f>
        <v>Montado</v>
      </c>
      <c r="AP48" s="21"/>
      <c r="AQ48" s="21"/>
      <c r="AR48" s="21"/>
      <c r="AS48" s="21"/>
      <c r="AT48" s="21"/>
      <c r="AU48" s="21"/>
    </row>
    <row r="49" spans="1:47" x14ac:dyDescent="0.35">
      <c r="A49" s="19" t="s">
        <v>259</v>
      </c>
      <c r="B49" s="19" t="s">
        <v>52</v>
      </c>
      <c r="C49" s="19"/>
      <c r="D49" s="19" t="s">
        <v>53</v>
      </c>
      <c r="E49" s="19" t="s">
        <v>54</v>
      </c>
      <c r="F49" s="20" t="s">
        <v>200</v>
      </c>
      <c r="G49" s="20" t="s">
        <v>201</v>
      </c>
      <c r="H49" s="19" t="s">
        <v>260</v>
      </c>
      <c r="I49" s="20" t="s">
        <v>58</v>
      </c>
      <c r="J49" s="20" t="s">
        <v>203</v>
      </c>
      <c r="K49" s="20" t="s">
        <v>261</v>
      </c>
      <c r="L49" s="19" t="s">
        <v>61</v>
      </c>
      <c r="M49" s="19" t="s">
        <v>62</v>
      </c>
      <c r="N49" s="20" t="s">
        <v>63</v>
      </c>
      <c r="O49" s="19">
        <v>21</v>
      </c>
      <c r="P49" s="19">
        <v>3.73</v>
      </c>
      <c r="Q49" s="19">
        <v>1</v>
      </c>
      <c r="R49" s="20">
        <v>7</v>
      </c>
      <c r="S49" s="19">
        <v>6.6000000000000003E-2</v>
      </c>
      <c r="T49" s="19" t="s">
        <v>64</v>
      </c>
      <c r="U49" s="19" t="s">
        <v>65</v>
      </c>
      <c r="V49" s="19" t="s">
        <v>66</v>
      </c>
      <c r="W49" s="19" t="s">
        <v>67</v>
      </c>
      <c r="X49" s="19" t="s">
        <v>68</v>
      </c>
      <c r="Y49" s="21" t="s">
        <v>69</v>
      </c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2"/>
      <c r="AK49" s="22"/>
      <c r="AL49" s="22"/>
      <c r="AM49" s="21" t="s">
        <v>70</v>
      </c>
      <c r="AN49" s="21" t="s">
        <v>70</v>
      </c>
      <c r="AO49" s="21" t="str">
        <f>_xlfn.XLOOKUP(A:A,[1]TAGS!$A:$A,[1]TAGS!$BG:$BG)</f>
        <v>Montado</v>
      </c>
      <c r="AP49" s="21"/>
      <c r="AQ49" s="21"/>
      <c r="AR49" s="21"/>
      <c r="AS49" s="21"/>
      <c r="AT49" s="21"/>
      <c r="AU49" s="21"/>
    </row>
    <row r="50" spans="1:47" x14ac:dyDescent="0.35">
      <c r="A50" s="19" t="s">
        <v>262</v>
      </c>
      <c r="B50" s="19" t="s">
        <v>52</v>
      </c>
      <c r="C50" s="19"/>
      <c r="D50" s="19" t="s">
        <v>53</v>
      </c>
      <c r="E50" s="19" t="s">
        <v>54</v>
      </c>
      <c r="F50" s="20" t="s">
        <v>263</v>
      </c>
      <c r="G50" s="20" t="s">
        <v>264</v>
      </c>
      <c r="H50" s="19" t="s">
        <v>265</v>
      </c>
      <c r="I50" s="20" t="s">
        <v>58</v>
      </c>
      <c r="J50" s="20" t="s">
        <v>266</v>
      </c>
      <c r="K50" s="20" t="s">
        <v>267</v>
      </c>
      <c r="L50" s="19" t="s">
        <v>61</v>
      </c>
      <c r="M50" s="19" t="s">
        <v>62</v>
      </c>
      <c r="N50" s="20" t="s">
        <v>63</v>
      </c>
      <c r="O50" s="19">
        <v>21</v>
      </c>
      <c r="P50" s="19">
        <v>3.73</v>
      </c>
      <c r="Q50" s="19">
        <v>1</v>
      </c>
      <c r="R50" s="20">
        <v>7</v>
      </c>
      <c r="S50" s="19">
        <v>6.6000000000000003E-2</v>
      </c>
      <c r="T50" s="19" t="s">
        <v>64</v>
      </c>
      <c r="U50" s="19" t="s">
        <v>65</v>
      </c>
      <c r="V50" s="19" t="s">
        <v>66</v>
      </c>
      <c r="W50" s="19" t="s">
        <v>67</v>
      </c>
      <c r="X50" s="19" t="s">
        <v>68</v>
      </c>
      <c r="Y50" s="21" t="s">
        <v>69</v>
      </c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2"/>
      <c r="AK50" s="22"/>
      <c r="AL50" s="22"/>
      <c r="AM50" s="21" t="s">
        <v>70</v>
      </c>
      <c r="AN50" s="21" t="s">
        <v>70</v>
      </c>
      <c r="AO50" s="21" t="str">
        <f>_xlfn.XLOOKUP(A:A,[1]TAGS!$A:$A,[1]TAGS!$BG:$BG)</f>
        <v>Não Montado</v>
      </c>
      <c r="AP50" s="21"/>
      <c r="AQ50" s="21"/>
      <c r="AR50" s="21"/>
      <c r="AS50" s="21"/>
      <c r="AT50" s="21"/>
      <c r="AU50" s="21"/>
    </row>
    <row r="51" spans="1:47" x14ac:dyDescent="0.35">
      <c r="A51" s="19" t="s">
        <v>268</v>
      </c>
      <c r="B51" s="19" t="s">
        <v>52</v>
      </c>
      <c r="C51" s="19"/>
      <c r="D51" s="19" t="s">
        <v>53</v>
      </c>
      <c r="E51" s="19" t="s">
        <v>54</v>
      </c>
      <c r="F51" s="20" t="s">
        <v>269</v>
      </c>
      <c r="G51" s="20" t="s">
        <v>270</v>
      </c>
      <c r="H51" s="19" t="s">
        <v>271</v>
      </c>
      <c r="I51" s="20" t="s">
        <v>58</v>
      </c>
      <c r="J51" s="20" t="s">
        <v>272</v>
      </c>
      <c r="K51" s="20" t="s">
        <v>273</v>
      </c>
      <c r="L51" s="19" t="s">
        <v>61</v>
      </c>
      <c r="M51" s="19" t="s">
        <v>62</v>
      </c>
      <c r="N51" s="20" t="s">
        <v>63</v>
      </c>
      <c r="O51" s="19">
        <v>21</v>
      </c>
      <c r="P51" s="19">
        <v>3.73</v>
      </c>
      <c r="Q51" s="19">
        <v>1</v>
      </c>
      <c r="R51" s="20">
        <v>7</v>
      </c>
      <c r="S51" s="19">
        <v>6.6000000000000003E-2</v>
      </c>
      <c r="T51" s="19" t="s">
        <v>64</v>
      </c>
      <c r="U51" s="19" t="s">
        <v>65</v>
      </c>
      <c r="V51" s="19" t="s">
        <v>66</v>
      </c>
      <c r="W51" s="19" t="s">
        <v>67</v>
      </c>
      <c r="X51" s="19" t="s">
        <v>68</v>
      </c>
      <c r="Y51" s="21" t="s">
        <v>69</v>
      </c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2"/>
      <c r="AK51" s="22"/>
      <c r="AL51" s="22"/>
      <c r="AM51" s="21" t="s">
        <v>70</v>
      </c>
      <c r="AN51" s="21" t="s">
        <v>70</v>
      </c>
      <c r="AO51" s="21" t="str">
        <f>_xlfn.XLOOKUP(A:A,[1]TAGS!$A:$A,[1]TAGS!$BG:$BG)</f>
        <v>Montado</v>
      </c>
      <c r="AP51" s="21"/>
      <c r="AQ51" s="21"/>
      <c r="AR51" s="21"/>
      <c r="AS51" s="21"/>
      <c r="AT51" s="21"/>
      <c r="AU51" s="21"/>
    </row>
    <row r="52" spans="1:47" x14ac:dyDescent="0.35">
      <c r="A52" s="19" t="s">
        <v>274</v>
      </c>
      <c r="B52" s="19" t="s">
        <v>52</v>
      </c>
      <c r="C52" s="19"/>
      <c r="D52" s="19" t="s">
        <v>53</v>
      </c>
      <c r="E52" s="19" t="s">
        <v>54</v>
      </c>
      <c r="F52" s="20" t="s">
        <v>269</v>
      </c>
      <c r="G52" s="20" t="s">
        <v>270</v>
      </c>
      <c r="H52" s="19" t="s">
        <v>275</v>
      </c>
      <c r="I52" s="20" t="s">
        <v>58</v>
      </c>
      <c r="J52" s="20" t="s">
        <v>272</v>
      </c>
      <c r="K52" s="20" t="s">
        <v>276</v>
      </c>
      <c r="L52" s="19" t="s">
        <v>61</v>
      </c>
      <c r="M52" s="19" t="s">
        <v>62</v>
      </c>
      <c r="N52" s="20" t="s">
        <v>63</v>
      </c>
      <c r="O52" s="19">
        <v>21</v>
      </c>
      <c r="P52" s="19">
        <v>3.73</v>
      </c>
      <c r="Q52" s="19">
        <v>1</v>
      </c>
      <c r="R52" s="20">
        <v>7</v>
      </c>
      <c r="S52" s="19">
        <v>6.6000000000000003E-2</v>
      </c>
      <c r="T52" s="19" t="s">
        <v>64</v>
      </c>
      <c r="U52" s="19" t="s">
        <v>65</v>
      </c>
      <c r="V52" s="19" t="s">
        <v>66</v>
      </c>
      <c r="W52" s="19" t="s">
        <v>67</v>
      </c>
      <c r="X52" s="19" t="s">
        <v>68</v>
      </c>
      <c r="Y52" s="21" t="s">
        <v>69</v>
      </c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2"/>
      <c r="AK52" s="22"/>
      <c r="AL52" s="22"/>
      <c r="AM52" s="21" t="s">
        <v>70</v>
      </c>
      <c r="AN52" s="21" t="s">
        <v>70</v>
      </c>
      <c r="AO52" s="21" t="str">
        <f>_xlfn.XLOOKUP(A:A,[1]TAGS!$A:$A,[1]TAGS!$BG:$BG)</f>
        <v>Montado</v>
      </c>
      <c r="AP52" s="21"/>
      <c r="AQ52" s="21"/>
      <c r="AR52" s="21"/>
      <c r="AS52" s="21"/>
      <c r="AT52" s="21"/>
      <c r="AU52" s="21"/>
    </row>
    <row r="53" spans="1:47" x14ac:dyDescent="0.35">
      <c r="A53" s="19" t="s">
        <v>277</v>
      </c>
      <c r="B53" s="19" t="s">
        <v>52</v>
      </c>
      <c r="C53" s="19"/>
      <c r="D53" s="19" t="s">
        <v>53</v>
      </c>
      <c r="E53" s="19" t="s">
        <v>54</v>
      </c>
      <c r="F53" s="20" t="s">
        <v>116</v>
      </c>
      <c r="G53" s="20" t="s">
        <v>117</v>
      </c>
      <c r="H53" s="19" t="s">
        <v>278</v>
      </c>
      <c r="I53" s="20" t="s">
        <v>58</v>
      </c>
      <c r="J53" s="20" t="s">
        <v>119</v>
      </c>
      <c r="K53" s="20" t="s">
        <v>279</v>
      </c>
      <c r="L53" s="19" t="s">
        <v>61</v>
      </c>
      <c r="M53" s="19" t="s">
        <v>62</v>
      </c>
      <c r="N53" s="20" t="s">
        <v>63</v>
      </c>
      <c r="O53" s="19">
        <v>21</v>
      </c>
      <c r="P53" s="19">
        <v>3.73</v>
      </c>
      <c r="Q53" s="19">
        <v>1</v>
      </c>
      <c r="R53" s="20">
        <v>7</v>
      </c>
      <c r="S53" s="19">
        <v>6.6000000000000003E-2</v>
      </c>
      <c r="T53" s="19" t="s">
        <v>64</v>
      </c>
      <c r="U53" s="19" t="s">
        <v>65</v>
      </c>
      <c r="V53" s="19" t="s">
        <v>66</v>
      </c>
      <c r="W53" s="19" t="s">
        <v>67</v>
      </c>
      <c r="X53" s="19" t="s">
        <v>68</v>
      </c>
      <c r="Y53" s="21" t="s">
        <v>69</v>
      </c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2"/>
      <c r="AK53" s="22"/>
      <c r="AL53" s="22"/>
      <c r="AM53" s="21" t="s">
        <v>70</v>
      </c>
      <c r="AN53" s="21" t="s">
        <v>70</v>
      </c>
      <c r="AO53" s="21" t="str">
        <f>_xlfn.XLOOKUP(A:A,[1]TAGS!$A:$A,[1]TAGS!$BG:$BG)</f>
        <v>Não Montado</v>
      </c>
      <c r="AP53" s="21"/>
      <c r="AQ53" s="21"/>
      <c r="AR53" s="21"/>
      <c r="AS53" s="21"/>
      <c r="AT53" s="21"/>
      <c r="AU53" s="21"/>
    </row>
    <row r="54" spans="1:47" x14ac:dyDescent="0.35">
      <c r="A54" s="19" t="s">
        <v>280</v>
      </c>
      <c r="B54" s="19" t="s">
        <v>52</v>
      </c>
      <c r="C54" s="19"/>
      <c r="D54" s="19" t="s">
        <v>53</v>
      </c>
      <c r="E54" s="19" t="s">
        <v>54</v>
      </c>
      <c r="F54" s="20" t="s">
        <v>116</v>
      </c>
      <c r="G54" s="20" t="s">
        <v>122</v>
      </c>
      <c r="H54" s="19" t="s">
        <v>281</v>
      </c>
      <c r="I54" s="20" t="s">
        <v>124</v>
      </c>
      <c r="J54" s="20" t="s">
        <v>125</v>
      </c>
      <c r="K54" s="20" t="s">
        <v>282</v>
      </c>
      <c r="L54" s="19" t="s">
        <v>61</v>
      </c>
      <c r="M54" s="19" t="s">
        <v>62</v>
      </c>
      <c r="N54" s="20" t="s">
        <v>63</v>
      </c>
      <c r="O54" s="19">
        <v>21</v>
      </c>
      <c r="P54" s="19">
        <v>3.73</v>
      </c>
      <c r="Q54" s="19">
        <v>1</v>
      </c>
      <c r="R54" s="20">
        <v>7</v>
      </c>
      <c r="S54" s="19">
        <v>6.6000000000000003E-2</v>
      </c>
      <c r="T54" s="19" t="s">
        <v>64</v>
      </c>
      <c r="U54" s="19" t="s">
        <v>65</v>
      </c>
      <c r="V54" s="19" t="s">
        <v>66</v>
      </c>
      <c r="W54" s="19" t="s">
        <v>67</v>
      </c>
      <c r="X54" s="19" t="s">
        <v>68</v>
      </c>
      <c r="Y54" s="21" t="s">
        <v>69</v>
      </c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2"/>
      <c r="AK54" s="22"/>
      <c r="AL54" s="22"/>
      <c r="AM54" s="21" t="s">
        <v>70</v>
      </c>
      <c r="AN54" s="21" t="s">
        <v>70</v>
      </c>
      <c r="AO54" s="21" t="str">
        <f>_xlfn.XLOOKUP(A:A,[1]TAGS!$A:$A,[1]TAGS!$BG:$BG)</f>
        <v>Montado</v>
      </c>
      <c r="AP54" s="21"/>
      <c r="AQ54" s="21"/>
      <c r="AR54" s="21"/>
      <c r="AS54" s="21"/>
      <c r="AT54" s="21"/>
      <c r="AU54" s="21"/>
    </row>
    <row r="55" spans="1:47" x14ac:dyDescent="0.35">
      <c r="A55" s="19" t="s">
        <v>283</v>
      </c>
      <c r="B55" s="19" t="s">
        <v>52</v>
      </c>
      <c r="C55" s="19"/>
      <c r="D55" s="19" t="s">
        <v>53</v>
      </c>
      <c r="E55" s="19" t="s">
        <v>54</v>
      </c>
      <c r="F55" s="20" t="s">
        <v>116</v>
      </c>
      <c r="G55" s="20" t="s">
        <v>284</v>
      </c>
      <c r="H55" s="19" t="s">
        <v>285</v>
      </c>
      <c r="I55" s="20" t="s">
        <v>58</v>
      </c>
      <c r="J55" s="20" t="s">
        <v>286</v>
      </c>
      <c r="K55" s="20" t="s">
        <v>287</v>
      </c>
      <c r="L55" s="19" t="s">
        <v>61</v>
      </c>
      <c r="M55" s="19" t="s">
        <v>62</v>
      </c>
      <c r="N55" s="20" t="s">
        <v>63</v>
      </c>
      <c r="O55" s="19">
        <v>21</v>
      </c>
      <c r="P55" s="19">
        <v>3.73</v>
      </c>
      <c r="Q55" s="19">
        <v>1</v>
      </c>
      <c r="R55" s="20">
        <v>7</v>
      </c>
      <c r="S55" s="19">
        <v>6.6000000000000003E-2</v>
      </c>
      <c r="T55" s="19" t="s">
        <v>64</v>
      </c>
      <c r="U55" s="19" t="s">
        <v>65</v>
      </c>
      <c r="V55" s="19" t="s">
        <v>66</v>
      </c>
      <c r="W55" s="19" t="s">
        <v>67</v>
      </c>
      <c r="X55" s="19" t="s">
        <v>68</v>
      </c>
      <c r="Y55" s="21" t="s">
        <v>69</v>
      </c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2"/>
      <c r="AK55" s="22"/>
      <c r="AL55" s="22"/>
      <c r="AM55" s="21" t="s">
        <v>70</v>
      </c>
      <c r="AN55" s="21" t="s">
        <v>70</v>
      </c>
      <c r="AO55" s="21" t="str">
        <f>_xlfn.XLOOKUP(A:A,[1]TAGS!$A:$A,[1]TAGS!$BG:$BG)</f>
        <v>Montado</v>
      </c>
      <c r="AP55" s="21"/>
      <c r="AQ55" s="21"/>
      <c r="AR55" s="21"/>
      <c r="AS55" s="21"/>
      <c r="AT55" s="21"/>
      <c r="AU55" s="21"/>
    </row>
    <row r="56" spans="1:47" x14ac:dyDescent="0.35">
      <c r="A56" s="19" t="s">
        <v>288</v>
      </c>
      <c r="B56" s="19" t="s">
        <v>52</v>
      </c>
      <c r="C56" s="19"/>
      <c r="D56" s="19" t="s">
        <v>53</v>
      </c>
      <c r="E56" s="19" t="s">
        <v>54</v>
      </c>
      <c r="F56" s="20" t="s">
        <v>116</v>
      </c>
      <c r="G56" s="20" t="s">
        <v>289</v>
      </c>
      <c r="H56" s="19" t="s">
        <v>290</v>
      </c>
      <c r="I56" s="20" t="s">
        <v>58</v>
      </c>
      <c r="J56" s="20" t="s">
        <v>291</v>
      </c>
      <c r="K56" s="20" t="s">
        <v>292</v>
      </c>
      <c r="L56" s="19" t="s">
        <v>61</v>
      </c>
      <c r="M56" s="19" t="s">
        <v>62</v>
      </c>
      <c r="N56" s="20" t="s">
        <v>63</v>
      </c>
      <c r="O56" s="19">
        <v>21</v>
      </c>
      <c r="P56" s="19">
        <v>3.73</v>
      </c>
      <c r="Q56" s="19">
        <v>1</v>
      </c>
      <c r="R56" s="20">
        <v>7</v>
      </c>
      <c r="S56" s="19">
        <v>6.6000000000000003E-2</v>
      </c>
      <c r="T56" s="19" t="s">
        <v>64</v>
      </c>
      <c r="U56" s="19" t="s">
        <v>65</v>
      </c>
      <c r="V56" s="19" t="s">
        <v>66</v>
      </c>
      <c r="W56" s="19" t="s">
        <v>67</v>
      </c>
      <c r="X56" s="19" t="s">
        <v>68</v>
      </c>
      <c r="Y56" s="21" t="s">
        <v>69</v>
      </c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2"/>
      <c r="AK56" s="22"/>
      <c r="AL56" s="22"/>
      <c r="AM56" s="21" t="s">
        <v>70</v>
      </c>
      <c r="AN56" s="21" t="s">
        <v>70</v>
      </c>
      <c r="AO56" s="21" t="str">
        <f>_xlfn.XLOOKUP(A:A,[1]TAGS!$A:$A,[1]TAGS!$BG:$BG)</f>
        <v>Não Montado</v>
      </c>
      <c r="AP56" s="21"/>
      <c r="AQ56" s="21"/>
      <c r="AR56" s="21"/>
      <c r="AS56" s="21"/>
      <c r="AT56" s="21"/>
      <c r="AU56" s="21"/>
    </row>
    <row r="57" spans="1:47" x14ac:dyDescent="0.35">
      <c r="A57" s="19" t="s">
        <v>293</v>
      </c>
      <c r="B57" s="19" t="s">
        <v>52</v>
      </c>
      <c r="C57" s="19"/>
      <c r="D57" s="19" t="s">
        <v>53</v>
      </c>
      <c r="E57" s="19" t="s">
        <v>54</v>
      </c>
      <c r="F57" s="20" t="s">
        <v>294</v>
      </c>
      <c r="G57" s="20" t="s">
        <v>295</v>
      </c>
      <c r="H57" s="19" t="s">
        <v>296</v>
      </c>
      <c r="I57" s="20" t="s">
        <v>58</v>
      </c>
      <c r="J57" s="20" t="s">
        <v>297</v>
      </c>
      <c r="K57" s="20" t="s">
        <v>298</v>
      </c>
      <c r="L57" s="19" t="s">
        <v>61</v>
      </c>
      <c r="M57" s="19" t="s">
        <v>62</v>
      </c>
      <c r="N57" s="20" t="s">
        <v>63</v>
      </c>
      <c r="O57" s="19">
        <v>21</v>
      </c>
      <c r="P57" s="19">
        <v>3.73</v>
      </c>
      <c r="Q57" s="19">
        <v>1</v>
      </c>
      <c r="R57" s="20">
        <v>7</v>
      </c>
      <c r="S57" s="19">
        <v>6.6000000000000003E-2</v>
      </c>
      <c r="T57" s="19" t="s">
        <v>64</v>
      </c>
      <c r="U57" s="19" t="s">
        <v>65</v>
      </c>
      <c r="V57" s="19" t="s">
        <v>66</v>
      </c>
      <c r="W57" s="19" t="s">
        <v>67</v>
      </c>
      <c r="X57" s="19" t="s">
        <v>68</v>
      </c>
      <c r="Y57" s="21" t="s">
        <v>69</v>
      </c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2"/>
      <c r="AK57" s="22"/>
      <c r="AL57" s="22"/>
      <c r="AM57" s="21" t="s">
        <v>70</v>
      </c>
      <c r="AN57" s="21" t="s">
        <v>70</v>
      </c>
      <c r="AO57" s="21" t="str">
        <f>_xlfn.XLOOKUP(A:A,[1]TAGS!$A:$A,[1]TAGS!$BG:$BG)</f>
        <v>Montado</v>
      </c>
      <c r="AP57" s="21"/>
      <c r="AQ57" s="21"/>
      <c r="AR57" s="21"/>
      <c r="AS57" s="21"/>
      <c r="AT57" s="21"/>
      <c r="AU57" s="21"/>
    </row>
    <row r="58" spans="1:47" x14ac:dyDescent="0.35">
      <c r="A58" s="19" t="s">
        <v>299</v>
      </c>
      <c r="B58" s="19" t="s">
        <v>52</v>
      </c>
      <c r="C58" s="19"/>
      <c r="D58" s="19" t="s">
        <v>53</v>
      </c>
      <c r="E58" s="19" t="s">
        <v>54</v>
      </c>
      <c r="F58" s="20" t="s">
        <v>300</v>
      </c>
      <c r="G58" s="20" t="s">
        <v>301</v>
      </c>
      <c r="H58" s="19" t="s">
        <v>302</v>
      </c>
      <c r="I58" s="20" t="s">
        <v>58</v>
      </c>
      <c r="J58" s="20" t="s">
        <v>303</v>
      </c>
      <c r="K58" s="20" t="s">
        <v>304</v>
      </c>
      <c r="L58" s="19" t="s">
        <v>61</v>
      </c>
      <c r="M58" s="19" t="s">
        <v>62</v>
      </c>
      <c r="N58" s="20" t="s">
        <v>63</v>
      </c>
      <c r="O58" s="19">
        <v>21</v>
      </c>
      <c r="P58" s="19">
        <v>3.73</v>
      </c>
      <c r="Q58" s="19">
        <v>1</v>
      </c>
      <c r="R58" s="20">
        <v>7</v>
      </c>
      <c r="S58" s="19">
        <v>6.6000000000000003E-2</v>
      </c>
      <c r="T58" s="19" t="s">
        <v>64</v>
      </c>
      <c r="U58" s="19" t="s">
        <v>65</v>
      </c>
      <c r="V58" s="19" t="s">
        <v>66</v>
      </c>
      <c r="W58" s="19" t="s">
        <v>67</v>
      </c>
      <c r="X58" s="19" t="s">
        <v>68</v>
      </c>
      <c r="Y58" s="21" t="s">
        <v>69</v>
      </c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2"/>
      <c r="AK58" s="22"/>
      <c r="AL58" s="22"/>
      <c r="AM58" s="21" t="s">
        <v>70</v>
      </c>
      <c r="AN58" s="21" t="s">
        <v>70</v>
      </c>
      <c r="AO58" s="21" t="str">
        <f>_xlfn.XLOOKUP(A:A,[1]TAGS!$A:$A,[1]TAGS!$BG:$BG)</f>
        <v>Não Montado</v>
      </c>
      <c r="AP58" s="21"/>
      <c r="AQ58" s="21"/>
      <c r="AR58" s="21"/>
      <c r="AS58" s="21"/>
      <c r="AT58" s="21"/>
      <c r="AU58" s="21"/>
    </row>
    <row r="59" spans="1:47" x14ac:dyDescent="0.35">
      <c r="A59" s="19" t="s">
        <v>305</v>
      </c>
      <c r="B59" s="19" t="s">
        <v>52</v>
      </c>
      <c r="C59" s="19"/>
      <c r="D59" s="19" t="s">
        <v>53</v>
      </c>
      <c r="E59" s="19" t="s">
        <v>54</v>
      </c>
      <c r="F59" s="20" t="s">
        <v>306</v>
      </c>
      <c r="G59" s="20" t="s">
        <v>307</v>
      </c>
      <c r="H59" s="19" t="s">
        <v>308</v>
      </c>
      <c r="I59" s="20" t="s">
        <v>124</v>
      </c>
      <c r="J59" s="20" t="s">
        <v>309</v>
      </c>
      <c r="K59" s="20" t="s">
        <v>310</v>
      </c>
      <c r="L59" s="19" t="s">
        <v>61</v>
      </c>
      <c r="M59" s="19" t="s">
        <v>62</v>
      </c>
      <c r="N59" s="20" t="s">
        <v>63</v>
      </c>
      <c r="O59" s="19">
        <v>21</v>
      </c>
      <c r="P59" s="19">
        <v>3.73</v>
      </c>
      <c r="Q59" s="19">
        <v>1</v>
      </c>
      <c r="R59" s="20">
        <v>7</v>
      </c>
      <c r="S59" s="19">
        <v>6.6000000000000003E-2</v>
      </c>
      <c r="T59" s="19" t="s">
        <v>64</v>
      </c>
      <c r="U59" s="19" t="s">
        <v>65</v>
      </c>
      <c r="V59" s="19" t="s">
        <v>66</v>
      </c>
      <c r="W59" s="19" t="s">
        <v>67</v>
      </c>
      <c r="X59" s="19" t="s">
        <v>68</v>
      </c>
      <c r="Y59" s="21" t="s">
        <v>69</v>
      </c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2"/>
      <c r="AK59" s="22"/>
      <c r="AL59" s="22"/>
      <c r="AM59" s="21" t="s">
        <v>70</v>
      </c>
      <c r="AN59" s="21" t="s">
        <v>70</v>
      </c>
      <c r="AO59" s="21" t="str">
        <f>_xlfn.XLOOKUP(A:A,[1]TAGS!$A:$A,[1]TAGS!$BG:$BG)</f>
        <v>Montado</v>
      </c>
      <c r="AP59" s="21"/>
      <c r="AQ59" s="21"/>
      <c r="AR59" s="21"/>
      <c r="AS59" s="21"/>
      <c r="AT59" s="21"/>
      <c r="AU59" s="21"/>
    </row>
    <row r="60" spans="1:47" x14ac:dyDescent="0.35">
      <c r="A60" s="19" t="s">
        <v>311</v>
      </c>
      <c r="B60" s="19" t="s">
        <v>52</v>
      </c>
      <c r="C60" s="19"/>
      <c r="D60" s="19" t="s">
        <v>53</v>
      </c>
      <c r="E60" s="19" t="s">
        <v>54</v>
      </c>
      <c r="F60" s="20" t="s">
        <v>312</v>
      </c>
      <c r="G60" s="20" t="s">
        <v>313</v>
      </c>
      <c r="H60" s="19" t="s">
        <v>314</v>
      </c>
      <c r="I60" s="20" t="s">
        <v>58</v>
      </c>
      <c r="J60" s="20" t="s">
        <v>315</v>
      </c>
      <c r="K60" s="20" t="s">
        <v>316</v>
      </c>
      <c r="L60" s="19" t="s">
        <v>61</v>
      </c>
      <c r="M60" s="19" t="s">
        <v>62</v>
      </c>
      <c r="N60" s="20" t="s">
        <v>63</v>
      </c>
      <c r="O60" s="19">
        <v>21</v>
      </c>
      <c r="P60" s="19">
        <v>3.73</v>
      </c>
      <c r="Q60" s="19">
        <v>1</v>
      </c>
      <c r="R60" s="20">
        <v>7</v>
      </c>
      <c r="S60" s="19">
        <v>6.6000000000000003E-2</v>
      </c>
      <c r="T60" s="19" t="s">
        <v>64</v>
      </c>
      <c r="U60" s="19" t="s">
        <v>65</v>
      </c>
      <c r="V60" s="19" t="s">
        <v>66</v>
      </c>
      <c r="W60" s="19" t="s">
        <v>67</v>
      </c>
      <c r="X60" s="19" t="s">
        <v>68</v>
      </c>
      <c r="Y60" s="21" t="s">
        <v>69</v>
      </c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2"/>
      <c r="AK60" s="22"/>
      <c r="AL60" s="22"/>
      <c r="AM60" s="21" t="s">
        <v>70</v>
      </c>
      <c r="AN60" s="21" t="s">
        <v>70</v>
      </c>
      <c r="AO60" s="21" t="str">
        <f>_xlfn.XLOOKUP(A:A,[1]TAGS!$A:$A,[1]TAGS!$BG:$BG)</f>
        <v>Não Montado</v>
      </c>
      <c r="AP60" s="21"/>
      <c r="AQ60" s="21"/>
      <c r="AR60" s="21"/>
      <c r="AS60" s="21"/>
      <c r="AT60" s="21"/>
      <c r="AU60" s="21"/>
    </row>
    <row r="61" spans="1:47" x14ac:dyDescent="0.35">
      <c r="A61" s="19" t="s">
        <v>317</v>
      </c>
      <c r="B61" s="19" t="s">
        <v>52</v>
      </c>
      <c r="C61" s="19"/>
      <c r="D61" s="19" t="s">
        <v>53</v>
      </c>
      <c r="E61" s="19" t="s">
        <v>54</v>
      </c>
      <c r="F61" s="20" t="s">
        <v>312</v>
      </c>
      <c r="G61" s="20" t="s">
        <v>313</v>
      </c>
      <c r="H61" s="19" t="s">
        <v>318</v>
      </c>
      <c r="I61" s="20" t="s">
        <v>58</v>
      </c>
      <c r="J61" s="20" t="s">
        <v>315</v>
      </c>
      <c r="K61" s="20" t="s">
        <v>319</v>
      </c>
      <c r="L61" s="19" t="s">
        <v>61</v>
      </c>
      <c r="M61" s="19" t="s">
        <v>62</v>
      </c>
      <c r="N61" s="20" t="s">
        <v>63</v>
      </c>
      <c r="O61" s="19">
        <v>21</v>
      </c>
      <c r="P61" s="19">
        <v>3.73</v>
      </c>
      <c r="Q61" s="19">
        <v>1</v>
      </c>
      <c r="R61" s="20">
        <v>7</v>
      </c>
      <c r="S61" s="19">
        <v>6.6000000000000003E-2</v>
      </c>
      <c r="T61" s="19" t="s">
        <v>64</v>
      </c>
      <c r="U61" s="19" t="s">
        <v>65</v>
      </c>
      <c r="V61" s="19" t="s">
        <v>66</v>
      </c>
      <c r="W61" s="19" t="s">
        <v>67</v>
      </c>
      <c r="X61" s="19" t="s">
        <v>68</v>
      </c>
      <c r="Y61" s="21" t="s">
        <v>69</v>
      </c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2"/>
      <c r="AK61" s="22"/>
      <c r="AL61" s="22"/>
      <c r="AM61" s="21" t="s">
        <v>70</v>
      </c>
      <c r="AN61" s="21" t="s">
        <v>70</v>
      </c>
      <c r="AO61" s="21" t="str">
        <f>_xlfn.XLOOKUP(A:A,[1]TAGS!$A:$A,[1]TAGS!$BG:$BG)</f>
        <v>Montado</v>
      </c>
      <c r="AP61" s="21"/>
      <c r="AQ61" s="21"/>
      <c r="AR61" s="21"/>
      <c r="AS61" s="21"/>
      <c r="AT61" s="21"/>
      <c r="AU61" s="21"/>
    </row>
    <row r="62" spans="1:47" x14ac:dyDescent="0.35">
      <c r="A62" s="19" t="s">
        <v>320</v>
      </c>
      <c r="B62" s="19" t="s">
        <v>52</v>
      </c>
      <c r="C62" s="19"/>
      <c r="D62" s="19" t="s">
        <v>53</v>
      </c>
      <c r="E62" s="19" t="s">
        <v>54</v>
      </c>
      <c r="F62" s="20" t="s">
        <v>263</v>
      </c>
      <c r="G62" s="20" t="s">
        <v>264</v>
      </c>
      <c r="H62" s="19" t="s">
        <v>321</v>
      </c>
      <c r="I62" s="20" t="s">
        <v>58</v>
      </c>
      <c r="J62" s="20" t="s">
        <v>266</v>
      </c>
      <c r="K62" s="20" t="s">
        <v>322</v>
      </c>
      <c r="L62" s="19" t="s">
        <v>61</v>
      </c>
      <c r="M62" s="19" t="s">
        <v>62</v>
      </c>
      <c r="N62" s="20" t="s">
        <v>63</v>
      </c>
      <c r="O62" s="19">
        <v>21</v>
      </c>
      <c r="P62" s="19">
        <v>3.73</v>
      </c>
      <c r="Q62" s="19">
        <v>1</v>
      </c>
      <c r="R62" s="20">
        <v>7</v>
      </c>
      <c r="S62" s="19">
        <v>6.6000000000000003E-2</v>
      </c>
      <c r="T62" s="19" t="s">
        <v>64</v>
      </c>
      <c r="U62" s="19" t="s">
        <v>65</v>
      </c>
      <c r="V62" s="19" t="s">
        <v>66</v>
      </c>
      <c r="W62" s="19" t="s">
        <v>67</v>
      </c>
      <c r="X62" s="19" t="s">
        <v>68</v>
      </c>
      <c r="Y62" s="21" t="s">
        <v>69</v>
      </c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2"/>
      <c r="AK62" s="22"/>
      <c r="AL62" s="22"/>
      <c r="AM62" s="21" t="s">
        <v>70</v>
      </c>
      <c r="AN62" s="21" t="s">
        <v>70</v>
      </c>
      <c r="AO62" s="21" t="str">
        <f>_xlfn.XLOOKUP(A:A,[1]TAGS!$A:$A,[1]TAGS!$BG:$BG)</f>
        <v>Montado</v>
      </c>
      <c r="AP62" s="21"/>
      <c r="AQ62" s="21"/>
      <c r="AR62" s="21"/>
      <c r="AS62" s="21"/>
      <c r="AT62" s="21"/>
      <c r="AU62" s="21"/>
    </row>
    <row r="63" spans="1:47" x14ac:dyDescent="0.35">
      <c r="A63" s="19" t="s">
        <v>323</v>
      </c>
      <c r="B63" s="19" t="s">
        <v>52</v>
      </c>
      <c r="C63" s="19"/>
      <c r="D63" s="19" t="s">
        <v>53</v>
      </c>
      <c r="E63" s="19" t="s">
        <v>54</v>
      </c>
      <c r="F63" s="20" t="s">
        <v>141</v>
      </c>
      <c r="G63" s="20" t="s">
        <v>142</v>
      </c>
      <c r="H63" s="19" t="s">
        <v>324</v>
      </c>
      <c r="I63" s="20" t="s">
        <v>58</v>
      </c>
      <c r="J63" s="20" t="s">
        <v>144</v>
      </c>
      <c r="K63" s="20" t="s">
        <v>325</v>
      </c>
      <c r="L63" s="19" t="s">
        <v>61</v>
      </c>
      <c r="M63" s="19" t="s">
        <v>62</v>
      </c>
      <c r="N63" s="20" t="s">
        <v>63</v>
      </c>
      <c r="O63" s="19">
        <v>21</v>
      </c>
      <c r="P63" s="19">
        <v>3.73</v>
      </c>
      <c r="Q63" s="19">
        <v>1</v>
      </c>
      <c r="R63" s="20">
        <v>7</v>
      </c>
      <c r="S63" s="19">
        <v>6.6000000000000003E-2</v>
      </c>
      <c r="T63" s="19" t="s">
        <v>64</v>
      </c>
      <c r="U63" s="19" t="s">
        <v>65</v>
      </c>
      <c r="V63" s="19" t="s">
        <v>66</v>
      </c>
      <c r="W63" s="19" t="s">
        <v>67</v>
      </c>
      <c r="X63" s="19" t="s">
        <v>68</v>
      </c>
      <c r="Y63" s="21" t="s">
        <v>69</v>
      </c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2"/>
      <c r="AK63" s="22"/>
      <c r="AL63" s="22"/>
      <c r="AM63" s="21" t="s">
        <v>70</v>
      </c>
      <c r="AN63" s="21" t="s">
        <v>70</v>
      </c>
      <c r="AO63" s="21" t="str">
        <f>_xlfn.XLOOKUP(A:A,[1]TAGS!$A:$A,[1]TAGS!$BG:$BG)</f>
        <v>Montado</v>
      </c>
      <c r="AP63" s="21"/>
      <c r="AQ63" s="21"/>
      <c r="AR63" s="21"/>
      <c r="AS63" s="21"/>
      <c r="AT63" s="21"/>
      <c r="AU63" s="21"/>
    </row>
    <row r="64" spans="1:47" x14ac:dyDescent="0.35">
      <c r="A64" s="19" t="s">
        <v>326</v>
      </c>
      <c r="B64" s="19" t="s">
        <v>52</v>
      </c>
      <c r="C64" s="19"/>
      <c r="D64" s="19" t="s">
        <v>53</v>
      </c>
      <c r="E64" s="19" t="s">
        <v>54</v>
      </c>
      <c r="F64" s="20" t="s">
        <v>141</v>
      </c>
      <c r="G64" s="20" t="s">
        <v>142</v>
      </c>
      <c r="H64" s="19" t="s">
        <v>327</v>
      </c>
      <c r="I64" s="20" t="s">
        <v>58</v>
      </c>
      <c r="J64" s="20" t="s">
        <v>144</v>
      </c>
      <c r="K64" s="20" t="s">
        <v>328</v>
      </c>
      <c r="L64" s="19" t="s">
        <v>61</v>
      </c>
      <c r="M64" s="19" t="s">
        <v>62</v>
      </c>
      <c r="N64" s="20" t="s">
        <v>63</v>
      </c>
      <c r="O64" s="19">
        <v>21</v>
      </c>
      <c r="P64" s="19">
        <v>3.73</v>
      </c>
      <c r="Q64" s="19">
        <v>1</v>
      </c>
      <c r="R64" s="20">
        <v>7</v>
      </c>
      <c r="S64" s="19">
        <v>6.6000000000000003E-2</v>
      </c>
      <c r="T64" s="19" t="s">
        <v>64</v>
      </c>
      <c r="U64" s="19" t="s">
        <v>65</v>
      </c>
      <c r="V64" s="19" t="s">
        <v>66</v>
      </c>
      <c r="W64" s="19" t="s">
        <v>67</v>
      </c>
      <c r="X64" s="19" t="s">
        <v>68</v>
      </c>
      <c r="Y64" s="21" t="s">
        <v>69</v>
      </c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2"/>
      <c r="AK64" s="22"/>
      <c r="AL64" s="22"/>
      <c r="AM64" s="21" t="s">
        <v>70</v>
      </c>
      <c r="AN64" s="21" t="s">
        <v>70</v>
      </c>
      <c r="AO64" s="21" t="str">
        <f>_xlfn.XLOOKUP(A:A,[1]TAGS!$A:$A,[1]TAGS!$BG:$BG)</f>
        <v>Montado</v>
      </c>
      <c r="AP64" s="21"/>
      <c r="AQ64" s="21"/>
      <c r="AR64" s="21"/>
      <c r="AS64" s="21"/>
      <c r="AT64" s="21"/>
      <c r="AU64" s="21"/>
    </row>
    <row r="65" spans="1:47" x14ac:dyDescent="0.35">
      <c r="A65" s="19" t="s">
        <v>329</v>
      </c>
      <c r="B65" s="19" t="s">
        <v>52</v>
      </c>
      <c r="C65" s="19"/>
      <c r="D65" s="19" t="s">
        <v>53</v>
      </c>
      <c r="E65" s="19" t="s">
        <v>54</v>
      </c>
      <c r="F65" s="20" t="s">
        <v>269</v>
      </c>
      <c r="G65" s="20" t="s">
        <v>330</v>
      </c>
      <c r="H65" s="19" t="s">
        <v>331</v>
      </c>
      <c r="I65" s="20" t="s">
        <v>58</v>
      </c>
      <c r="J65" s="20" t="s">
        <v>332</v>
      </c>
      <c r="K65" s="20" t="s">
        <v>333</v>
      </c>
      <c r="L65" s="19" t="s">
        <v>61</v>
      </c>
      <c r="M65" s="19" t="s">
        <v>62</v>
      </c>
      <c r="N65" s="20" t="s">
        <v>63</v>
      </c>
      <c r="O65" s="19">
        <v>21</v>
      </c>
      <c r="P65" s="19">
        <v>3.73</v>
      </c>
      <c r="Q65" s="19">
        <v>1</v>
      </c>
      <c r="R65" s="20">
        <v>7</v>
      </c>
      <c r="S65" s="19">
        <v>6.6000000000000003E-2</v>
      </c>
      <c r="T65" s="19" t="s">
        <v>64</v>
      </c>
      <c r="U65" s="19" t="s">
        <v>65</v>
      </c>
      <c r="V65" s="19" t="s">
        <v>66</v>
      </c>
      <c r="W65" s="19" t="s">
        <v>67</v>
      </c>
      <c r="X65" s="19" t="s">
        <v>68</v>
      </c>
      <c r="Y65" s="21" t="s">
        <v>69</v>
      </c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2"/>
      <c r="AK65" s="22"/>
      <c r="AL65" s="22"/>
      <c r="AM65" s="21" t="s">
        <v>70</v>
      </c>
      <c r="AN65" s="21" t="s">
        <v>70</v>
      </c>
      <c r="AO65" s="21" t="str">
        <f>_xlfn.XLOOKUP(A:A,[1]TAGS!$A:$A,[1]TAGS!$BG:$BG)</f>
        <v>Montado</v>
      </c>
      <c r="AP65" s="21"/>
      <c r="AQ65" s="21"/>
      <c r="AR65" s="21"/>
      <c r="AS65" s="21"/>
      <c r="AT65" s="21"/>
      <c r="AU65" s="21"/>
    </row>
    <row r="66" spans="1:47" x14ac:dyDescent="0.35">
      <c r="A66" s="19" t="s">
        <v>334</v>
      </c>
      <c r="B66" s="19" t="s">
        <v>52</v>
      </c>
      <c r="C66" s="19"/>
      <c r="D66" s="19" t="s">
        <v>53</v>
      </c>
      <c r="E66" s="19" t="s">
        <v>54</v>
      </c>
      <c r="F66" s="20" t="s">
        <v>89</v>
      </c>
      <c r="G66" s="20" t="s">
        <v>90</v>
      </c>
      <c r="H66" s="19" t="s">
        <v>335</v>
      </c>
      <c r="I66" s="20" t="s">
        <v>58</v>
      </c>
      <c r="J66" s="20" t="s">
        <v>92</v>
      </c>
      <c r="K66" s="20" t="s">
        <v>336</v>
      </c>
      <c r="L66" s="19" t="s">
        <v>61</v>
      </c>
      <c r="M66" s="19" t="s">
        <v>62</v>
      </c>
      <c r="N66" s="20" t="s">
        <v>63</v>
      </c>
      <c r="O66" s="19">
        <v>21</v>
      </c>
      <c r="P66" s="19">
        <v>3.73</v>
      </c>
      <c r="Q66" s="19">
        <v>1</v>
      </c>
      <c r="R66" s="20">
        <v>7</v>
      </c>
      <c r="S66" s="19">
        <v>6.6000000000000003E-2</v>
      </c>
      <c r="T66" s="19" t="s">
        <v>64</v>
      </c>
      <c r="U66" s="19" t="s">
        <v>65</v>
      </c>
      <c r="V66" s="19" t="s">
        <v>66</v>
      </c>
      <c r="W66" s="19" t="s">
        <v>67</v>
      </c>
      <c r="X66" s="19" t="s">
        <v>68</v>
      </c>
      <c r="Y66" s="21" t="s">
        <v>69</v>
      </c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2"/>
      <c r="AK66" s="22"/>
      <c r="AL66" s="22"/>
      <c r="AM66" s="21" t="s">
        <v>70</v>
      </c>
      <c r="AN66" s="21" t="s">
        <v>70</v>
      </c>
      <c r="AO66" s="21" t="str">
        <f>_xlfn.XLOOKUP(A:A,[1]TAGS!$A:$A,[1]TAGS!$BG:$BG)</f>
        <v>Não Montado</v>
      </c>
      <c r="AP66" s="21"/>
      <c r="AQ66" s="21"/>
      <c r="AR66" s="21"/>
      <c r="AS66" s="21"/>
      <c r="AT66" s="21"/>
      <c r="AU66" s="21"/>
    </row>
    <row r="67" spans="1:47" x14ac:dyDescent="0.35">
      <c r="A67" s="19" t="s">
        <v>337</v>
      </c>
      <c r="B67" s="19" t="s">
        <v>52</v>
      </c>
      <c r="C67" s="19"/>
      <c r="D67" s="19" t="s">
        <v>53</v>
      </c>
      <c r="E67" s="19" t="s">
        <v>54</v>
      </c>
      <c r="F67" s="20" t="s">
        <v>95</v>
      </c>
      <c r="G67" s="20" t="s">
        <v>96</v>
      </c>
      <c r="H67" s="19" t="s">
        <v>338</v>
      </c>
      <c r="I67" s="20" t="s">
        <v>58</v>
      </c>
      <c r="J67" s="20" t="s">
        <v>98</v>
      </c>
      <c r="K67" s="20" t="s">
        <v>339</v>
      </c>
      <c r="L67" s="19" t="s">
        <v>61</v>
      </c>
      <c r="M67" s="19" t="s">
        <v>62</v>
      </c>
      <c r="N67" s="20" t="s">
        <v>63</v>
      </c>
      <c r="O67" s="19">
        <v>21</v>
      </c>
      <c r="P67" s="19">
        <v>3.73</v>
      </c>
      <c r="Q67" s="19">
        <v>1</v>
      </c>
      <c r="R67" s="20">
        <v>7</v>
      </c>
      <c r="S67" s="19">
        <v>6.6000000000000003E-2</v>
      </c>
      <c r="T67" s="19" t="s">
        <v>64</v>
      </c>
      <c r="U67" s="19" t="s">
        <v>65</v>
      </c>
      <c r="V67" s="19" t="s">
        <v>66</v>
      </c>
      <c r="W67" s="19" t="s">
        <v>67</v>
      </c>
      <c r="X67" s="19" t="s">
        <v>68</v>
      </c>
      <c r="Y67" s="21" t="s">
        <v>69</v>
      </c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2"/>
      <c r="AK67" s="22"/>
      <c r="AL67" s="22"/>
      <c r="AM67" s="21" t="s">
        <v>70</v>
      </c>
      <c r="AN67" s="21" t="s">
        <v>70</v>
      </c>
      <c r="AO67" s="21" t="str">
        <f>_xlfn.XLOOKUP(A:A,[1]TAGS!$A:$A,[1]TAGS!$BG:$BG)</f>
        <v>Montado</v>
      </c>
      <c r="AP67" s="21"/>
      <c r="AQ67" s="21"/>
      <c r="AR67" s="21"/>
      <c r="AS67" s="21"/>
      <c r="AT67" s="21"/>
      <c r="AU67" s="21"/>
    </row>
    <row r="68" spans="1:47" x14ac:dyDescent="0.35">
      <c r="A68" s="19" t="s">
        <v>340</v>
      </c>
      <c r="B68" s="19" t="s">
        <v>52</v>
      </c>
      <c r="C68" s="19"/>
      <c r="D68" s="19" t="s">
        <v>53</v>
      </c>
      <c r="E68" s="19" t="s">
        <v>54</v>
      </c>
      <c r="F68" s="20" t="s">
        <v>341</v>
      </c>
      <c r="G68" s="20" t="s">
        <v>342</v>
      </c>
      <c r="H68" s="19" t="s">
        <v>343</v>
      </c>
      <c r="I68" s="20" t="s">
        <v>58</v>
      </c>
      <c r="J68" s="20" t="s">
        <v>344</v>
      </c>
      <c r="K68" s="20" t="s">
        <v>345</v>
      </c>
      <c r="L68" s="19" t="s">
        <v>61</v>
      </c>
      <c r="M68" s="19" t="s">
        <v>62</v>
      </c>
      <c r="N68" s="20" t="s">
        <v>63</v>
      </c>
      <c r="O68" s="19">
        <v>21</v>
      </c>
      <c r="P68" s="19">
        <v>3.73</v>
      </c>
      <c r="Q68" s="19">
        <v>1</v>
      </c>
      <c r="R68" s="20">
        <v>7</v>
      </c>
      <c r="S68" s="19">
        <v>6.6000000000000003E-2</v>
      </c>
      <c r="T68" s="19" t="s">
        <v>64</v>
      </c>
      <c r="U68" s="19" t="s">
        <v>65</v>
      </c>
      <c r="V68" s="19" t="s">
        <v>66</v>
      </c>
      <c r="W68" s="19" t="s">
        <v>67</v>
      </c>
      <c r="X68" s="19" t="s">
        <v>68</v>
      </c>
      <c r="Y68" s="21" t="s">
        <v>69</v>
      </c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2"/>
      <c r="AK68" s="22"/>
      <c r="AL68" s="22"/>
      <c r="AM68" s="21" t="s">
        <v>70</v>
      </c>
      <c r="AN68" s="21" t="s">
        <v>70</v>
      </c>
      <c r="AO68" s="21" t="str">
        <f>_xlfn.XLOOKUP(A:A,[1]TAGS!$A:$A,[1]TAGS!$BG:$BG)</f>
        <v>Não Montado</v>
      </c>
      <c r="AP68" s="21"/>
      <c r="AQ68" s="21"/>
      <c r="AR68" s="21"/>
      <c r="AS68" s="21"/>
      <c r="AT68" s="21"/>
      <c r="AU68" s="21"/>
    </row>
    <row r="69" spans="1:47" x14ac:dyDescent="0.35">
      <c r="A69" s="19" t="s">
        <v>346</v>
      </c>
      <c r="B69" s="19" t="s">
        <v>52</v>
      </c>
      <c r="C69" s="19"/>
      <c r="D69" s="19" t="s">
        <v>53</v>
      </c>
      <c r="E69" s="19" t="s">
        <v>54</v>
      </c>
      <c r="F69" s="20" t="s">
        <v>341</v>
      </c>
      <c r="G69" s="20" t="s">
        <v>347</v>
      </c>
      <c r="H69" s="19" t="s">
        <v>348</v>
      </c>
      <c r="I69" s="20" t="s">
        <v>124</v>
      </c>
      <c r="J69" s="20" t="s">
        <v>349</v>
      </c>
      <c r="K69" s="20" t="s">
        <v>350</v>
      </c>
      <c r="L69" s="19" t="s">
        <v>61</v>
      </c>
      <c r="M69" s="19" t="s">
        <v>62</v>
      </c>
      <c r="N69" s="20" t="s">
        <v>63</v>
      </c>
      <c r="O69" s="19">
        <v>21</v>
      </c>
      <c r="P69" s="19">
        <v>3.73</v>
      </c>
      <c r="Q69" s="19">
        <v>1</v>
      </c>
      <c r="R69" s="20">
        <v>7</v>
      </c>
      <c r="S69" s="19">
        <v>6.6000000000000003E-2</v>
      </c>
      <c r="T69" s="19" t="s">
        <v>64</v>
      </c>
      <c r="U69" s="19" t="s">
        <v>65</v>
      </c>
      <c r="V69" s="19" t="s">
        <v>66</v>
      </c>
      <c r="W69" s="19" t="s">
        <v>67</v>
      </c>
      <c r="X69" s="19" t="s">
        <v>68</v>
      </c>
      <c r="Y69" s="21" t="s">
        <v>69</v>
      </c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2"/>
      <c r="AK69" s="22"/>
      <c r="AL69" s="22"/>
      <c r="AM69" s="21" t="s">
        <v>70</v>
      </c>
      <c r="AN69" s="21" t="s">
        <v>70</v>
      </c>
      <c r="AO69" s="21" t="str">
        <f>_xlfn.XLOOKUP(A:A,[1]TAGS!$A:$A,[1]TAGS!$BG:$BG)</f>
        <v>Montado</v>
      </c>
      <c r="AP69" s="21"/>
      <c r="AQ69" s="21"/>
      <c r="AR69" s="21"/>
      <c r="AS69" s="21"/>
      <c r="AT69" s="21"/>
      <c r="AU69" s="21"/>
    </row>
    <row r="70" spans="1:47" x14ac:dyDescent="0.35">
      <c r="A70" s="19" t="s">
        <v>351</v>
      </c>
      <c r="B70" s="19" t="s">
        <v>52</v>
      </c>
      <c r="C70" s="19"/>
      <c r="D70" s="19" t="s">
        <v>53</v>
      </c>
      <c r="E70" s="19" t="s">
        <v>54</v>
      </c>
      <c r="F70" s="20" t="s">
        <v>352</v>
      </c>
      <c r="G70" s="20" t="s">
        <v>353</v>
      </c>
      <c r="H70" s="19" t="s">
        <v>354</v>
      </c>
      <c r="I70" s="20" t="s">
        <v>124</v>
      </c>
      <c r="J70" s="20" t="s">
        <v>355</v>
      </c>
      <c r="K70" s="20" t="s">
        <v>356</v>
      </c>
      <c r="L70" s="19" t="s">
        <v>61</v>
      </c>
      <c r="M70" s="19" t="s">
        <v>62</v>
      </c>
      <c r="N70" s="20" t="s">
        <v>63</v>
      </c>
      <c r="O70" s="19">
        <v>21</v>
      </c>
      <c r="P70" s="19">
        <v>3.73</v>
      </c>
      <c r="Q70" s="19">
        <v>1</v>
      </c>
      <c r="R70" s="20">
        <v>7</v>
      </c>
      <c r="S70" s="19">
        <v>6.6000000000000003E-2</v>
      </c>
      <c r="T70" s="19" t="s">
        <v>64</v>
      </c>
      <c r="U70" s="19" t="s">
        <v>65</v>
      </c>
      <c r="V70" s="19" t="s">
        <v>66</v>
      </c>
      <c r="W70" s="19" t="s">
        <v>67</v>
      </c>
      <c r="X70" s="19" t="s">
        <v>68</v>
      </c>
      <c r="Y70" s="21" t="s">
        <v>69</v>
      </c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2"/>
      <c r="AK70" s="22"/>
      <c r="AL70" s="22"/>
      <c r="AM70" s="21" t="s">
        <v>70</v>
      </c>
      <c r="AN70" s="21" t="s">
        <v>70</v>
      </c>
      <c r="AO70" s="21" t="str">
        <f>_xlfn.XLOOKUP(A:A,[1]TAGS!$A:$A,[1]TAGS!$BG:$BG)</f>
        <v>Não Montado</v>
      </c>
      <c r="AP70" s="21"/>
      <c r="AQ70" s="21"/>
      <c r="AR70" s="21"/>
      <c r="AS70" s="21"/>
      <c r="AT70" s="21"/>
      <c r="AU70" s="21"/>
    </row>
    <row r="71" spans="1:47" x14ac:dyDescent="0.35">
      <c r="A71" s="19" t="s">
        <v>357</v>
      </c>
      <c r="B71" s="19" t="s">
        <v>52</v>
      </c>
      <c r="C71" s="19"/>
      <c r="D71" s="19" t="s">
        <v>53</v>
      </c>
      <c r="E71" s="19" t="s">
        <v>54</v>
      </c>
      <c r="F71" s="20" t="s">
        <v>358</v>
      </c>
      <c r="G71" s="20" t="s">
        <v>359</v>
      </c>
      <c r="H71" s="19" t="s">
        <v>360</v>
      </c>
      <c r="I71" s="20" t="s">
        <v>124</v>
      </c>
      <c r="J71" s="20" t="s">
        <v>361</v>
      </c>
      <c r="K71" s="20" t="s">
        <v>362</v>
      </c>
      <c r="L71" s="19" t="s">
        <v>61</v>
      </c>
      <c r="M71" s="19" t="s">
        <v>62</v>
      </c>
      <c r="N71" s="20" t="s">
        <v>63</v>
      </c>
      <c r="O71" s="19">
        <v>21</v>
      </c>
      <c r="P71" s="19">
        <v>3.73</v>
      </c>
      <c r="Q71" s="19">
        <v>1</v>
      </c>
      <c r="R71" s="20">
        <v>7</v>
      </c>
      <c r="S71" s="19">
        <v>6.6000000000000003E-2</v>
      </c>
      <c r="T71" s="19" t="s">
        <v>64</v>
      </c>
      <c r="U71" s="19" t="s">
        <v>65</v>
      </c>
      <c r="V71" s="19" t="s">
        <v>66</v>
      </c>
      <c r="W71" s="19" t="s">
        <v>67</v>
      </c>
      <c r="X71" s="19" t="s">
        <v>68</v>
      </c>
      <c r="Y71" s="21" t="s">
        <v>69</v>
      </c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2"/>
      <c r="AK71" s="22"/>
      <c r="AL71" s="22"/>
      <c r="AM71" s="21" t="s">
        <v>70</v>
      </c>
      <c r="AN71" s="21" t="s">
        <v>70</v>
      </c>
      <c r="AO71" s="21" t="str">
        <f>_xlfn.XLOOKUP(A:A,[1]TAGS!$A:$A,[1]TAGS!$BG:$BG)</f>
        <v>Montado</v>
      </c>
      <c r="AP71" s="21"/>
      <c r="AQ71" s="21"/>
      <c r="AR71" s="21"/>
      <c r="AS71" s="21"/>
      <c r="AT71" s="21"/>
      <c r="AU71" s="21"/>
    </row>
    <row r="72" spans="1:47" x14ac:dyDescent="0.35">
      <c r="A72" s="19" t="s">
        <v>363</v>
      </c>
      <c r="B72" s="19" t="s">
        <v>52</v>
      </c>
      <c r="C72" s="19"/>
      <c r="D72" s="19" t="s">
        <v>53</v>
      </c>
      <c r="E72" s="19" t="s">
        <v>54</v>
      </c>
      <c r="F72" s="20" t="s">
        <v>364</v>
      </c>
      <c r="G72" s="20" t="s">
        <v>365</v>
      </c>
      <c r="H72" s="19" t="s">
        <v>366</v>
      </c>
      <c r="I72" s="20" t="s">
        <v>58</v>
      </c>
      <c r="J72" s="20" t="s">
        <v>367</v>
      </c>
      <c r="K72" s="20" t="s">
        <v>368</v>
      </c>
      <c r="L72" s="19" t="s">
        <v>61</v>
      </c>
      <c r="M72" s="19" t="s">
        <v>62</v>
      </c>
      <c r="N72" s="20" t="s">
        <v>63</v>
      </c>
      <c r="O72" s="19">
        <v>21</v>
      </c>
      <c r="P72" s="19">
        <v>3.73</v>
      </c>
      <c r="Q72" s="19">
        <v>1</v>
      </c>
      <c r="R72" s="20">
        <v>7</v>
      </c>
      <c r="S72" s="19">
        <v>6.6000000000000003E-2</v>
      </c>
      <c r="T72" s="19" t="s">
        <v>64</v>
      </c>
      <c r="U72" s="19" t="s">
        <v>65</v>
      </c>
      <c r="V72" s="19" t="s">
        <v>66</v>
      </c>
      <c r="W72" s="19" t="s">
        <v>67</v>
      </c>
      <c r="X72" s="19" t="s">
        <v>68</v>
      </c>
      <c r="Y72" s="21" t="s">
        <v>69</v>
      </c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2"/>
      <c r="AK72" s="22"/>
      <c r="AL72" s="22"/>
      <c r="AM72" s="21" t="s">
        <v>70</v>
      </c>
      <c r="AN72" s="21" t="s">
        <v>70</v>
      </c>
      <c r="AO72" s="21" t="str">
        <f>_xlfn.XLOOKUP(A:A,[1]TAGS!$A:$A,[1]TAGS!$BG:$BG)</f>
        <v>Montado</v>
      </c>
      <c r="AP72" s="21"/>
      <c r="AQ72" s="21"/>
      <c r="AR72" s="21"/>
      <c r="AS72" s="21"/>
      <c r="AT72" s="21"/>
      <c r="AU72" s="21"/>
    </row>
    <row r="73" spans="1:47" x14ac:dyDescent="0.35">
      <c r="A73" s="19" t="s">
        <v>369</v>
      </c>
      <c r="B73" s="19" t="s">
        <v>52</v>
      </c>
      <c r="C73" s="19"/>
      <c r="D73" s="19" t="s">
        <v>53</v>
      </c>
      <c r="E73" s="19" t="s">
        <v>54</v>
      </c>
      <c r="F73" s="20" t="s">
        <v>370</v>
      </c>
      <c r="G73" s="20" t="s">
        <v>371</v>
      </c>
      <c r="H73" s="19" t="s">
        <v>372</v>
      </c>
      <c r="I73" s="20" t="s">
        <v>58</v>
      </c>
      <c r="J73" s="20" t="s">
        <v>373</v>
      </c>
      <c r="K73" s="20" t="s">
        <v>374</v>
      </c>
      <c r="L73" s="19" t="s">
        <v>61</v>
      </c>
      <c r="M73" s="19" t="s">
        <v>62</v>
      </c>
      <c r="N73" s="20" t="s">
        <v>63</v>
      </c>
      <c r="O73" s="19">
        <v>21</v>
      </c>
      <c r="P73" s="19">
        <v>3.73</v>
      </c>
      <c r="Q73" s="19">
        <v>1</v>
      </c>
      <c r="R73" s="20">
        <v>7</v>
      </c>
      <c r="S73" s="19">
        <v>6.6000000000000003E-2</v>
      </c>
      <c r="T73" s="19" t="s">
        <v>64</v>
      </c>
      <c r="U73" s="19" t="s">
        <v>65</v>
      </c>
      <c r="V73" s="19" t="s">
        <v>66</v>
      </c>
      <c r="W73" s="19" t="s">
        <v>67</v>
      </c>
      <c r="X73" s="19" t="s">
        <v>68</v>
      </c>
      <c r="Y73" s="21" t="s">
        <v>69</v>
      </c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2"/>
      <c r="AK73" s="22"/>
      <c r="AL73" s="22"/>
      <c r="AM73" s="21" t="s">
        <v>70</v>
      </c>
      <c r="AN73" s="21" t="s">
        <v>70</v>
      </c>
      <c r="AO73" s="21" t="str">
        <f>_xlfn.XLOOKUP(A:A,[1]TAGS!$A:$A,[1]TAGS!$BG:$BG)</f>
        <v>Em programação</v>
      </c>
      <c r="AP73" s="21"/>
      <c r="AQ73" s="21"/>
      <c r="AR73" s="21"/>
      <c r="AS73" s="21"/>
      <c r="AT73" s="21"/>
      <c r="AU73" s="21"/>
    </row>
    <row r="74" spans="1:47" x14ac:dyDescent="0.35">
      <c r="A74" s="19" t="s">
        <v>375</v>
      </c>
      <c r="B74" s="19" t="s">
        <v>52</v>
      </c>
      <c r="C74" s="19"/>
      <c r="D74" s="19" t="s">
        <v>53</v>
      </c>
      <c r="E74" s="19" t="s">
        <v>54</v>
      </c>
      <c r="F74" s="20" t="s">
        <v>376</v>
      </c>
      <c r="G74" s="20" t="s">
        <v>377</v>
      </c>
      <c r="H74" s="19" t="s">
        <v>378</v>
      </c>
      <c r="I74" s="20" t="s">
        <v>58</v>
      </c>
      <c r="J74" s="20" t="s">
        <v>379</v>
      </c>
      <c r="K74" s="20" t="s">
        <v>380</v>
      </c>
      <c r="L74" s="19" t="s">
        <v>61</v>
      </c>
      <c r="M74" s="19" t="s">
        <v>62</v>
      </c>
      <c r="N74" s="20" t="s">
        <v>63</v>
      </c>
      <c r="O74" s="19">
        <v>21</v>
      </c>
      <c r="P74" s="19">
        <v>3.73</v>
      </c>
      <c r="Q74" s="19">
        <v>1</v>
      </c>
      <c r="R74" s="20">
        <v>7</v>
      </c>
      <c r="S74" s="19">
        <v>6.6000000000000003E-2</v>
      </c>
      <c r="T74" s="19" t="s">
        <v>64</v>
      </c>
      <c r="U74" s="19" t="s">
        <v>65</v>
      </c>
      <c r="V74" s="19" t="s">
        <v>66</v>
      </c>
      <c r="W74" s="19" t="s">
        <v>67</v>
      </c>
      <c r="X74" s="19" t="s">
        <v>68</v>
      </c>
      <c r="Y74" s="21" t="s">
        <v>69</v>
      </c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2"/>
      <c r="AK74" s="22"/>
      <c r="AL74" s="22"/>
      <c r="AM74" s="21" t="s">
        <v>70</v>
      </c>
      <c r="AN74" s="21" t="s">
        <v>70</v>
      </c>
      <c r="AO74" s="21" t="str">
        <f>_xlfn.XLOOKUP(A:A,[1]TAGS!$A:$A,[1]TAGS!$BG:$BG)</f>
        <v>Montado</v>
      </c>
      <c r="AP74" s="21"/>
      <c r="AQ74" s="21"/>
      <c r="AR74" s="21"/>
      <c r="AS74" s="21"/>
      <c r="AT74" s="21"/>
      <c r="AU74" s="21"/>
    </row>
    <row r="75" spans="1:47" x14ac:dyDescent="0.35">
      <c r="A75" s="19" t="s">
        <v>381</v>
      </c>
      <c r="B75" s="19" t="s">
        <v>52</v>
      </c>
      <c r="C75" s="19"/>
      <c r="D75" s="19" t="s">
        <v>53</v>
      </c>
      <c r="E75" s="19" t="s">
        <v>54</v>
      </c>
      <c r="F75" s="20" t="s">
        <v>312</v>
      </c>
      <c r="G75" s="20" t="s">
        <v>313</v>
      </c>
      <c r="H75" s="19" t="s">
        <v>382</v>
      </c>
      <c r="I75" s="20" t="s">
        <v>58</v>
      </c>
      <c r="J75" s="20" t="s">
        <v>315</v>
      </c>
      <c r="K75" s="20" t="s">
        <v>383</v>
      </c>
      <c r="L75" s="19" t="s">
        <v>61</v>
      </c>
      <c r="M75" s="19" t="s">
        <v>62</v>
      </c>
      <c r="N75" s="20" t="s">
        <v>63</v>
      </c>
      <c r="O75" s="19">
        <v>21</v>
      </c>
      <c r="P75" s="19">
        <v>3.73</v>
      </c>
      <c r="Q75" s="19">
        <v>1</v>
      </c>
      <c r="R75" s="20">
        <v>7</v>
      </c>
      <c r="S75" s="19">
        <v>6.6000000000000003E-2</v>
      </c>
      <c r="T75" s="19" t="s">
        <v>64</v>
      </c>
      <c r="U75" s="19" t="s">
        <v>65</v>
      </c>
      <c r="V75" s="19" t="s">
        <v>66</v>
      </c>
      <c r="W75" s="19" t="s">
        <v>67</v>
      </c>
      <c r="X75" s="19" t="s">
        <v>68</v>
      </c>
      <c r="Y75" s="21" t="s">
        <v>69</v>
      </c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2"/>
      <c r="AK75" s="22"/>
      <c r="AL75" s="22"/>
      <c r="AM75" s="21" t="s">
        <v>70</v>
      </c>
      <c r="AN75" s="21" t="s">
        <v>70</v>
      </c>
      <c r="AO75" s="21" t="str">
        <f>_xlfn.XLOOKUP(A:A,[1]TAGS!$A:$A,[1]TAGS!$BG:$BG)</f>
        <v>Montado</v>
      </c>
      <c r="AP75" s="21"/>
      <c r="AQ75" s="21"/>
      <c r="AR75" s="21"/>
      <c r="AS75" s="21"/>
      <c r="AT75" s="21"/>
      <c r="AU75" s="21"/>
    </row>
    <row r="76" spans="1:47" x14ac:dyDescent="0.35">
      <c r="A76" s="19" t="s">
        <v>384</v>
      </c>
      <c r="B76" s="19" t="s">
        <v>52</v>
      </c>
      <c r="C76" s="19"/>
      <c r="D76" s="19" t="s">
        <v>53</v>
      </c>
      <c r="E76" s="19" t="s">
        <v>54</v>
      </c>
      <c r="F76" s="20" t="s">
        <v>385</v>
      </c>
      <c r="G76" s="20" t="s">
        <v>386</v>
      </c>
      <c r="H76" s="19" t="s">
        <v>387</v>
      </c>
      <c r="I76" s="20" t="s">
        <v>58</v>
      </c>
      <c r="J76" s="20" t="s">
        <v>388</v>
      </c>
      <c r="K76" s="20" t="s">
        <v>389</v>
      </c>
      <c r="L76" s="19" t="s">
        <v>61</v>
      </c>
      <c r="M76" s="19" t="s">
        <v>62</v>
      </c>
      <c r="N76" s="20" t="s">
        <v>63</v>
      </c>
      <c r="O76" s="19">
        <v>21</v>
      </c>
      <c r="P76" s="19">
        <v>3.73</v>
      </c>
      <c r="Q76" s="19">
        <v>1</v>
      </c>
      <c r="R76" s="20">
        <v>7</v>
      </c>
      <c r="S76" s="19">
        <v>6.6000000000000003E-2</v>
      </c>
      <c r="T76" s="19" t="s">
        <v>64</v>
      </c>
      <c r="U76" s="19" t="s">
        <v>65</v>
      </c>
      <c r="V76" s="19" t="s">
        <v>66</v>
      </c>
      <c r="W76" s="19" t="s">
        <v>67</v>
      </c>
      <c r="X76" s="19" t="s">
        <v>68</v>
      </c>
      <c r="Y76" s="21" t="s">
        <v>69</v>
      </c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2"/>
      <c r="AK76" s="22"/>
      <c r="AL76" s="22"/>
      <c r="AM76" s="21" t="s">
        <v>70</v>
      </c>
      <c r="AN76" s="21" t="s">
        <v>70</v>
      </c>
      <c r="AO76" s="21" t="str">
        <f>_xlfn.XLOOKUP(A:A,[1]TAGS!$A:$A,[1]TAGS!$BG:$BG)</f>
        <v>Montado</v>
      </c>
      <c r="AP76" s="21"/>
      <c r="AQ76" s="21"/>
      <c r="AR76" s="21"/>
      <c r="AS76" s="21"/>
      <c r="AT76" s="21"/>
      <c r="AU76" s="21"/>
    </row>
    <row r="77" spans="1:47" x14ac:dyDescent="0.35">
      <c r="A77" s="19" t="s">
        <v>390</v>
      </c>
      <c r="B77" s="19" t="s">
        <v>52</v>
      </c>
      <c r="C77" s="19"/>
      <c r="D77" s="19" t="s">
        <v>53</v>
      </c>
      <c r="E77" s="19" t="s">
        <v>54</v>
      </c>
      <c r="F77" s="20" t="s">
        <v>391</v>
      </c>
      <c r="G77" s="20" t="s">
        <v>392</v>
      </c>
      <c r="H77" s="19" t="s">
        <v>393</v>
      </c>
      <c r="I77" s="20" t="s">
        <v>124</v>
      </c>
      <c r="J77" s="20" t="s">
        <v>394</v>
      </c>
      <c r="K77" s="20" t="s">
        <v>395</v>
      </c>
      <c r="L77" s="19" t="s">
        <v>61</v>
      </c>
      <c r="M77" s="19" t="s">
        <v>62</v>
      </c>
      <c r="N77" s="20" t="s">
        <v>63</v>
      </c>
      <c r="O77" s="19">
        <v>21</v>
      </c>
      <c r="P77" s="19">
        <v>3.73</v>
      </c>
      <c r="Q77" s="19">
        <v>1</v>
      </c>
      <c r="R77" s="20">
        <v>7</v>
      </c>
      <c r="S77" s="19">
        <v>6.6000000000000003E-2</v>
      </c>
      <c r="T77" s="19" t="s">
        <v>64</v>
      </c>
      <c r="U77" s="19" t="s">
        <v>65</v>
      </c>
      <c r="V77" s="19" t="s">
        <v>66</v>
      </c>
      <c r="W77" s="19" t="s">
        <v>67</v>
      </c>
      <c r="X77" s="19" t="s">
        <v>68</v>
      </c>
      <c r="Y77" s="21" t="s">
        <v>69</v>
      </c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2"/>
      <c r="AK77" s="22"/>
      <c r="AL77" s="22"/>
      <c r="AM77" s="21" t="s">
        <v>70</v>
      </c>
      <c r="AN77" s="21" t="s">
        <v>70</v>
      </c>
      <c r="AO77" s="21" t="str">
        <f>_xlfn.XLOOKUP(A:A,[1]TAGS!$A:$A,[1]TAGS!$BG:$BG)</f>
        <v>Montado</v>
      </c>
      <c r="AP77" s="21"/>
      <c r="AQ77" s="21"/>
      <c r="AR77" s="21"/>
      <c r="AS77" s="21"/>
      <c r="AT77" s="21"/>
      <c r="AU77" s="21"/>
    </row>
    <row r="78" spans="1:47" x14ac:dyDescent="0.35">
      <c r="A78" s="19" t="s">
        <v>396</v>
      </c>
      <c r="B78" s="19" t="s">
        <v>52</v>
      </c>
      <c r="C78" s="19"/>
      <c r="D78" s="19" t="s">
        <v>53</v>
      </c>
      <c r="E78" s="19" t="s">
        <v>54</v>
      </c>
      <c r="F78" s="20" t="s">
        <v>397</v>
      </c>
      <c r="G78" s="20" t="s">
        <v>398</v>
      </c>
      <c r="H78" s="19" t="s">
        <v>399</v>
      </c>
      <c r="I78" s="20" t="s">
        <v>58</v>
      </c>
      <c r="J78" s="20" t="s">
        <v>400</v>
      </c>
      <c r="K78" s="20" t="s">
        <v>401</v>
      </c>
      <c r="L78" s="19" t="s">
        <v>61</v>
      </c>
      <c r="M78" s="19" t="s">
        <v>62</v>
      </c>
      <c r="N78" s="20" t="s">
        <v>63</v>
      </c>
      <c r="O78" s="19">
        <v>21</v>
      </c>
      <c r="P78" s="19">
        <v>3.73</v>
      </c>
      <c r="Q78" s="19">
        <v>1</v>
      </c>
      <c r="R78" s="20">
        <v>7</v>
      </c>
      <c r="S78" s="19">
        <v>6.6000000000000003E-2</v>
      </c>
      <c r="T78" s="19" t="s">
        <v>64</v>
      </c>
      <c r="U78" s="19" t="s">
        <v>65</v>
      </c>
      <c r="V78" s="19" t="s">
        <v>66</v>
      </c>
      <c r="W78" s="19" t="s">
        <v>67</v>
      </c>
      <c r="X78" s="19" t="s">
        <v>68</v>
      </c>
      <c r="Y78" s="21" t="s">
        <v>69</v>
      </c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2"/>
      <c r="AK78" s="22"/>
      <c r="AL78" s="22"/>
      <c r="AM78" s="21" t="s">
        <v>70</v>
      </c>
      <c r="AN78" s="21" t="s">
        <v>70</v>
      </c>
      <c r="AO78" s="21" t="str">
        <f>_xlfn.XLOOKUP(A:A,[1]TAGS!$A:$A,[1]TAGS!$BG:$BG)</f>
        <v>Montado</v>
      </c>
      <c r="AP78" s="21"/>
      <c r="AQ78" s="21"/>
      <c r="AR78" s="21"/>
      <c r="AS78" s="21"/>
      <c r="AT78" s="21"/>
      <c r="AU78" s="21"/>
    </row>
    <row r="79" spans="1:47" x14ac:dyDescent="0.35">
      <c r="A79" s="19" t="s">
        <v>402</v>
      </c>
      <c r="B79" s="19" t="s">
        <v>52</v>
      </c>
      <c r="C79" s="19"/>
      <c r="D79" s="19" t="s">
        <v>53</v>
      </c>
      <c r="E79" s="19" t="s">
        <v>54</v>
      </c>
      <c r="F79" s="20" t="s">
        <v>403</v>
      </c>
      <c r="G79" s="20" t="s">
        <v>404</v>
      </c>
      <c r="H79" s="19" t="s">
        <v>405</v>
      </c>
      <c r="I79" s="20" t="s">
        <v>58</v>
      </c>
      <c r="J79" s="20" t="s">
        <v>406</v>
      </c>
      <c r="K79" s="20" t="s">
        <v>407</v>
      </c>
      <c r="L79" s="19" t="s">
        <v>61</v>
      </c>
      <c r="M79" s="19" t="s">
        <v>62</v>
      </c>
      <c r="N79" s="20" t="s">
        <v>63</v>
      </c>
      <c r="O79" s="19">
        <v>21</v>
      </c>
      <c r="P79" s="19">
        <v>3.73</v>
      </c>
      <c r="Q79" s="19">
        <v>1</v>
      </c>
      <c r="R79" s="20">
        <v>7</v>
      </c>
      <c r="S79" s="19">
        <v>6.6000000000000003E-2</v>
      </c>
      <c r="T79" s="19" t="s">
        <v>64</v>
      </c>
      <c r="U79" s="19" t="s">
        <v>65</v>
      </c>
      <c r="V79" s="19" t="s">
        <v>66</v>
      </c>
      <c r="W79" s="19" t="s">
        <v>67</v>
      </c>
      <c r="X79" s="19" t="s">
        <v>68</v>
      </c>
      <c r="Y79" s="21" t="s">
        <v>69</v>
      </c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2"/>
      <c r="AK79" s="22"/>
      <c r="AL79" s="22"/>
      <c r="AM79" s="21" t="s">
        <v>70</v>
      </c>
      <c r="AN79" s="21" t="s">
        <v>70</v>
      </c>
      <c r="AO79" s="21" t="str">
        <f>_xlfn.XLOOKUP(A:A,[1]TAGS!$A:$A,[1]TAGS!$BG:$BG)</f>
        <v>Em programação</v>
      </c>
      <c r="AP79" s="21"/>
      <c r="AQ79" s="21"/>
      <c r="AR79" s="21"/>
      <c r="AS79" s="21"/>
      <c r="AT79" s="21"/>
      <c r="AU79" s="21"/>
    </row>
    <row r="80" spans="1:47" x14ac:dyDescent="0.35">
      <c r="A80" s="19" t="s">
        <v>408</v>
      </c>
      <c r="B80" s="19" t="s">
        <v>52</v>
      </c>
      <c r="C80" s="19"/>
      <c r="D80" s="19" t="s">
        <v>53</v>
      </c>
      <c r="E80" s="19" t="s">
        <v>54</v>
      </c>
      <c r="F80" s="20" t="s">
        <v>55</v>
      </c>
      <c r="G80" s="20" t="s">
        <v>56</v>
      </c>
      <c r="H80" s="19" t="s">
        <v>409</v>
      </c>
      <c r="I80" s="20" t="s">
        <v>58</v>
      </c>
      <c r="J80" s="20" t="s">
        <v>59</v>
      </c>
      <c r="K80" s="20" t="s">
        <v>410</v>
      </c>
      <c r="L80" s="19" t="s">
        <v>61</v>
      </c>
      <c r="M80" s="19" t="s">
        <v>62</v>
      </c>
      <c r="N80" s="20" t="s">
        <v>63</v>
      </c>
      <c r="O80" s="19">
        <v>21</v>
      </c>
      <c r="P80" s="19">
        <v>3.73</v>
      </c>
      <c r="Q80" s="19">
        <v>1</v>
      </c>
      <c r="R80" s="20">
        <v>7</v>
      </c>
      <c r="S80" s="19">
        <v>6.6000000000000003E-2</v>
      </c>
      <c r="T80" s="19" t="s">
        <v>64</v>
      </c>
      <c r="U80" s="19" t="s">
        <v>65</v>
      </c>
      <c r="V80" s="19" t="s">
        <v>66</v>
      </c>
      <c r="W80" s="19" t="s">
        <v>67</v>
      </c>
      <c r="X80" s="19" t="s">
        <v>68</v>
      </c>
      <c r="Y80" s="21" t="s">
        <v>69</v>
      </c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2"/>
      <c r="AK80" s="22"/>
      <c r="AL80" s="22"/>
      <c r="AM80" s="21" t="s">
        <v>70</v>
      </c>
      <c r="AN80" s="21" t="s">
        <v>70</v>
      </c>
      <c r="AO80" s="21" t="str">
        <f>_xlfn.XLOOKUP(A:A,[1]TAGS!$A:$A,[1]TAGS!$BG:$BG)</f>
        <v>Montado</v>
      </c>
      <c r="AP80" s="21"/>
      <c r="AQ80" s="21"/>
      <c r="AR80" s="21"/>
      <c r="AS80" s="21"/>
      <c r="AT80" s="21"/>
      <c r="AU80" s="21"/>
    </row>
    <row r="81" spans="1:47" x14ac:dyDescent="0.35">
      <c r="A81" s="19" t="s">
        <v>411</v>
      </c>
      <c r="B81" s="19" t="s">
        <v>52</v>
      </c>
      <c r="C81" s="19"/>
      <c r="D81" s="19" t="s">
        <v>53</v>
      </c>
      <c r="E81" s="19" t="s">
        <v>54</v>
      </c>
      <c r="F81" s="20" t="s">
        <v>55</v>
      </c>
      <c r="G81" s="20" t="s">
        <v>56</v>
      </c>
      <c r="H81" s="19" t="s">
        <v>412</v>
      </c>
      <c r="I81" s="20" t="s">
        <v>58</v>
      </c>
      <c r="J81" s="20" t="s">
        <v>59</v>
      </c>
      <c r="K81" s="20" t="s">
        <v>413</v>
      </c>
      <c r="L81" s="19" t="s">
        <v>61</v>
      </c>
      <c r="M81" s="19" t="s">
        <v>62</v>
      </c>
      <c r="N81" s="20" t="s">
        <v>63</v>
      </c>
      <c r="O81" s="19">
        <v>21</v>
      </c>
      <c r="P81" s="19">
        <v>3.73</v>
      </c>
      <c r="Q81" s="19">
        <v>1</v>
      </c>
      <c r="R81" s="20">
        <v>7</v>
      </c>
      <c r="S81" s="19">
        <v>6.6000000000000003E-2</v>
      </c>
      <c r="T81" s="19" t="s">
        <v>64</v>
      </c>
      <c r="U81" s="19" t="s">
        <v>65</v>
      </c>
      <c r="V81" s="19" t="s">
        <v>66</v>
      </c>
      <c r="W81" s="19" t="s">
        <v>67</v>
      </c>
      <c r="X81" s="19" t="s">
        <v>68</v>
      </c>
      <c r="Y81" s="21" t="s">
        <v>69</v>
      </c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2"/>
      <c r="AK81" s="22"/>
      <c r="AL81" s="22"/>
      <c r="AM81" s="21" t="s">
        <v>70</v>
      </c>
      <c r="AN81" s="21" t="s">
        <v>70</v>
      </c>
      <c r="AO81" s="21" t="str">
        <f>_xlfn.XLOOKUP(A:A,[1]TAGS!$A:$A,[1]TAGS!$BG:$BG)</f>
        <v>Não Montado</v>
      </c>
      <c r="AP81" s="21"/>
      <c r="AQ81" s="21"/>
      <c r="AR81" s="21"/>
      <c r="AS81" s="21"/>
      <c r="AT81" s="21"/>
      <c r="AU81" s="21"/>
    </row>
    <row r="82" spans="1:47" x14ac:dyDescent="0.35">
      <c r="A82" s="19" t="s">
        <v>414</v>
      </c>
      <c r="B82" s="19" t="s">
        <v>52</v>
      </c>
      <c r="C82" s="19"/>
      <c r="D82" s="19" t="s">
        <v>53</v>
      </c>
      <c r="E82" s="19" t="s">
        <v>54</v>
      </c>
      <c r="F82" s="20" t="s">
        <v>370</v>
      </c>
      <c r="G82" s="20" t="s">
        <v>371</v>
      </c>
      <c r="H82" s="19" t="s">
        <v>415</v>
      </c>
      <c r="I82" s="20" t="s">
        <v>58</v>
      </c>
      <c r="J82" s="20" t="s">
        <v>373</v>
      </c>
      <c r="K82" s="20" t="s">
        <v>416</v>
      </c>
      <c r="L82" s="19" t="s">
        <v>61</v>
      </c>
      <c r="M82" s="19" t="s">
        <v>62</v>
      </c>
      <c r="N82" s="20" t="s">
        <v>63</v>
      </c>
      <c r="O82" s="19">
        <v>21</v>
      </c>
      <c r="P82" s="19">
        <v>3.73</v>
      </c>
      <c r="Q82" s="19">
        <v>1</v>
      </c>
      <c r="R82" s="20">
        <v>7</v>
      </c>
      <c r="S82" s="19">
        <v>6.6000000000000003E-2</v>
      </c>
      <c r="T82" s="19" t="s">
        <v>64</v>
      </c>
      <c r="U82" s="19" t="s">
        <v>65</v>
      </c>
      <c r="V82" s="19" t="s">
        <v>66</v>
      </c>
      <c r="W82" s="19" t="s">
        <v>67</v>
      </c>
      <c r="X82" s="19" t="s">
        <v>68</v>
      </c>
      <c r="Y82" s="21" t="s">
        <v>69</v>
      </c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2"/>
      <c r="AK82" s="22"/>
      <c r="AL82" s="22"/>
      <c r="AM82" s="21" t="s">
        <v>70</v>
      </c>
      <c r="AN82" s="21" t="s">
        <v>70</v>
      </c>
      <c r="AO82" s="21" t="str">
        <f>_xlfn.XLOOKUP(A:A,[1]TAGS!$A:$A,[1]TAGS!$BG:$BG)</f>
        <v>Montado</v>
      </c>
      <c r="AP82" s="21"/>
      <c r="AQ82" s="21"/>
      <c r="AR82" s="21"/>
      <c r="AS82" s="21"/>
      <c r="AT82" s="21"/>
      <c r="AU82" s="21"/>
    </row>
    <row r="83" spans="1:47" x14ac:dyDescent="0.35">
      <c r="A83" s="19" t="s">
        <v>417</v>
      </c>
      <c r="B83" s="19" t="s">
        <v>52</v>
      </c>
      <c r="C83" s="19"/>
      <c r="D83" s="19" t="s">
        <v>53</v>
      </c>
      <c r="E83" s="19" t="s">
        <v>54</v>
      </c>
      <c r="F83" s="20" t="s">
        <v>418</v>
      </c>
      <c r="G83" s="20" t="s">
        <v>419</v>
      </c>
      <c r="H83" s="19" t="s">
        <v>420</v>
      </c>
      <c r="I83" s="20" t="s">
        <v>58</v>
      </c>
      <c r="J83" s="20" t="s">
        <v>421</v>
      </c>
      <c r="K83" s="20" t="s">
        <v>422</v>
      </c>
      <c r="L83" s="19" t="s">
        <v>61</v>
      </c>
      <c r="M83" s="19" t="s">
        <v>62</v>
      </c>
      <c r="N83" s="20" t="s">
        <v>63</v>
      </c>
      <c r="O83" s="19">
        <v>21</v>
      </c>
      <c r="P83" s="19">
        <v>3.73</v>
      </c>
      <c r="Q83" s="19">
        <v>1</v>
      </c>
      <c r="R83" s="20">
        <v>7</v>
      </c>
      <c r="S83" s="19">
        <v>6.6000000000000003E-2</v>
      </c>
      <c r="T83" s="19" t="s">
        <v>64</v>
      </c>
      <c r="U83" s="19" t="s">
        <v>65</v>
      </c>
      <c r="V83" s="19" t="s">
        <v>66</v>
      </c>
      <c r="W83" s="19" t="s">
        <v>67</v>
      </c>
      <c r="X83" s="19" t="s">
        <v>68</v>
      </c>
      <c r="Y83" s="21" t="s">
        <v>69</v>
      </c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2"/>
      <c r="AK83" s="22"/>
      <c r="AL83" s="22"/>
      <c r="AM83" s="21" t="s">
        <v>70</v>
      </c>
      <c r="AN83" s="21" t="s">
        <v>70</v>
      </c>
      <c r="AO83" s="21" t="str">
        <f>_xlfn.XLOOKUP(A:A,[1]TAGS!$A:$A,[1]TAGS!$BG:$BG)</f>
        <v>Montado</v>
      </c>
      <c r="AP83" s="21"/>
      <c r="AQ83" s="21"/>
      <c r="AR83" s="21"/>
      <c r="AS83" s="21"/>
      <c r="AT83" s="21"/>
      <c r="AU83" s="21"/>
    </row>
    <row r="84" spans="1:47" x14ac:dyDescent="0.35">
      <c r="A84" s="19" t="s">
        <v>423</v>
      </c>
      <c r="B84" s="19" t="s">
        <v>52</v>
      </c>
      <c r="C84" s="19"/>
      <c r="D84" s="19" t="s">
        <v>53</v>
      </c>
      <c r="E84" s="19" t="s">
        <v>54</v>
      </c>
      <c r="F84" s="20" t="s">
        <v>397</v>
      </c>
      <c r="G84" s="20" t="s">
        <v>398</v>
      </c>
      <c r="H84" s="19" t="s">
        <v>424</v>
      </c>
      <c r="I84" s="20" t="s">
        <v>58</v>
      </c>
      <c r="J84" s="20" t="s">
        <v>400</v>
      </c>
      <c r="K84" s="20" t="s">
        <v>425</v>
      </c>
      <c r="L84" s="19" t="s">
        <v>61</v>
      </c>
      <c r="M84" s="19" t="s">
        <v>62</v>
      </c>
      <c r="N84" s="20" t="s">
        <v>63</v>
      </c>
      <c r="O84" s="19">
        <v>21</v>
      </c>
      <c r="P84" s="19">
        <v>3.73</v>
      </c>
      <c r="Q84" s="19">
        <v>1</v>
      </c>
      <c r="R84" s="20">
        <v>7</v>
      </c>
      <c r="S84" s="19">
        <v>6.6000000000000003E-2</v>
      </c>
      <c r="T84" s="19" t="s">
        <v>64</v>
      </c>
      <c r="U84" s="19" t="s">
        <v>65</v>
      </c>
      <c r="V84" s="19" t="s">
        <v>66</v>
      </c>
      <c r="W84" s="19" t="s">
        <v>67</v>
      </c>
      <c r="X84" s="19" t="s">
        <v>68</v>
      </c>
      <c r="Y84" s="21" t="s">
        <v>69</v>
      </c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2"/>
      <c r="AK84" s="22"/>
      <c r="AL84" s="22"/>
      <c r="AM84" s="21" t="s">
        <v>70</v>
      </c>
      <c r="AN84" s="21" t="s">
        <v>70</v>
      </c>
      <c r="AO84" s="21" t="str">
        <f>_xlfn.XLOOKUP(A:A,[1]TAGS!$A:$A,[1]TAGS!$BG:$BG)</f>
        <v>Montado</v>
      </c>
      <c r="AP84" s="21"/>
      <c r="AQ84" s="21"/>
      <c r="AR84" s="21"/>
      <c r="AS84" s="21"/>
      <c r="AT84" s="21"/>
      <c r="AU84" s="21"/>
    </row>
    <row r="85" spans="1:47" x14ac:dyDescent="0.35">
      <c r="A85" s="19" t="s">
        <v>426</v>
      </c>
      <c r="B85" s="19" t="s">
        <v>52</v>
      </c>
      <c r="C85" s="19"/>
      <c r="D85" s="19" t="s">
        <v>53</v>
      </c>
      <c r="E85" s="19" t="s">
        <v>54</v>
      </c>
      <c r="F85" s="20" t="s">
        <v>397</v>
      </c>
      <c r="G85" s="20" t="s">
        <v>398</v>
      </c>
      <c r="H85" s="19" t="s">
        <v>427</v>
      </c>
      <c r="I85" s="20" t="s">
        <v>58</v>
      </c>
      <c r="J85" s="20" t="s">
        <v>400</v>
      </c>
      <c r="K85" s="20" t="s">
        <v>428</v>
      </c>
      <c r="L85" s="19" t="s">
        <v>61</v>
      </c>
      <c r="M85" s="19" t="s">
        <v>62</v>
      </c>
      <c r="N85" s="20" t="s">
        <v>63</v>
      </c>
      <c r="O85" s="19">
        <v>21</v>
      </c>
      <c r="P85" s="19">
        <v>3.73</v>
      </c>
      <c r="Q85" s="19">
        <v>1</v>
      </c>
      <c r="R85" s="20">
        <v>7</v>
      </c>
      <c r="S85" s="19">
        <v>6.6000000000000003E-2</v>
      </c>
      <c r="T85" s="19" t="s">
        <v>64</v>
      </c>
      <c r="U85" s="19" t="s">
        <v>65</v>
      </c>
      <c r="V85" s="19" t="s">
        <v>66</v>
      </c>
      <c r="W85" s="19" t="s">
        <v>67</v>
      </c>
      <c r="X85" s="19" t="s">
        <v>68</v>
      </c>
      <c r="Y85" s="21" t="s">
        <v>69</v>
      </c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2"/>
      <c r="AK85" s="22"/>
      <c r="AL85" s="22"/>
      <c r="AM85" s="21" t="s">
        <v>70</v>
      </c>
      <c r="AN85" s="21" t="s">
        <v>70</v>
      </c>
      <c r="AO85" s="21" t="str">
        <f>_xlfn.XLOOKUP(A:A,[1]TAGS!$A:$A,[1]TAGS!$BG:$BG)</f>
        <v>Montado</v>
      </c>
      <c r="AP85" s="21"/>
      <c r="AQ85" s="21"/>
      <c r="AR85" s="21"/>
      <c r="AS85" s="21"/>
      <c r="AT85" s="21"/>
      <c r="AU85" s="21"/>
    </row>
    <row r="86" spans="1:47" x14ac:dyDescent="0.35">
      <c r="A86" s="19" t="s">
        <v>429</v>
      </c>
      <c r="B86" s="19" t="s">
        <v>52</v>
      </c>
      <c r="C86" s="19"/>
      <c r="D86" s="19" t="s">
        <v>53</v>
      </c>
      <c r="E86" s="19" t="s">
        <v>54</v>
      </c>
      <c r="F86" s="20" t="s">
        <v>397</v>
      </c>
      <c r="G86" s="20" t="s">
        <v>398</v>
      </c>
      <c r="H86" s="19" t="s">
        <v>430</v>
      </c>
      <c r="I86" s="20" t="s">
        <v>58</v>
      </c>
      <c r="J86" s="20" t="s">
        <v>400</v>
      </c>
      <c r="K86" s="20" t="s">
        <v>431</v>
      </c>
      <c r="L86" s="19" t="s">
        <v>61</v>
      </c>
      <c r="M86" s="19" t="s">
        <v>62</v>
      </c>
      <c r="N86" s="20" t="s">
        <v>63</v>
      </c>
      <c r="O86" s="19">
        <v>21</v>
      </c>
      <c r="P86" s="19">
        <v>3.73</v>
      </c>
      <c r="Q86" s="19">
        <v>1</v>
      </c>
      <c r="R86" s="20">
        <v>7</v>
      </c>
      <c r="S86" s="19">
        <v>6.6000000000000003E-2</v>
      </c>
      <c r="T86" s="19" t="s">
        <v>64</v>
      </c>
      <c r="U86" s="19" t="s">
        <v>65</v>
      </c>
      <c r="V86" s="19" t="s">
        <v>66</v>
      </c>
      <c r="W86" s="19" t="s">
        <v>67</v>
      </c>
      <c r="X86" s="19" t="s">
        <v>68</v>
      </c>
      <c r="Y86" s="21" t="s">
        <v>69</v>
      </c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2"/>
      <c r="AK86" s="22"/>
      <c r="AL86" s="22"/>
      <c r="AM86" s="21" t="s">
        <v>70</v>
      </c>
      <c r="AN86" s="21" t="s">
        <v>70</v>
      </c>
      <c r="AO86" s="21" t="str">
        <f>_xlfn.XLOOKUP(A:A,[1]TAGS!$A:$A,[1]TAGS!$BG:$BG)</f>
        <v>Montado</v>
      </c>
      <c r="AP86" s="21"/>
      <c r="AQ86" s="21"/>
      <c r="AR86" s="21"/>
      <c r="AS86" s="21"/>
      <c r="AT86" s="21"/>
      <c r="AU86" s="21"/>
    </row>
    <row r="87" spans="1:47" x14ac:dyDescent="0.35">
      <c r="A87" s="19" t="s">
        <v>432</v>
      </c>
      <c r="B87" s="19" t="s">
        <v>52</v>
      </c>
      <c r="C87" s="19"/>
      <c r="D87" s="19" t="s">
        <v>53</v>
      </c>
      <c r="E87" s="19" t="s">
        <v>54</v>
      </c>
      <c r="F87" s="20" t="s">
        <v>397</v>
      </c>
      <c r="G87" s="20" t="s">
        <v>398</v>
      </c>
      <c r="H87" s="19" t="s">
        <v>433</v>
      </c>
      <c r="I87" s="20" t="s">
        <v>58</v>
      </c>
      <c r="J87" s="20" t="s">
        <v>400</v>
      </c>
      <c r="K87" s="20" t="s">
        <v>434</v>
      </c>
      <c r="L87" s="19" t="s">
        <v>61</v>
      </c>
      <c r="M87" s="19" t="s">
        <v>62</v>
      </c>
      <c r="N87" s="20" t="s">
        <v>63</v>
      </c>
      <c r="O87" s="19">
        <v>21</v>
      </c>
      <c r="P87" s="19">
        <v>3.73</v>
      </c>
      <c r="Q87" s="19">
        <v>1</v>
      </c>
      <c r="R87" s="20">
        <v>7</v>
      </c>
      <c r="S87" s="19">
        <v>6.6000000000000003E-2</v>
      </c>
      <c r="T87" s="19" t="s">
        <v>64</v>
      </c>
      <c r="U87" s="19" t="s">
        <v>65</v>
      </c>
      <c r="V87" s="19" t="s">
        <v>66</v>
      </c>
      <c r="W87" s="19" t="s">
        <v>67</v>
      </c>
      <c r="X87" s="19" t="s">
        <v>68</v>
      </c>
      <c r="Y87" s="21" t="s">
        <v>69</v>
      </c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2"/>
      <c r="AK87" s="22"/>
      <c r="AL87" s="22"/>
      <c r="AM87" s="21" t="s">
        <v>70</v>
      </c>
      <c r="AN87" s="21" t="s">
        <v>70</v>
      </c>
      <c r="AO87" s="21" t="str">
        <f>_xlfn.XLOOKUP(A:A,[1]TAGS!$A:$A,[1]TAGS!$BG:$BG)</f>
        <v>Montado</v>
      </c>
      <c r="AP87" s="21"/>
      <c r="AQ87" s="21"/>
      <c r="AR87" s="21"/>
      <c r="AS87" s="21"/>
      <c r="AT87" s="21"/>
      <c r="AU87" s="21"/>
    </row>
    <row r="88" spans="1:47" x14ac:dyDescent="0.35">
      <c r="A88" s="19" t="s">
        <v>435</v>
      </c>
      <c r="B88" s="19" t="s">
        <v>52</v>
      </c>
      <c r="C88" s="19"/>
      <c r="D88" s="19" t="s">
        <v>53</v>
      </c>
      <c r="E88" s="19" t="s">
        <v>54</v>
      </c>
      <c r="F88" s="20" t="s">
        <v>55</v>
      </c>
      <c r="G88" s="20" t="s">
        <v>75</v>
      </c>
      <c r="H88" s="19" t="s">
        <v>436</v>
      </c>
      <c r="I88" s="20" t="s">
        <v>58</v>
      </c>
      <c r="J88" s="20" t="s">
        <v>77</v>
      </c>
      <c r="K88" s="20" t="s">
        <v>437</v>
      </c>
      <c r="L88" s="19" t="s">
        <v>61</v>
      </c>
      <c r="M88" s="19" t="s">
        <v>62</v>
      </c>
      <c r="N88" s="20" t="s">
        <v>63</v>
      </c>
      <c r="O88" s="19">
        <v>21</v>
      </c>
      <c r="P88" s="19">
        <v>3.73</v>
      </c>
      <c r="Q88" s="19">
        <v>1</v>
      </c>
      <c r="R88" s="20">
        <v>7</v>
      </c>
      <c r="S88" s="19">
        <v>6.6000000000000003E-2</v>
      </c>
      <c r="T88" s="19" t="s">
        <v>64</v>
      </c>
      <c r="U88" s="19" t="s">
        <v>65</v>
      </c>
      <c r="V88" s="19" t="s">
        <v>66</v>
      </c>
      <c r="W88" s="19" t="s">
        <v>67</v>
      </c>
      <c r="X88" s="19" t="s">
        <v>68</v>
      </c>
      <c r="Y88" s="21" t="s">
        <v>69</v>
      </c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2"/>
      <c r="AK88" s="22"/>
      <c r="AL88" s="22"/>
      <c r="AM88" s="21" t="s">
        <v>70</v>
      </c>
      <c r="AN88" s="21" t="s">
        <v>70</v>
      </c>
      <c r="AO88" s="21" t="str">
        <f>_xlfn.XLOOKUP(A:A,[1]TAGS!$A:$A,[1]TAGS!$BG:$BG)</f>
        <v>Montado</v>
      </c>
      <c r="AP88" s="21"/>
      <c r="AQ88" s="21"/>
      <c r="AR88" s="21"/>
      <c r="AS88" s="21"/>
      <c r="AT88" s="21"/>
      <c r="AU88" s="21"/>
    </row>
    <row r="89" spans="1:47" x14ac:dyDescent="0.35">
      <c r="A89" s="19" t="s">
        <v>438</v>
      </c>
      <c r="B89" s="19" t="s">
        <v>52</v>
      </c>
      <c r="C89" s="19"/>
      <c r="D89" s="19" t="s">
        <v>53</v>
      </c>
      <c r="E89" s="19" t="s">
        <v>54</v>
      </c>
      <c r="F89" s="20" t="s">
        <v>55</v>
      </c>
      <c r="G89" s="20" t="s">
        <v>75</v>
      </c>
      <c r="H89" s="19" t="s">
        <v>439</v>
      </c>
      <c r="I89" s="20" t="s">
        <v>58</v>
      </c>
      <c r="J89" s="20" t="s">
        <v>77</v>
      </c>
      <c r="K89" s="20" t="s">
        <v>440</v>
      </c>
      <c r="L89" s="19" t="s">
        <v>61</v>
      </c>
      <c r="M89" s="19" t="s">
        <v>62</v>
      </c>
      <c r="N89" s="20" t="s">
        <v>63</v>
      </c>
      <c r="O89" s="19">
        <v>21</v>
      </c>
      <c r="P89" s="19">
        <v>3.73</v>
      </c>
      <c r="Q89" s="19">
        <v>1</v>
      </c>
      <c r="R89" s="20">
        <v>7</v>
      </c>
      <c r="S89" s="19">
        <v>6.6000000000000003E-2</v>
      </c>
      <c r="T89" s="19" t="s">
        <v>64</v>
      </c>
      <c r="U89" s="19" t="s">
        <v>65</v>
      </c>
      <c r="V89" s="19" t="s">
        <v>66</v>
      </c>
      <c r="W89" s="19" t="s">
        <v>67</v>
      </c>
      <c r="X89" s="19" t="s">
        <v>68</v>
      </c>
      <c r="Y89" s="21" t="s">
        <v>69</v>
      </c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2"/>
      <c r="AK89" s="22"/>
      <c r="AL89" s="22"/>
      <c r="AM89" s="21" t="s">
        <v>70</v>
      </c>
      <c r="AN89" s="21" t="s">
        <v>70</v>
      </c>
      <c r="AO89" s="21" t="str">
        <f>_xlfn.XLOOKUP(A:A,[1]TAGS!$A:$A,[1]TAGS!$BG:$BG)</f>
        <v>Não Montado</v>
      </c>
      <c r="AP89" s="21"/>
      <c r="AQ89" s="21"/>
      <c r="AR89" s="21"/>
      <c r="AS89" s="21"/>
      <c r="AT89" s="21"/>
      <c r="AU89" s="21"/>
    </row>
    <row r="90" spans="1:47" x14ac:dyDescent="0.35">
      <c r="A90" s="19" t="s">
        <v>441</v>
      </c>
      <c r="B90" s="19" t="s">
        <v>52</v>
      </c>
      <c r="C90" s="19"/>
      <c r="D90" s="19" t="s">
        <v>53</v>
      </c>
      <c r="E90" s="19" t="s">
        <v>54</v>
      </c>
      <c r="F90" s="20" t="s">
        <v>370</v>
      </c>
      <c r="G90" s="20" t="s">
        <v>371</v>
      </c>
      <c r="H90" s="19" t="s">
        <v>442</v>
      </c>
      <c r="I90" s="20" t="s">
        <v>58</v>
      </c>
      <c r="J90" s="20" t="s">
        <v>373</v>
      </c>
      <c r="K90" s="20" t="s">
        <v>443</v>
      </c>
      <c r="L90" s="19" t="s">
        <v>61</v>
      </c>
      <c r="M90" s="19" t="s">
        <v>62</v>
      </c>
      <c r="N90" s="20" t="s">
        <v>63</v>
      </c>
      <c r="O90" s="19">
        <v>21</v>
      </c>
      <c r="P90" s="19">
        <v>3.73</v>
      </c>
      <c r="Q90" s="19">
        <v>1</v>
      </c>
      <c r="R90" s="20">
        <v>7</v>
      </c>
      <c r="S90" s="19">
        <v>6.6000000000000003E-2</v>
      </c>
      <c r="T90" s="19" t="s">
        <v>64</v>
      </c>
      <c r="U90" s="19" t="s">
        <v>65</v>
      </c>
      <c r="V90" s="19" t="s">
        <v>66</v>
      </c>
      <c r="W90" s="19" t="s">
        <v>67</v>
      </c>
      <c r="X90" s="19" t="s">
        <v>68</v>
      </c>
      <c r="Y90" s="21" t="s">
        <v>69</v>
      </c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2"/>
      <c r="AK90" s="22"/>
      <c r="AL90" s="22"/>
      <c r="AM90" s="21" t="s">
        <v>70</v>
      </c>
      <c r="AN90" s="21" t="s">
        <v>70</v>
      </c>
      <c r="AO90" s="21" t="str">
        <f>_xlfn.XLOOKUP(A:A,[1]TAGS!$A:$A,[1]TAGS!$BG:$BG)</f>
        <v>Não Montado</v>
      </c>
      <c r="AP90" s="21"/>
      <c r="AQ90" s="21"/>
      <c r="AR90" s="21"/>
      <c r="AS90" s="21"/>
      <c r="AT90" s="21"/>
      <c r="AU90" s="21"/>
    </row>
    <row r="91" spans="1:47" x14ac:dyDescent="0.35">
      <c r="A91" s="19" t="s">
        <v>444</v>
      </c>
      <c r="B91" s="19" t="s">
        <v>52</v>
      </c>
      <c r="C91" s="19"/>
      <c r="D91" s="19" t="s">
        <v>53</v>
      </c>
      <c r="E91" s="19" t="s">
        <v>54</v>
      </c>
      <c r="F91" s="20" t="s">
        <v>418</v>
      </c>
      <c r="G91" s="20" t="s">
        <v>419</v>
      </c>
      <c r="H91" s="19" t="s">
        <v>445</v>
      </c>
      <c r="I91" s="20" t="s">
        <v>58</v>
      </c>
      <c r="J91" s="20" t="s">
        <v>421</v>
      </c>
      <c r="K91" s="20" t="s">
        <v>446</v>
      </c>
      <c r="L91" s="19" t="s">
        <v>61</v>
      </c>
      <c r="M91" s="19" t="s">
        <v>62</v>
      </c>
      <c r="N91" s="20" t="s">
        <v>63</v>
      </c>
      <c r="O91" s="19">
        <v>21</v>
      </c>
      <c r="P91" s="19">
        <v>3.73</v>
      </c>
      <c r="Q91" s="19">
        <v>1</v>
      </c>
      <c r="R91" s="20">
        <v>7</v>
      </c>
      <c r="S91" s="19">
        <v>6.6000000000000003E-2</v>
      </c>
      <c r="T91" s="19" t="s">
        <v>64</v>
      </c>
      <c r="U91" s="19" t="s">
        <v>65</v>
      </c>
      <c r="V91" s="19" t="s">
        <v>66</v>
      </c>
      <c r="W91" s="19" t="s">
        <v>67</v>
      </c>
      <c r="X91" s="19" t="s">
        <v>68</v>
      </c>
      <c r="Y91" s="21" t="s">
        <v>69</v>
      </c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2"/>
      <c r="AK91" s="22"/>
      <c r="AL91" s="22"/>
      <c r="AM91" s="21" t="s">
        <v>70</v>
      </c>
      <c r="AN91" s="21" t="s">
        <v>70</v>
      </c>
      <c r="AO91" s="21" t="str">
        <f>_xlfn.XLOOKUP(A:A,[1]TAGS!$A:$A,[1]TAGS!$BG:$BG)</f>
        <v>Montado</v>
      </c>
      <c r="AP91" s="21"/>
      <c r="AQ91" s="21"/>
      <c r="AR91" s="21"/>
      <c r="AS91" s="21"/>
      <c r="AT91" s="21"/>
      <c r="AU91" s="21"/>
    </row>
    <row r="92" spans="1:47" x14ac:dyDescent="0.35">
      <c r="A92" s="19" t="s">
        <v>447</v>
      </c>
      <c r="B92" s="19" t="s">
        <v>52</v>
      </c>
      <c r="C92" s="19"/>
      <c r="D92" s="19" t="s">
        <v>53</v>
      </c>
      <c r="E92" s="19" t="s">
        <v>54</v>
      </c>
      <c r="F92" s="20" t="s">
        <v>397</v>
      </c>
      <c r="G92" s="20" t="s">
        <v>398</v>
      </c>
      <c r="H92" s="19" t="s">
        <v>448</v>
      </c>
      <c r="I92" s="20" t="s">
        <v>58</v>
      </c>
      <c r="J92" s="20" t="s">
        <v>400</v>
      </c>
      <c r="K92" s="20" t="s">
        <v>449</v>
      </c>
      <c r="L92" s="19" t="s">
        <v>61</v>
      </c>
      <c r="M92" s="19" t="s">
        <v>62</v>
      </c>
      <c r="N92" s="20" t="s">
        <v>63</v>
      </c>
      <c r="O92" s="19">
        <v>21</v>
      </c>
      <c r="P92" s="19">
        <v>3.73</v>
      </c>
      <c r="Q92" s="19">
        <v>1</v>
      </c>
      <c r="R92" s="20">
        <v>7</v>
      </c>
      <c r="S92" s="19">
        <v>6.6000000000000003E-2</v>
      </c>
      <c r="T92" s="19" t="s">
        <v>64</v>
      </c>
      <c r="U92" s="19" t="s">
        <v>65</v>
      </c>
      <c r="V92" s="19" t="s">
        <v>66</v>
      </c>
      <c r="W92" s="19" t="s">
        <v>67</v>
      </c>
      <c r="X92" s="19" t="s">
        <v>68</v>
      </c>
      <c r="Y92" s="21" t="s">
        <v>69</v>
      </c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2"/>
      <c r="AK92" s="22"/>
      <c r="AL92" s="22"/>
      <c r="AM92" s="21" t="s">
        <v>70</v>
      </c>
      <c r="AN92" s="21" t="s">
        <v>70</v>
      </c>
      <c r="AO92" s="21" t="str">
        <f>_xlfn.XLOOKUP(A:A,[1]TAGS!$A:$A,[1]TAGS!$BG:$BG)</f>
        <v>Montado</v>
      </c>
      <c r="AP92" s="21"/>
      <c r="AQ92" s="21"/>
      <c r="AR92" s="21"/>
      <c r="AS92" s="21"/>
      <c r="AT92" s="21"/>
      <c r="AU92" s="21"/>
    </row>
    <row r="93" spans="1:47" x14ac:dyDescent="0.35">
      <c r="A93" s="19" t="s">
        <v>450</v>
      </c>
      <c r="B93" s="19" t="s">
        <v>52</v>
      </c>
      <c r="C93" s="19"/>
      <c r="D93" s="19" t="s">
        <v>53</v>
      </c>
      <c r="E93" s="19" t="s">
        <v>54</v>
      </c>
      <c r="F93" s="20" t="s">
        <v>397</v>
      </c>
      <c r="G93" s="20" t="s">
        <v>398</v>
      </c>
      <c r="H93" s="19" t="s">
        <v>451</v>
      </c>
      <c r="I93" s="20" t="s">
        <v>58</v>
      </c>
      <c r="J93" s="20" t="s">
        <v>400</v>
      </c>
      <c r="K93" s="20" t="s">
        <v>452</v>
      </c>
      <c r="L93" s="19" t="s">
        <v>61</v>
      </c>
      <c r="M93" s="19" t="s">
        <v>62</v>
      </c>
      <c r="N93" s="20" t="s">
        <v>63</v>
      </c>
      <c r="O93" s="19">
        <v>21</v>
      </c>
      <c r="P93" s="19">
        <v>3.73</v>
      </c>
      <c r="Q93" s="19">
        <v>1</v>
      </c>
      <c r="R93" s="20">
        <v>7</v>
      </c>
      <c r="S93" s="19">
        <v>6.6000000000000003E-2</v>
      </c>
      <c r="T93" s="19" t="s">
        <v>64</v>
      </c>
      <c r="U93" s="19" t="s">
        <v>65</v>
      </c>
      <c r="V93" s="19" t="s">
        <v>66</v>
      </c>
      <c r="W93" s="19" t="s">
        <v>67</v>
      </c>
      <c r="X93" s="19" t="s">
        <v>68</v>
      </c>
      <c r="Y93" s="21" t="s">
        <v>69</v>
      </c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2"/>
      <c r="AK93" s="22"/>
      <c r="AL93" s="22"/>
      <c r="AM93" s="21" t="s">
        <v>70</v>
      </c>
      <c r="AN93" s="21" t="s">
        <v>70</v>
      </c>
      <c r="AO93" s="21" t="str">
        <f>_xlfn.XLOOKUP(A:A,[1]TAGS!$A:$A,[1]TAGS!$BG:$BG)</f>
        <v>Não Montado</v>
      </c>
      <c r="AP93" s="21"/>
      <c r="AQ93" s="21"/>
      <c r="AR93" s="21"/>
      <c r="AS93" s="21"/>
      <c r="AT93" s="21"/>
      <c r="AU93" s="21"/>
    </row>
    <row r="94" spans="1:47" x14ac:dyDescent="0.35">
      <c r="A94" s="19" t="s">
        <v>453</v>
      </c>
      <c r="B94" s="19" t="s">
        <v>52</v>
      </c>
      <c r="C94" s="19"/>
      <c r="D94" s="19" t="s">
        <v>53</v>
      </c>
      <c r="E94" s="19" t="s">
        <v>54</v>
      </c>
      <c r="F94" s="20" t="s">
        <v>397</v>
      </c>
      <c r="G94" s="20" t="s">
        <v>398</v>
      </c>
      <c r="H94" s="19" t="s">
        <v>454</v>
      </c>
      <c r="I94" s="20" t="s">
        <v>58</v>
      </c>
      <c r="J94" s="20" t="s">
        <v>400</v>
      </c>
      <c r="K94" s="20" t="s">
        <v>455</v>
      </c>
      <c r="L94" s="19" t="s">
        <v>61</v>
      </c>
      <c r="M94" s="19" t="s">
        <v>62</v>
      </c>
      <c r="N94" s="20" t="s">
        <v>63</v>
      </c>
      <c r="O94" s="19">
        <v>21</v>
      </c>
      <c r="P94" s="19">
        <v>3.73</v>
      </c>
      <c r="Q94" s="19">
        <v>1</v>
      </c>
      <c r="R94" s="20">
        <v>7</v>
      </c>
      <c r="S94" s="19">
        <v>6.6000000000000003E-2</v>
      </c>
      <c r="T94" s="19" t="s">
        <v>64</v>
      </c>
      <c r="U94" s="19" t="s">
        <v>65</v>
      </c>
      <c r="V94" s="19" t="s">
        <v>66</v>
      </c>
      <c r="W94" s="19" t="s">
        <v>67</v>
      </c>
      <c r="X94" s="19" t="s">
        <v>68</v>
      </c>
      <c r="Y94" s="21" t="s">
        <v>69</v>
      </c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2"/>
      <c r="AK94" s="22"/>
      <c r="AL94" s="22"/>
      <c r="AM94" s="21" t="s">
        <v>70</v>
      </c>
      <c r="AN94" s="21" t="s">
        <v>70</v>
      </c>
      <c r="AO94" s="21" t="str">
        <f>_xlfn.XLOOKUP(A:A,[1]TAGS!$A:$A,[1]TAGS!$BG:$BG)</f>
        <v>Não Montado</v>
      </c>
      <c r="AP94" s="21"/>
      <c r="AQ94" s="21"/>
      <c r="AR94" s="21"/>
      <c r="AS94" s="21"/>
      <c r="AT94" s="21"/>
      <c r="AU94" s="21"/>
    </row>
    <row r="95" spans="1:47" x14ac:dyDescent="0.35">
      <c r="A95" s="19" t="s">
        <v>456</v>
      </c>
      <c r="B95" s="19" t="s">
        <v>52</v>
      </c>
      <c r="C95" s="19"/>
      <c r="D95" s="19" t="s">
        <v>53</v>
      </c>
      <c r="E95" s="19" t="s">
        <v>54</v>
      </c>
      <c r="F95" s="20" t="s">
        <v>397</v>
      </c>
      <c r="G95" s="20" t="s">
        <v>398</v>
      </c>
      <c r="H95" s="19" t="s">
        <v>457</v>
      </c>
      <c r="I95" s="20" t="s">
        <v>58</v>
      </c>
      <c r="J95" s="20" t="s">
        <v>400</v>
      </c>
      <c r="K95" s="20" t="s">
        <v>458</v>
      </c>
      <c r="L95" s="19" t="s">
        <v>61</v>
      </c>
      <c r="M95" s="19" t="s">
        <v>62</v>
      </c>
      <c r="N95" s="20" t="s">
        <v>63</v>
      </c>
      <c r="O95" s="19">
        <v>21</v>
      </c>
      <c r="P95" s="19">
        <v>3.73</v>
      </c>
      <c r="Q95" s="19">
        <v>1</v>
      </c>
      <c r="R95" s="20">
        <v>7</v>
      </c>
      <c r="S95" s="19">
        <v>6.6000000000000003E-2</v>
      </c>
      <c r="T95" s="19" t="s">
        <v>64</v>
      </c>
      <c r="U95" s="19" t="s">
        <v>65</v>
      </c>
      <c r="V95" s="19" t="s">
        <v>66</v>
      </c>
      <c r="W95" s="19" t="s">
        <v>67</v>
      </c>
      <c r="X95" s="19" t="s">
        <v>68</v>
      </c>
      <c r="Y95" s="21" t="s">
        <v>69</v>
      </c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2"/>
      <c r="AK95" s="22"/>
      <c r="AL95" s="22"/>
      <c r="AM95" s="21" t="s">
        <v>70</v>
      </c>
      <c r="AN95" s="21" t="s">
        <v>70</v>
      </c>
      <c r="AO95" s="21" t="str">
        <f>_xlfn.XLOOKUP(A:A,[1]TAGS!$A:$A,[1]TAGS!$BG:$BG)</f>
        <v>Não Montado</v>
      </c>
      <c r="AP95" s="21"/>
      <c r="AQ95" s="21"/>
      <c r="AR95" s="21"/>
      <c r="AS95" s="21"/>
      <c r="AT95" s="21"/>
      <c r="AU95" s="21"/>
    </row>
    <row r="96" spans="1:47" x14ac:dyDescent="0.35">
      <c r="A96" s="19" t="s">
        <v>459</v>
      </c>
      <c r="B96" s="19" t="s">
        <v>52</v>
      </c>
      <c r="C96" s="19"/>
      <c r="D96" s="19" t="s">
        <v>53</v>
      </c>
      <c r="E96" s="19" t="s">
        <v>460</v>
      </c>
      <c r="F96" s="20" t="s">
        <v>83</v>
      </c>
      <c r="G96" s="20" t="s">
        <v>84</v>
      </c>
      <c r="H96" s="19" t="s">
        <v>461</v>
      </c>
      <c r="I96" s="20" t="s">
        <v>58</v>
      </c>
      <c r="J96" s="20" t="s">
        <v>86</v>
      </c>
      <c r="K96" s="20" t="s">
        <v>462</v>
      </c>
      <c r="L96" s="19" t="s">
        <v>61</v>
      </c>
      <c r="M96" s="19" t="s">
        <v>62</v>
      </c>
      <c r="N96" s="20" t="s">
        <v>63</v>
      </c>
      <c r="O96" s="19">
        <v>21</v>
      </c>
      <c r="P96" s="19">
        <v>3.73</v>
      </c>
      <c r="Q96" s="19">
        <v>1</v>
      </c>
      <c r="R96" s="20">
        <v>14</v>
      </c>
      <c r="S96" s="19">
        <v>6.6000000000000003E-2</v>
      </c>
      <c r="T96" s="19" t="s">
        <v>64</v>
      </c>
      <c r="U96" s="19" t="s">
        <v>65</v>
      </c>
      <c r="V96" s="19" t="s">
        <v>66</v>
      </c>
      <c r="W96" s="19" t="s">
        <v>67</v>
      </c>
      <c r="X96" s="19" t="s">
        <v>68</v>
      </c>
      <c r="Y96" s="21" t="s">
        <v>463</v>
      </c>
      <c r="Z96" s="21" t="s">
        <v>464</v>
      </c>
      <c r="AA96" s="21"/>
      <c r="AB96" s="21">
        <v>2</v>
      </c>
      <c r="AC96" s="21">
        <v>42</v>
      </c>
      <c r="AD96" s="21">
        <v>8687008</v>
      </c>
      <c r="AE96" s="21">
        <v>11861950</v>
      </c>
      <c r="AF96" s="21">
        <v>100591</v>
      </c>
      <c r="AG96" s="21" t="s">
        <v>459</v>
      </c>
      <c r="AH96" s="21"/>
      <c r="AI96" s="21"/>
      <c r="AJ96" s="22"/>
      <c r="AK96" s="22"/>
      <c r="AL96" s="21" t="str">
        <f>_xlfn.XLOOKUP(A:A,[1]TAGS!$A:$A,[1]TAGS!$BG:$BG)</f>
        <v>Não Montado</v>
      </c>
      <c r="AM96" s="21" t="s">
        <v>70</v>
      </c>
      <c r="AN96" s="22"/>
      <c r="AO96" s="22"/>
      <c r="AP96" s="21"/>
      <c r="AQ96" s="21"/>
      <c r="AR96" s="21"/>
      <c r="AS96" s="21"/>
      <c r="AT96" s="21"/>
      <c r="AU96" s="21"/>
    </row>
    <row r="97" spans="1:47" x14ac:dyDescent="0.35">
      <c r="A97" s="19" t="s">
        <v>465</v>
      </c>
      <c r="B97" s="19" t="s">
        <v>52</v>
      </c>
      <c r="C97" s="19"/>
      <c r="D97" s="19" t="s">
        <v>53</v>
      </c>
      <c r="E97" s="19" t="s">
        <v>460</v>
      </c>
      <c r="F97" s="20" t="s">
        <v>89</v>
      </c>
      <c r="G97" s="20" t="s">
        <v>90</v>
      </c>
      <c r="H97" s="19" t="s">
        <v>466</v>
      </c>
      <c r="I97" s="20" t="s">
        <v>58</v>
      </c>
      <c r="J97" s="20" t="s">
        <v>92</v>
      </c>
      <c r="K97" s="20" t="s">
        <v>467</v>
      </c>
      <c r="L97" s="19" t="s">
        <v>61</v>
      </c>
      <c r="M97" s="19" t="s">
        <v>62</v>
      </c>
      <c r="N97" s="20" t="s">
        <v>63</v>
      </c>
      <c r="O97" s="19">
        <v>21</v>
      </c>
      <c r="P97" s="19">
        <v>3.73</v>
      </c>
      <c r="Q97" s="19">
        <v>1</v>
      </c>
      <c r="R97" s="20">
        <v>12</v>
      </c>
      <c r="S97" s="19">
        <v>6.6000000000000003E-2</v>
      </c>
      <c r="T97" s="19" t="s">
        <v>64</v>
      </c>
      <c r="U97" s="19" t="s">
        <v>65</v>
      </c>
      <c r="V97" s="19" t="s">
        <v>66</v>
      </c>
      <c r="W97" s="19" t="s">
        <v>67</v>
      </c>
      <c r="X97" s="19" t="s">
        <v>68</v>
      </c>
      <c r="Y97" s="21" t="s">
        <v>463</v>
      </c>
      <c r="Z97" s="21" t="s">
        <v>468</v>
      </c>
      <c r="AA97" s="21"/>
      <c r="AB97" s="21">
        <v>3</v>
      </c>
      <c r="AC97" s="21">
        <v>44</v>
      </c>
      <c r="AD97" s="21">
        <v>8685700</v>
      </c>
      <c r="AE97" s="21">
        <v>11870150</v>
      </c>
      <c r="AF97" s="21">
        <v>100523</v>
      </c>
      <c r="AG97" s="21" t="s">
        <v>465</v>
      </c>
      <c r="AH97" s="21"/>
      <c r="AI97" s="21"/>
      <c r="AJ97" s="22"/>
      <c r="AK97" s="22"/>
      <c r="AL97" s="21" t="str">
        <f>_xlfn.XLOOKUP(A:A,[1]TAGS!$A:$A,[1]TAGS!$BG:$BG)</f>
        <v>Não Montado</v>
      </c>
      <c r="AM97" s="21" t="s">
        <v>70</v>
      </c>
      <c r="AN97" s="22"/>
      <c r="AO97" s="22"/>
      <c r="AP97" s="21"/>
      <c r="AQ97" s="21"/>
      <c r="AR97" s="21"/>
      <c r="AS97" s="21"/>
      <c r="AT97" s="21"/>
      <c r="AU97" s="21"/>
    </row>
    <row r="98" spans="1:47" x14ac:dyDescent="0.35">
      <c r="A98" s="19" t="s">
        <v>469</v>
      </c>
      <c r="B98" s="19" t="s">
        <v>52</v>
      </c>
      <c r="C98" s="19"/>
      <c r="D98" s="19" t="s">
        <v>53</v>
      </c>
      <c r="E98" s="19" t="s">
        <v>460</v>
      </c>
      <c r="F98" s="20" t="s">
        <v>470</v>
      </c>
      <c r="G98" s="20" t="s">
        <v>471</v>
      </c>
      <c r="H98" s="19" t="s">
        <v>472</v>
      </c>
      <c r="I98" s="20" t="s">
        <v>58</v>
      </c>
      <c r="J98" s="20" t="s">
        <v>473</v>
      </c>
      <c r="K98" s="20" t="s">
        <v>474</v>
      </c>
      <c r="L98" s="19" t="s">
        <v>61</v>
      </c>
      <c r="M98" s="19" t="s">
        <v>62</v>
      </c>
      <c r="N98" s="20" t="s">
        <v>63</v>
      </c>
      <c r="O98" s="19">
        <v>21</v>
      </c>
      <c r="P98" s="19">
        <v>3.73</v>
      </c>
      <c r="Q98" s="19">
        <v>1</v>
      </c>
      <c r="R98" s="20">
        <v>13</v>
      </c>
      <c r="S98" s="19">
        <v>6.6000000000000003E-2</v>
      </c>
      <c r="T98" s="19" t="s">
        <v>64</v>
      </c>
      <c r="U98" s="19" t="s">
        <v>65</v>
      </c>
      <c r="V98" s="19" t="s">
        <v>66</v>
      </c>
      <c r="W98" s="19" t="s">
        <v>67</v>
      </c>
      <c r="X98" s="19" t="s">
        <v>68</v>
      </c>
      <c r="Y98" s="21" t="s">
        <v>463</v>
      </c>
      <c r="Z98" s="21" t="s">
        <v>475</v>
      </c>
      <c r="AA98" s="21"/>
      <c r="AB98" s="21">
        <v>4</v>
      </c>
      <c r="AC98" s="21">
        <v>63</v>
      </c>
      <c r="AD98" s="21">
        <v>8702863</v>
      </c>
      <c r="AE98" s="21">
        <v>11890110</v>
      </c>
      <c r="AF98" s="21">
        <v>100450</v>
      </c>
      <c r="AG98" s="21" t="s">
        <v>469</v>
      </c>
      <c r="AH98" s="21"/>
      <c r="AI98" s="21"/>
      <c r="AJ98" s="22"/>
      <c r="AK98" s="22"/>
      <c r="AL98" s="21" t="str">
        <f>_xlfn.XLOOKUP(A:A,[1]TAGS!$A:$A,[1]TAGS!$BG:$BG)</f>
        <v>Não Montado</v>
      </c>
      <c r="AM98" s="21" t="s">
        <v>70</v>
      </c>
      <c r="AN98" s="22"/>
      <c r="AO98" s="22"/>
      <c r="AP98" s="21"/>
      <c r="AQ98" s="21"/>
      <c r="AR98" s="21"/>
      <c r="AS98" s="21"/>
      <c r="AT98" s="21"/>
      <c r="AU98" s="21"/>
    </row>
    <row r="99" spans="1:47" x14ac:dyDescent="0.35">
      <c r="A99" s="19" t="s">
        <v>476</v>
      </c>
      <c r="B99" s="19" t="s">
        <v>52</v>
      </c>
      <c r="C99" s="19"/>
      <c r="D99" s="19" t="s">
        <v>53</v>
      </c>
      <c r="E99" s="19" t="s">
        <v>460</v>
      </c>
      <c r="F99" s="20" t="s">
        <v>470</v>
      </c>
      <c r="G99" s="20" t="s">
        <v>471</v>
      </c>
      <c r="H99" s="19" t="s">
        <v>477</v>
      </c>
      <c r="I99" s="20" t="s">
        <v>58</v>
      </c>
      <c r="J99" s="20" t="s">
        <v>473</v>
      </c>
      <c r="K99" s="20" t="s">
        <v>478</v>
      </c>
      <c r="L99" s="19" t="s">
        <v>61</v>
      </c>
      <c r="M99" s="19" t="s">
        <v>62</v>
      </c>
      <c r="N99" s="20" t="s">
        <v>63</v>
      </c>
      <c r="O99" s="19">
        <v>21</v>
      </c>
      <c r="P99" s="19">
        <v>3.73</v>
      </c>
      <c r="Q99" s="19">
        <v>1</v>
      </c>
      <c r="R99" s="20">
        <v>9</v>
      </c>
      <c r="S99" s="19">
        <v>6.6000000000000003E-2</v>
      </c>
      <c r="T99" s="19" t="s">
        <v>64</v>
      </c>
      <c r="U99" s="19" t="s">
        <v>65</v>
      </c>
      <c r="V99" s="19" t="s">
        <v>66</v>
      </c>
      <c r="W99" s="19" t="s">
        <v>67</v>
      </c>
      <c r="X99" s="19" t="s">
        <v>68</v>
      </c>
      <c r="Y99" s="21" t="s">
        <v>463</v>
      </c>
      <c r="Z99" s="21" t="s">
        <v>475</v>
      </c>
      <c r="AA99" s="21"/>
      <c r="AB99" s="21">
        <v>5</v>
      </c>
      <c r="AC99" s="21">
        <v>64</v>
      </c>
      <c r="AD99" s="21">
        <v>8702888</v>
      </c>
      <c r="AE99" s="21">
        <v>11890470</v>
      </c>
      <c r="AF99" s="21">
        <v>100477</v>
      </c>
      <c r="AG99" s="21" t="s">
        <v>476</v>
      </c>
      <c r="AH99" s="21"/>
      <c r="AI99" s="21"/>
      <c r="AJ99" s="22"/>
      <c r="AK99" s="22"/>
      <c r="AL99" s="21" t="str">
        <f>_xlfn.XLOOKUP(A:A,[1]TAGS!$A:$A,[1]TAGS!$BG:$BG)</f>
        <v>Não Montado</v>
      </c>
      <c r="AM99" s="21" t="s">
        <v>70</v>
      </c>
      <c r="AN99" s="22"/>
      <c r="AO99" s="22"/>
      <c r="AP99" s="21"/>
      <c r="AQ99" s="21"/>
      <c r="AR99" s="21"/>
      <c r="AS99" s="21"/>
      <c r="AT99" s="21"/>
      <c r="AU99" s="21"/>
    </row>
    <row r="100" spans="1:47" x14ac:dyDescent="0.35">
      <c r="A100" s="19" t="s">
        <v>479</v>
      </c>
      <c r="B100" s="19" t="s">
        <v>52</v>
      </c>
      <c r="C100" s="19"/>
      <c r="D100" s="19" t="s">
        <v>53</v>
      </c>
      <c r="E100" s="19" t="s">
        <v>460</v>
      </c>
      <c r="F100" s="20" t="s">
        <v>480</v>
      </c>
      <c r="G100" s="20" t="s">
        <v>481</v>
      </c>
      <c r="H100" s="19" t="s">
        <v>482</v>
      </c>
      <c r="I100" s="20" t="s">
        <v>58</v>
      </c>
      <c r="J100" s="20" t="s">
        <v>483</v>
      </c>
      <c r="K100" s="20" t="s">
        <v>484</v>
      </c>
      <c r="L100" s="19" t="s">
        <v>61</v>
      </c>
      <c r="M100" s="19" t="s">
        <v>62</v>
      </c>
      <c r="N100" s="20" t="s">
        <v>63</v>
      </c>
      <c r="O100" s="19">
        <v>21</v>
      </c>
      <c r="P100" s="19">
        <v>3.73</v>
      </c>
      <c r="Q100" s="19">
        <v>1</v>
      </c>
      <c r="R100" s="20">
        <v>11</v>
      </c>
      <c r="S100" s="19">
        <v>6.6000000000000003E-2</v>
      </c>
      <c r="T100" s="19" t="s">
        <v>64</v>
      </c>
      <c r="U100" s="19" t="s">
        <v>65</v>
      </c>
      <c r="V100" s="19" t="s">
        <v>66</v>
      </c>
      <c r="W100" s="19" t="s">
        <v>67</v>
      </c>
      <c r="X100" s="19" t="s">
        <v>68</v>
      </c>
      <c r="Y100" s="21" t="s">
        <v>463</v>
      </c>
      <c r="Z100" s="21" t="s">
        <v>475</v>
      </c>
      <c r="AA100" s="21"/>
      <c r="AB100" s="21">
        <v>6</v>
      </c>
      <c r="AC100" s="21">
        <v>65</v>
      </c>
      <c r="AD100" s="21">
        <v>8703018</v>
      </c>
      <c r="AE100" s="21">
        <v>11888860</v>
      </c>
      <c r="AF100" s="21">
        <v>100450</v>
      </c>
      <c r="AG100" s="21" t="s">
        <v>479</v>
      </c>
      <c r="AH100" s="21"/>
      <c r="AI100" s="21"/>
      <c r="AJ100" s="22"/>
      <c r="AK100" s="22"/>
      <c r="AL100" s="21" t="str">
        <f>_xlfn.XLOOKUP(A:A,[1]TAGS!$A:$A,[1]TAGS!$BG:$BG)</f>
        <v>Não Montado</v>
      </c>
      <c r="AM100" s="21" t="s">
        <v>70</v>
      </c>
      <c r="AN100" s="22"/>
      <c r="AO100" s="22"/>
      <c r="AP100" s="21"/>
      <c r="AQ100" s="21"/>
      <c r="AR100" s="21"/>
      <c r="AS100" s="21"/>
      <c r="AT100" s="21"/>
      <c r="AU100" s="21"/>
    </row>
    <row r="101" spans="1:47" x14ac:dyDescent="0.35">
      <c r="A101" s="19" t="s">
        <v>485</v>
      </c>
      <c r="B101" s="19" t="s">
        <v>52</v>
      </c>
      <c r="C101" s="19"/>
      <c r="D101" s="19" t="s">
        <v>53</v>
      </c>
      <c r="E101" s="19" t="s">
        <v>460</v>
      </c>
      <c r="F101" s="20" t="s">
        <v>480</v>
      </c>
      <c r="G101" s="20" t="s">
        <v>481</v>
      </c>
      <c r="H101" s="19" t="s">
        <v>486</v>
      </c>
      <c r="I101" s="20" t="s">
        <v>58</v>
      </c>
      <c r="J101" s="20" t="s">
        <v>483</v>
      </c>
      <c r="K101" s="20" t="s">
        <v>487</v>
      </c>
      <c r="L101" s="19" t="s">
        <v>61</v>
      </c>
      <c r="M101" s="19" t="s">
        <v>62</v>
      </c>
      <c r="N101" s="20" t="s">
        <v>63</v>
      </c>
      <c r="O101" s="19">
        <v>21</v>
      </c>
      <c r="P101" s="19">
        <v>3.73</v>
      </c>
      <c r="Q101" s="19">
        <v>1</v>
      </c>
      <c r="R101" s="20">
        <v>16</v>
      </c>
      <c r="S101" s="19">
        <v>6.6000000000000003E-2</v>
      </c>
      <c r="T101" s="19" t="s">
        <v>64</v>
      </c>
      <c r="U101" s="19" t="s">
        <v>65</v>
      </c>
      <c r="V101" s="19" t="s">
        <v>66</v>
      </c>
      <c r="W101" s="19" t="s">
        <v>67</v>
      </c>
      <c r="X101" s="19" t="s">
        <v>68</v>
      </c>
      <c r="Y101" s="21" t="s">
        <v>463</v>
      </c>
      <c r="Z101" s="21" t="s">
        <v>488</v>
      </c>
      <c r="AA101" s="21"/>
      <c r="AB101" s="21">
        <v>7</v>
      </c>
      <c r="AC101" s="21">
        <v>66</v>
      </c>
      <c r="AD101" s="21">
        <v>8734830</v>
      </c>
      <c r="AE101" s="21">
        <v>11887840</v>
      </c>
      <c r="AF101" s="21">
        <v>102433</v>
      </c>
      <c r="AG101" s="21" t="s">
        <v>485</v>
      </c>
      <c r="AH101" s="21"/>
      <c r="AI101" s="21"/>
      <c r="AJ101" s="22"/>
      <c r="AK101" s="22"/>
      <c r="AL101" s="21" t="str">
        <f>_xlfn.XLOOKUP(A:A,[1]TAGS!$A:$A,[1]TAGS!$BG:$BG)</f>
        <v>Não Montado</v>
      </c>
      <c r="AM101" s="21" t="s">
        <v>70</v>
      </c>
      <c r="AN101" s="22"/>
      <c r="AO101" s="22"/>
      <c r="AP101" s="21"/>
      <c r="AQ101" s="21"/>
      <c r="AR101" s="21"/>
      <c r="AS101" s="21"/>
      <c r="AT101" s="21"/>
      <c r="AU101" s="21"/>
    </row>
    <row r="102" spans="1:47" x14ac:dyDescent="0.35">
      <c r="A102" s="19" t="s">
        <v>489</v>
      </c>
      <c r="B102" s="19" t="s">
        <v>52</v>
      </c>
      <c r="C102" s="19"/>
      <c r="D102" s="19" t="s">
        <v>53</v>
      </c>
      <c r="E102" s="19" t="s">
        <v>460</v>
      </c>
      <c r="F102" s="20" t="s">
        <v>101</v>
      </c>
      <c r="G102" s="20" t="s">
        <v>102</v>
      </c>
      <c r="H102" s="19" t="s">
        <v>490</v>
      </c>
      <c r="I102" s="20" t="s">
        <v>58</v>
      </c>
      <c r="J102" s="20" t="s">
        <v>104</v>
      </c>
      <c r="K102" s="20" t="s">
        <v>491</v>
      </c>
      <c r="L102" s="19" t="s">
        <v>61</v>
      </c>
      <c r="M102" s="19" t="s">
        <v>62</v>
      </c>
      <c r="N102" s="20" t="s">
        <v>63</v>
      </c>
      <c r="O102" s="19">
        <v>21</v>
      </c>
      <c r="P102" s="19">
        <v>3.73</v>
      </c>
      <c r="Q102" s="19">
        <v>1</v>
      </c>
      <c r="R102" s="20">
        <v>14</v>
      </c>
      <c r="S102" s="19">
        <v>6.6000000000000003E-2</v>
      </c>
      <c r="T102" s="19" t="s">
        <v>64</v>
      </c>
      <c r="U102" s="19" t="s">
        <v>65</v>
      </c>
      <c r="V102" s="19" t="s">
        <v>66</v>
      </c>
      <c r="W102" s="19" t="s">
        <v>67</v>
      </c>
      <c r="X102" s="19" t="s">
        <v>68</v>
      </c>
      <c r="Y102" s="21" t="s">
        <v>463</v>
      </c>
      <c r="Z102" s="21" t="s">
        <v>464</v>
      </c>
      <c r="AA102" s="21"/>
      <c r="AB102" s="21">
        <v>6</v>
      </c>
      <c r="AC102" s="21">
        <v>95</v>
      </c>
      <c r="AD102" s="21">
        <v>8691647</v>
      </c>
      <c r="AE102" s="21">
        <v>11848190</v>
      </c>
      <c r="AF102" s="21">
        <v>100437</v>
      </c>
      <c r="AG102" s="21" t="s">
        <v>489</v>
      </c>
      <c r="AH102" s="21"/>
      <c r="AI102" s="21"/>
      <c r="AJ102" s="22"/>
      <c r="AK102" s="22"/>
      <c r="AL102" s="21" t="str">
        <f>_xlfn.XLOOKUP(A:A,[1]TAGS!$A:$A,[1]TAGS!$BG:$BG)</f>
        <v>Não Montado</v>
      </c>
      <c r="AM102" s="21" t="s">
        <v>70</v>
      </c>
      <c r="AN102" s="22"/>
      <c r="AO102" s="22"/>
      <c r="AP102" s="21"/>
      <c r="AQ102" s="21"/>
      <c r="AR102" s="21"/>
      <c r="AS102" s="21"/>
      <c r="AT102" s="21"/>
      <c r="AU102" s="21"/>
    </row>
    <row r="103" spans="1:47" x14ac:dyDescent="0.35">
      <c r="A103" s="19" t="s">
        <v>492</v>
      </c>
      <c r="B103" s="19" t="s">
        <v>52</v>
      </c>
      <c r="C103" s="19"/>
      <c r="D103" s="19" t="s">
        <v>53</v>
      </c>
      <c r="E103" s="19" t="s">
        <v>460</v>
      </c>
      <c r="F103" s="20" t="s">
        <v>101</v>
      </c>
      <c r="G103" s="20" t="s">
        <v>102</v>
      </c>
      <c r="H103" s="19" t="s">
        <v>493</v>
      </c>
      <c r="I103" s="20" t="s">
        <v>58</v>
      </c>
      <c r="J103" s="20" t="s">
        <v>104</v>
      </c>
      <c r="K103" s="20" t="s">
        <v>494</v>
      </c>
      <c r="L103" s="19" t="s">
        <v>61</v>
      </c>
      <c r="M103" s="19" t="s">
        <v>62</v>
      </c>
      <c r="N103" s="20" t="s">
        <v>63</v>
      </c>
      <c r="O103" s="19">
        <v>21</v>
      </c>
      <c r="P103" s="19">
        <v>3.73</v>
      </c>
      <c r="Q103" s="19">
        <v>1</v>
      </c>
      <c r="R103" s="20">
        <v>15</v>
      </c>
      <c r="S103" s="19">
        <v>6.6000000000000003E-2</v>
      </c>
      <c r="T103" s="19" t="s">
        <v>64</v>
      </c>
      <c r="U103" s="19" t="s">
        <v>65</v>
      </c>
      <c r="V103" s="19" t="s">
        <v>66</v>
      </c>
      <c r="W103" s="19" t="s">
        <v>67</v>
      </c>
      <c r="X103" s="19" t="s">
        <v>68</v>
      </c>
      <c r="Y103" s="21" t="s">
        <v>463</v>
      </c>
      <c r="Z103" s="21" t="s">
        <v>488</v>
      </c>
      <c r="AA103" s="21"/>
      <c r="AB103" s="21">
        <v>3</v>
      </c>
      <c r="AC103" s="21">
        <v>22</v>
      </c>
      <c r="AD103" s="21">
        <v>8713966</v>
      </c>
      <c r="AE103" s="21">
        <v>11874320</v>
      </c>
      <c r="AF103" s="21">
        <v>100572</v>
      </c>
      <c r="AG103" s="21" t="s">
        <v>492</v>
      </c>
      <c r="AH103" s="21"/>
      <c r="AI103" s="21"/>
      <c r="AJ103" s="22"/>
      <c r="AK103" s="22"/>
      <c r="AL103" s="21" t="str">
        <f>_xlfn.XLOOKUP(A:A,[1]TAGS!$A:$A,[1]TAGS!$BG:$BG)</f>
        <v>Não Montado</v>
      </c>
      <c r="AM103" s="21" t="s">
        <v>70</v>
      </c>
      <c r="AN103" s="22"/>
      <c r="AO103" s="22"/>
      <c r="AP103" s="21"/>
      <c r="AQ103" s="21"/>
      <c r="AR103" s="21"/>
      <c r="AS103" s="21"/>
      <c r="AT103" s="21"/>
      <c r="AU103" s="21"/>
    </row>
    <row r="104" spans="1:47" x14ac:dyDescent="0.35">
      <c r="A104" s="19" t="s">
        <v>495</v>
      </c>
      <c r="B104" s="19" t="s">
        <v>52</v>
      </c>
      <c r="C104" s="19"/>
      <c r="D104" s="19" t="s">
        <v>53</v>
      </c>
      <c r="E104" s="19" t="s">
        <v>460</v>
      </c>
      <c r="F104" s="20" t="s">
        <v>101</v>
      </c>
      <c r="G104" s="20" t="s">
        <v>102</v>
      </c>
      <c r="H104" s="19" t="s">
        <v>496</v>
      </c>
      <c r="I104" s="20" t="s">
        <v>58</v>
      </c>
      <c r="J104" s="20" t="s">
        <v>104</v>
      </c>
      <c r="K104" s="20" t="s">
        <v>497</v>
      </c>
      <c r="L104" s="19" t="s">
        <v>61</v>
      </c>
      <c r="M104" s="19" t="s">
        <v>62</v>
      </c>
      <c r="N104" s="20" t="s">
        <v>63</v>
      </c>
      <c r="O104" s="19">
        <v>21</v>
      </c>
      <c r="P104" s="19">
        <v>3.73</v>
      </c>
      <c r="Q104" s="19">
        <v>1</v>
      </c>
      <c r="R104" s="20">
        <v>13</v>
      </c>
      <c r="S104" s="19">
        <v>6.6000000000000003E-2</v>
      </c>
      <c r="T104" s="19" t="s">
        <v>64</v>
      </c>
      <c r="U104" s="19" t="s">
        <v>65</v>
      </c>
      <c r="V104" s="19" t="s">
        <v>66</v>
      </c>
      <c r="W104" s="19" t="s">
        <v>67</v>
      </c>
      <c r="X104" s="19" t="s">
        <v>68</v>
      </c>
      <c r="Y104" s="21" t="s">
        <v>463</v>
      </c>
      <c r="Z104" s="21" t="s">
        <v>498</v>
      </c>
      <c r="AA104" s="21"/>
      <c r="AB104" s="21">
        <v>6</v>
      </c>
      <c r="AC104" s="21">
        <v>25</v>
      </c>
      <c r="AD104" s="21">
        <v>8600962</v>
      </c>
      <c r="AE104" s="21">
        <v>11852320</v>
      </c>
      <c r="AF104" s="21">
        <v>100567</v>
      </c>
      <c r="AG104" s="21" t="s">
        <v>495</v>
      </c>
      <c r="AH104" s="21"/>
      <c r="AI104" s="21"/>
      <c r="AJ104" s="22"/>
      <c r="AK104" s="22"/>
      <c r="AL104" s="21" t="str">
        <f>_xlfn.XLOOKUP(A:A,[1]TAGS!$A:$A,[1]TAGS!$BG:$BG)</f>
        <v>Não Montado</v>
      </c>
      <c r="AM104" s="21" t="s">
        <v>70</v>
      </c>
      <c r="AN104" s="22"/>
      <c r="AO104" s="22"/>
      <c r="AP104" s="21"/>
      <c r="AQ104" s="21"/>
      <c r="AR104" s="21"/>
      <c r="AS104" s="21"/>
      <c r="AT104" s="21"/>
      <c r="AU104" s="21"/>
    </row>
    <row r="105" spans="1:47" x14ac:dyDescent="0.35">
      <c r="A105" s="19" t="s">
        <v>499</v>
      </c>
      <c r="B105" s="19" t="s">
        <v>52</v>
      </c>
      <c r="C105" s="19"/>
      <c r="D105" s="19" t="s">
        <v>53</v>
      </c>
      <c r="E105" s="19" t="s">
        <v>460</v>
      </c>
      <c r="F105" s="20" t="s">
        <v>101</v>
      </c>
      <c r="G105" s="20" t="s">
        <v>102</v>
      </c>
      <c r="H105" s="19" t="s">
        <v>500</v>
      </c>
      <c r="I105" s="20" t="s">
        <v>58</v>
      </c>
      <c r="J105" s="20" t="s">
        <v>104</v>
      </c>
      <c r="K105" s="20" t="s">
        <v>501</v>
      </c>
      <c r="L105" s="19" t="s">
        <v>61</v>
      </c>
      <c r="M105" s="19" t="s">
        <v>62</v>
      </c>
      <c r="N105" s="20" t="s">
        <v>63</v>
      </c>
      <c r="O105" s="19">
        <v>21</v>
      </c>
      <c r="P105" s="19">
        <v>3.73</v>
      </c>
      <c r="Q105" s="19">
        <v>1</v>
      </c>
      <c r="R105" s="20">
        <v>12</v>
      </c>
      <c r="S105" s="19">
        <v>6.6000000000000003E-2</v>
      </c>
      <c r="T105" s="19" t="s">
        <v>64</v>
      </c>
      <c r="U105" s="19" t="s">
        <v>65</v>
      </c>
      <c r="V105" s="19" t="s">
        <v>66</v>
      </c>
      <c r="W105" s="19" t="s">
        <v>67</v>
      </c>
      <c r="X105" s="19" t="s">
        <v>68</v>
      </c>
      <c r="Y105" s="21" t="s">
        <v>463</v>
      </c>
      <c r="Z105" s="21" t="s">
        <v>502</v>
      </c>
      <c r="AA105" s="21"/>
      <c r="AB105" s="21">
        <v>5</v>
      </c>
      <c r="AC105" s="21">
        <v>26</v>
      </c>
      <c r="AD105" s="21">
        <v>8602340</v>
      </c>
      <c r="AE105" s="21">
        <v>11828620</v>
      </c>
      <c r="AF105" s="21">
        <v>100451</v>
      </c>
      <c r="AG105" s="21" t="s">
        <v>499</v>
      </c>
      <c r="AH105" s="21"/>
      <c r="AI105" s="21"/>
      <c r="AJ105" s="22"/>
      <c r="AK105" s="22"/>
      <c r="AL105" s="21" t="str">
        <f>_xlfn.XLOOKUP(A:A,[1]TAGS!$A:$A,[1]TAGS!$BG:$BG)</f>
        <v>Não Montado</v>
      </c>
      <c r="AM105" s="21" t="s">
        <v>70</v>
      </c>
      <c r="AN105" s="22"/>
      <c r="AO105" s="22"/>
      <c r="AP105" s="21"/>
      <c r="AQ105" s="21"/>
      <c r="AR105" s="21"/>
      <c r="AS105" s="21"/>
      <c r="AT105" s="21"/>
      <c r="AU105" s="21"/>
    </row>
    <row r="106" spans="1:47" x14ac:dyDescent="0.35">
      <c r="A106" s="19" t="s">
        <v>503</v>
      </c>
      <c r="B106" s="19" t="s">
        <v>52</v>
      </c>
      <c r="C106" s="19"/>
      <c r="D106" s="19" t="s">
        <v>53</v>
      </c>
      <c r="E106" s="19" t="s">
        <v>460</v>
      </c>
      <c r="F106" s="20" t="s">
        <v>116</v>
      </c>
      <c r="G106" s="20" t="s">
        <v>117</v>
      </c>
      <c r="H106" s="19" t="s">
        <v>504</v>
      </c>
      <c r="I106" s="20" t="s">
        <v>58</v>
      </c>
      <c r="J106" s="20" t="s">
        <v>119</v>
      </c>
      <c r="K106" s="20" t="s">
        <v>505</v>
      </c>
      <c r="L106" s="19" t="s">
        <v>61</v>
      </c>
      <c r="M106" s="19" t="s">
        <v>62</v>
      </c>
      <c r="N106" s="20" t="s">
        <v>63</v>
      </c>
      <c r="O106" s="19">
        <v>21</v>
      </c>
      <c r="P106" s="19">
        <v>3.73</v>
      </c>
      <c r="Q106" s="19">
        <v>1</v>
      </c>
      <c r="R106" s="20">
        <v>14</v>
      </c>
      <c r="S106" s="19">
        <v>6.6000000000000003E-2</v>
      </c>
      <c r="T106" s="19" t="s">
        <v>64</v>
      </c>
      <c r="U106" s="19" t="s">
        <v>65</v>
      </c>
      <c r="V106" s="19" t="s">
        <v>66</v>
      </c>
      <c r="W106" s="19" t="s">
        <v>67</v>
      </c>
      <c r="X106" s="19" t="s">
        <v>68</v>
      </c>
      <c r="Y106" s="21" t="s">
        <v>463</v>
      </c>
      <c r="Z106" s="21" t="s">
        <v>506</v>
      </c>
      <c r="AA106" s="21"/>
      <c r="AB106" s="21">
        <v>2</v>
      </c>
      <c r="AC106" s="21">
        <v>13</v>
      </c>
      <c r="AD106" s="21">
        <v>8600994</v>
      </c>
      <c r="AE106" s="21">
        <v>11860000</v>
      </c>
      <c r="AF106" s="21">
        <v>101934</v>
      </c>
      <c r="AG106" s="21" t="s">
        <v>503</v>
      </c>
      <c r="AH106" s="21"/>
      <c r="AI106" s="21"/>
      <c r="AJ106" s="22"/>
      <c r="AK106" s="22"/>
      <c r="AL106" s="21" t="str">
        <f>_xlfn.XLOOKUP(A:A,[1]TAGS!$A:$A,[1]TAGS!$BG:$BG)</f>
        <v>Não Montado</v>
      </c>
      <c r="AM106" s="21" t="s">
        <v>70</v>
      </c>
      <c r="AN106" s="22"/>
      <c r="AO106" s="22"/>
      <c r="AP106" s="21"/>
      <c r="AQ106" s="21"/>
      <c r="AR106" s="21"/>
      <c r="AS106" s="21"/>
      <c r="AT106" s="21"/>
      <c r="AU106" s="21"/>
    </row>
    <row r="107" spans="1:47" x14ac:dyDescent="0.35">
      <c r="A107" s="19" t="s">
        <v>507</v>
      </c>
      <c r="B107" s="19" t="s">
        <v>52</v>
      </c>
      <c r="C107" s="19"/>
      <c r="D107" s="19" t="s">
        <v>53</v>
      </c>
      <c r="E107" s="19" t="s">
        <v>460</v>
      </c>
      <c r="F107" s="20" t="s">
        <v>116</v>
      </c>
      <c r="G107" s="20" t="s">
        <v>122</v>
      </c>
      <c r="H107" s="19" t="s">
        <v>508</v>
      </c>
      <c r="I107" s="20" t="s">
        <v>124</v>
      </c>
      <c r="J107" s="20" t="s">
        <v>125</v>
      </c>
      <c r="K107" s="20" t="s">
        <v>509</v>
      </c>
      <c r="L107" s="19" t="s">
        <v>61</v>
      </c>
      <c r="M107" s="19" t="s">
        <v>62</v>
      </c>
      <c r="N107" s="20" t="s">
        <v>63</v>
      </c>
      <c r="O107" s="19">
        <v>21</v>
      </c>
      <c r="P107" s="19">
        <v>3.73</v>
      </c>
      <c r="Q107" s="19">
        <v>1</v>
      </c>
      <c r="R107" s="20">
        <v>15</v>
      </c>
      <c r="S107" s="19">
        <v>6.6000000000000003E-2</v>
      </c>
      <c r="T107" s="19" t="s">
        <v>64</v>
      </c>
      <c r="U107" s="19" t="s">
        <v>65</v>
      </c>
      <c r="V107" s="19" t="s">
        <v>66</v>
      </c>
      <c r="W107" s="19" t="s">
        <v>67</v>
      </c>
      <c r="X107" s="19" t="s">
        <v>68</v>
      </c>
      <c r="Y107" s="21" t="s">
        <v>463</v>
      </c>
      <c r="Z107" s="21" t="s">
        <v>506</v>
      </c>
      <c r="AA107" s="21"/>
      <c r="AB107" s="21">
        <v>3</v>
      </c>
      <c r="AC107" s="21">
        <v>14</v>
      </c>
      <c r="AD107" s="21">
        <v>8600994</v>
      </c>
      <c r="AE107" s="21">
        <v>11869000</v>
      </c>
      <c r="AF107" s="21">
        <v>101934</v>
      </c>
      <c r="AG107" s="21" t="s">
        <v>507</v>
      </c>
      <c r="AH107" s="21"/>
      <c r="AI107" s="21"/>
      <c r="AJ107" s="22"/>
      <c r="AK107" s="22"/>
      <c r="AL107" s="21" t="str">
        <f>_xlfn.XLOOKUP(A:A,[1]TAGS!$A:$A,[1]TAGS!$BG:$BG)</f>
        <v>Não Montado</v>
      </c>
      <c r="AM107" s="21" t="s">
        <v>70</v>
      </c>
      <c r="AN107" s="22"/>
      <c r="AO107" s="22"/>
      <c r="AP107" s="21"/>
      <c r="AQ107" s="21"/>
      <c r="AR107" s="21"/>
      <c r="AS107" s="21"/>
      <c r="AT107" s="21"/>
      <c r="AU107" s="21"/>
    </row>
    <row r="108" spans="1:47" x14ac:dyDescent="0.35">
      <c r="A108" s="19" t="s">
        <v>510</v>
      </c>
      <c r="B108" s="19" t="s">
        <v>52</v>
      </c>
      <c r="C108" s="19"/>
      <c r="D108" s="19" t="s">
        <v>53</v>
      </c>
      <c r="E108" s="19" t="s">
        <v>460</v>
      </c>
      <c r="F108" s="20" t="s">
        <v>116</v>
      </c>
      <c r="G108" s="20" t="s">
        <v>128</v>
      </c>
      <c r="H108" s="19" t="s">
        <v>511</v>
      </c>
      <c r="I108" s="20" t="s">
        <v>124</v>
      </c>
      <c r="J108" s="20" t="s">
        <v>130</v>
      </c>
      <c r="K108" s="20" t="s">
        <v>512</v>
      </c>
      <c r="L108" s="19" t="s">
        <v>61</v>
      </c>
      <c r="M108" s="19" t="s">
        <v>62</v>
      </c>
      <c r="N108" s="20" t="s">
        <v>63</v>
      </c>
      <c r="O108" s="19">
        <v>21</v>
      </c>
      <c r="P108" s="19">
        <v>3.73</v>
      </c>
      <c r="Q108" s="19">
        <v>1</v>
      </c>
      <c r="R108" s="20">
        <v>15</v>
      </c>
      <c r="S108" s="19">
        <v>6.6000000000000003E-2</v>
      </c>
      <c r="T108" s="19" t="s">
        <v>64</v>
      </c>
      <c r="U108" s="19" t="s">
        <v>65</v>
      </c>
      <c r="V108" s="19" t="s">
        <v>66</v>
      </c>
      <c r="W108" s="19" t="s">
        <v>67</v>
      </c>
      <c r="X108" s="19" t="s">
        <v>68</v>
      </c>
      <c r="Y108" s="21" t="s">
        <v>463</v>
      </c>
      <c r="Z108" s="21" t="s">
        <v>498</v>
      </c>
      <c r="AA108" s="21"/>
      <c r="AB108" s="21">
        <v>4</v>
      </c>
      <c r="AC108" s="21">
        <v>17</v>
      </c>
      <c r="AD108" s="21">
        <v>8599852</v>
      </c>
      <c r="AE108" s="21">
        <v>11847000</v>
      </c>
      <c r="AF108" s="21">
        <v>101934</v>
      </c>
      <c r="AG108" s="21" t="s">
        <v>510</v>
      </c>
      <c r="AH108" s="21"/>
      <c r="AI108" s="21"/>
      <c r="AJ108" s="22"/>
      <c r="AK108" s="22"/>
      <c r="AL108" s="21" t="str">
        <f>_xlfn.XLOOKUP(A:A,[1]TAGS!$A:$A,[1]TAGS!$BG:$BG)</f>
        <v>Não Montado</v>
      </c>
      <c r="AM108" s="21" t="s">
        <v>70</v>
      </c>
      <c r="AN108" s="22"/>
      <c r="AO108" s="22"/>
      <c r="AP108" s="21"/>
      <c r="AQ108" s="21"/>
      <c r="AR108" s="21"/>
      <c r="AS108" s="21"/>
      <c r="AT108" s="21"/>
      <c r="AU108" s="21"/>
    </row>
    <row r="109" spans="1:47" x14ac:dyDescent="0.35">
      <c r="A109" s="19" t="s">
        <v>513</v>
      </c>
      <c r="B109" s="19" t="s">
        <v>52</v>
      </c>
      <c r="C109" s="19"/>
      <c r="D109" s="19" t="s">
        <v>53</v>
      </c>
      <c r="E109" s="19" t="s">
        <v>460</v>
      </c>
      <c r="F109" s="20" t="s">
        <v>116</v>
      </c>
      <c r="G109" s="20" t="s">
        <v>133</v>
      </c>
      <c r="H109" s="19" t="s">
        <v>514</v>
      </c>
      <c r="I109" s="20" t="s">
        <v>58</v>
      </c>
      <c r="J109" s="20" t="s">
        <v>135</v>
      </c>
      <c r="K109" s="20" t="s">
        <v>515</v>
      </c>
      <c r="L109" s="19" t="s">
        <v>61</v>
      </c>
      <c r="M109" s="19" t="s">
        <v>62</v>
      </c>
      <c r="N109" s="20" t="s">
        <v>63</v>
      </c>
      <c r="O109" s="19">
        <v>21</v>
      </c>
      <c r="P109" s="19">
        <v>3.73</v>
      </c>
      <c r="Q109" s="19">
        <v>1</v>
      </c>
      <c r="R109" s="20">
        <v>14</v>
      </c>
      <c r="S109" s="19">
        <v>6.6000000000000003E-2</v>
      </c>
      <c r="T109" s="19" t="s">
        <v>64</v>
      </c>
      <c r="U109" s="19" t="s">
        <v>65</v>
      </c>
      <c r="V109" s="19" t="s">
        <v>66</v>
      </c>
      <c r="W109" s="19" t="s">
        <v>67</v>
      </c>
      <c r="X109" s="19" t="s">
        <v>68</v>
      </c>
      <c r="Y109" s="21" t="s">
        <v>463</v>
      </c>
      <c r="Z109" s="21" t="s">
        <v>502</v>
      </c>
      <c r="AA109" s="21"/>
      <c r="AB109" s="21">
        <v>2</v>
      </c>
      <c r="AC109" s="21">
        <v>18</v>
      </c>
      <c r="AD109" s="21">
        <v>8599852</v>
      </c>
      <c r="AE109" s="21">
        <v>11838000</v>
      </c>
      <c r="AF109" s="21">
        <v>101934</v>
      </c>
      <c r="AG109" s="21" t="s">
        <v>513</v>
      </c>
      <c r="AH109" s="21"/>
      <c r="AI109" s="21"/>
      <c r="AJ109" s="22"/>
      <c r="AK109" s="22"/>
      <c r="AL109" s="21" t="str">
        <f>_xlfn.XLOOKUP(A:A,[1]TAGS!$A:$A,[1]TAGS!$BG:$BG)</f>
        <v>Não Montado</v>
      </c>
      <c r="AM109" s="21" t="s">
        <v>70</v>
      </c>
      <c r="AN109" s="22"/>
      <c r="AO109" s="22"/>
      <c r="AP109" s="21"/>
      <c r="AQ109" s="21"/>
      <c r="AR109" s="21"/>
      <c r="AS109" s="21"/>
      <c r="AT109" s="21"/>
      <c r="AU109" s="21"/>
    </row>
    <row r="110" spans="1:47" x14ac:dyDescent="0.35">
      <c r="A110" s="19" t="s">
        <v>516</v>
      </c>
      <c r="B110" s="19" t="s">
        <v>52</v>
      </c>
      <c r="C110" s="19"/>
      <c r="D110" s="19" t="s">
        <v>53</v>
      </c>
      <c r="E110" s="19" t="s">
        <v>460</v>
      </c>
      <c r="F110" s="20" t="s">
        <v>101</v>
      </c>
      <c r="G110" s="20" t="s">
        <v>102</v>
      </c>
      <c r="H110" s="19" t="s">
        <v>517</v>
      </c>
      <c r="I110" s="20" t="s">
        <v>58</v>
      </c>
      <c r="J110" s="20" t="s">
        <v>104</v>
      </c>
      <c r="K110" s="20" t="s">
        <v>518</v>
      </c>
      <c r="L110" s="19" t="s">
        <v>61</v>
      </c>
      <c r="M110" s="19" t="s">
        <v>62</v>
      </c>
      <c r="N110" s="20" t="s">
        <v>63</v>
      </c>
      <c r="O110" s="19">
        <v>21</v>
      </c>
      <c r="P110" s="19">
        <v>3.73</v>
      </c>
      <c r="Q110" s="19">
        <v>1</v>
      </c>
      <c r="R110" s="20">
        <v>12</v>
      </c>
      <c r="S110" s="19">
        <v>6.6000000000000003E-2</v>
      </c>
      <c r="T110" s="19" t="s">
        <v>64</v>
      </c>
      <c r="U110" s="19" t="s">
        <v>65</v>
      </c>
      <c r="V110" s="19" t="s">
        <v>66</v>
      </c>
      <c r="W110" s="19" t="s">
        <v>67</v>
      </c>
      <c r="X110" s="19" t="s">
        <v>68</v>
      </c>
      <c r="Y110" s="21" t="s">
        <v>463</v>
      </c>
      <c r="Z110" s="21" t="s">
        <v>506</v>
      </c>
      <c r="AA110" s="21"/>
      <c r="AB110" s="21">
        <v>5</v>
      </c>
      <c r="AC110" s="21">
        <v>24</v>
      </c>
      <c r="AD110" s="21">
        <v>8600966</v>
      </c>
      <c r="AE110" s="21">
        <v>11865320</v>
      </c>
      <c r="AF110" s="21">
        <v>100567</v>
      </c>
      <c r="AG110" s="21" t="s">
        <v>516</v>
      </c>
      <c r="AH110" s="21"/>
      <c r="AI110" s="21"/>
      <c r="AJ110" s="22"/>
      <c r="AK110" s="22"/>
      <c r="AL110" s="21" t="str">
        <f>_xlfn.XLOOKUP(A:A,[1]TAGS!$A:$A,[1]TAGS!$BG:$BG)</f>
        <v>Não Montado</v>
      </c>
      <c r="AM110" s="21" t="s">
        <v>70</v>
      </c>
      <c r="AN110" s="22"/>
      <c r="AO110" s="22"/>
      <c r="AP110" s="21"/>
      <c r="AQ110" s="21"/>
      <c r="AR110" s="21"/>
      <c r="AS110" s="21"/>
      <c r="AT110" s="21"/>
      <c r="AU110" s="21"/>
    </row>
    <row r="111" spans="1:47" x14ac:dyDescent="0.35">
      <c r="A111" s="19" t="s">
        <v>519</v>
      </c>
      <c r="B111" s="19" t="s">
        <v>52</v>
      </c>
      <c r="C111" s="19"/>
      <c r="D111" s="19" t="s">
        <v>53</v>
      </c>
      <c r="E111" s="19" t="s">
        <v>460</v>
      </c>
      <c r="F111" s="20" t="s">
        <v>141</v>
      </c>
      <c r="G111" s="20" t="s">
        <v>142</v>
      </c>
      <c r="H111" s="19" t="s">
        <v>520</v>
      </c>
      <c r="I111" s="20" t="s">
        <v>58</v>
      </c>
      <c r="J111" s="20" t="s">
        <v>144</v>
      </c>
      <c r="K111" s="20" t="s">
        <v>521</v>
      </c>
      <c r="L111" s="19" t="s">
        <v>61</v>
      </c>
      <c r="M111" s="19" t="s">
        <v>62</v>
      </c>
      <c r="N111" s="20" t="s">
        <v>63</v>
      </c>
      <c r="O111" s="19">
        <v>21</v>
      </c>
      <c r="P111" s="19">
        <v>3.73</v>
      </c>
      <c r="Q111" s="19">
        <v>1</v>
      </c>
      <c r="R111" s="20">
        <v>15</v>
      </c>
      <c r="S111" s="19">
        <v>6.6000000000000003E-2</v>
      </c>
      <c r="T111" s="19" t="s">
        <v>64</v>
      </c>
      <c r="U111" s="19" t="s">
        <v>65</v>
      </c>
      <c r="V111" s="19" t="s">
        <v>66</v>
      </c>
      <c r="W111" s="19" t="s">
        <v>67</v>
      </c>
      <c r="X111" s="19" t="s">
        <v>68</v>
      </c>
      <c r="Y111" s="21" t="s">
        <v>463</v>
      </c>
      <c r="Z111" s="21" t="s">
        <v>522</v>
      </c>
      <c r="AA111" s="21"/>
      <c r="AB111" s="21">
        <v>3</v>
      </c>
      <c r="AC111" s="21">
        <v>70</v>
      </c>
      <c r="AD111" s="21">
        <v>8589179</v>
      </c>
      <c r="AE111" s="21">
        <v>11761100</v>
      </c>
      <c r="AF111" s="21">
        <v>100534</v>
      </c>
      <c r="AG111" s="21" t="s">
        <v>519</v>
      </c>
      <c r="AH111" s="21"/>
      <c r="AI111" s="21"/>
      <c r="AJ111" s="22"/>
      <c r="AK111" s="22"/>
      <c r="AL111" s="21" t="str">
        <f>_xlfn.XLOOKUP(A:A,[1]TAGS!$A:$A,[1]TAGS!$BG:$BG)</f>
        <v>Não Montado</v>
      </c>
      <c r="AM111" s="21" t="s">
        <v>70</v>
      </c>
      <c r="AN111" s="22"/>
      <c r="AO111" s="22"/>
      <c r="AP111" s="21"/>
      <c r="AQ111" s="21"/>
      <c r="AR111" s="21"/>
      <c r="AS111" s="21"/>
      <c r="AT111" s="21"/>
      <c r="AU111" s="21"/>
    </row>
    <row r="112" spans="1:47" x14ac:dyDescent="0.35">
      <c r="A112" s="19" t="s">
        <v>523</v>
      </c>
      <c r="B112" s="19" t="s">
        <v>52</v>
      </c>
      <c r="C112" s="19"/>
      <c r="D112" s="19" t="s">
        <v>53</v>
      </c>
      <c r="E112" s="19" t="s">
        <v>460</v>
      </c>
      <c r="F112" s="20" t="s">
        <v>141</v>
      </c>
      <c r="G112" s="20" t="s">
        <v>142</v>
      </c>
      <c r="H112" s="19" t="s">
        <v>524</v>
      </c>
      <c r="I112" s="20" t="s">
        <v>58</v>
      </c>
      <c r="J112" s="20" t="s">
        <v>144</v>
      </c>
      <c r="K112" s="20" t="s">
        <v>525</v>
      </c>
      <c r="L112" s="19" t="s">
        <v>61</v>
      </c>
      <c r="M112" s="19" t="s">
        <v>62</v>
      </c>
      <c r="N112" s="20" t="s">
        <v>63</v>
      </c>
      <c r="O112" s="19">
        <v>21</v>
      </c>
      <c r="P112" s="19">
        <v>3.73</v>
      </c>
      <c r="Q112" s="19">
        <v>1</v>
      </c>
      <c r="R112" s="20">
        <v>14</v>
      </c>
      <c r="S112" s="19">
        <v>6.6000000000000003E-2</v>
      </c>
      <c r="T112" s="19" t="s">
        <v>64</v>
      </c>
      <c r="U112" s="19" t="s">
        <v>65</v>
      </c>
      <c r="V112" s="19" t="s">
        <v>66</v>
      </c>
      <c r="W112" s="19" t="s">
        <v>67</v>
      </c>
      <c r="X112" s="19" t="s">
        <v>68</v>
      </c>
      <c r="Y112" s="21" t="s">
        <v>463</v>
      </c>
      <c r="Z112" s="21" t="s">
        <v>522</v>
      </c>
      <c r="AA112" s="21"/>
      <c r="AB112" s="21">
        <v>2</v>
      </c>
      <c r="AC112" s="21">
        <v>69</v>
      </c>
      <c r="AD112" s="21">
        <v>8589179</v>
      </c>
      <c r="AE112" s="21">
        <v>11758900</v>
      </c>
      <c r="AF112" s="21">
        <v>100534</v>
      </c>
      <c r="AG112" s="21" t="s">
        <v>523</v>
      </c>
      <c r="AH112" s="21"/>
      <c r="AI112" s="21"/>
      <c r="AJ112" s="22"/>
      <c r="AK112" s="22"/>
      <c r="AL112" s="21" t="str">
        <f>_xlfn.XLOOKUP(A:A,[1]TAGS!$A:$A,[1]TAGS!$BG:$BG)</f>
        <v>Não Montado</v>
      </c>
      <c r="AM112" s="21" t="s">
        <v>70</v>
      </c>
      <c r="AN112" s="22"/>
      <c r="AO112" s="22"/>
      <c r="AP112" s="21"/>
      <c r="AQ112" s="21"/>
      <c r="AR112" s="21"/>
      <c r="AS112" s="21"/>
      <c r="AT112" s="21"/>
      <c r="AU112" s="21"/>
    </row>
    <row r="113" spans="1:47" x14ac:dyDescent="0.35">
      <c r="A113" s="19" t="s">
        <v>526</v>
      </c>
      <c r="B113" s="19" t="s">
        <v>52</v>
      </c>
      <c r="C113" s="19"/>
      <c r="D113" s="19" t="s">
        <v>53</v>
      </c>
      <c r="E113" s="19" t="s">
        <v>460</v>
      </c>
      <c r="F113" s="20" t="s">
        <v>141</v>
      </c>
      <c r="G113" s="20" t="s">
        <v>142</v>
      </c>
      <c r="H113" s="19" t="s">
        <v>527</v>
      </c>
      <c r="I113" s="20" t="s">
        <v>58</v>
      </c>
      <c r="J113" s="20" t="s">
        <v>144</v>
      </c>
      <c r="K113" s="20" t="s">
        <v>528</v>
      </c>
      <c r="L113" s="19" t="s">
        <v>61</v>
      </c>
      <c r="M113" s="19" t="s">
        <v>62</v>
      </c>
      <c r="N113" s="20" t="s">
        <v>63</v>
      </c>
      <c r="O113" s="19">
        <v>21</v>
      </c>
      <c r="P113" s="19">
        <v>3.73</v>
      </c>
      <c r="Q113" s="19">
        <v>1</v>
      </c>
      <c r="R113" s="20">
        <v>5</v>
      </c>
      <c r="S113" s="19">
        <v>6.6000000000000003E-2</v>
      </c>
      <c r="T113" s="19" t="s">
        <v>64</v>
      </c>
      <c r="U113" s="19" t="s">
        <v>65</v>
      </c>
      <c r="V113" s="19" t="s">
        <v>66</v>
      </c>
      <c r="W113" s="19" t="s">
        <v>67</v>
      </c>
      <c r="X113" s="19" t="s">
        <v>68</v>
      </c>
      <c r="Y113" s="21" t="s">
        <v>463</v>
      </c>
      <c r="Z113" s="21" t="s">
        <v>522</v>
      </c>
      <c r="AA113" s="21"/>
      <c r="AB113" s="21">
        <v>4</v>
      </c>
      <c r="AC113" s="21">
        <v>87</v>
      </c>
      <c r="AD113" s="21">
        <v>8589179</v>
      </c>
      <c r="AE113" s="21">
        <v>11752100</v>
      </c>
      <c r="AF113" s="21">
        <v>100534</v>
      </c>
      <c r="AG113" s="21" t="s">
        <v>526</v>
      </c>
      <c r="AH113" s="21"/>
      <c r="AI113" s="21"/>
      <c r="AJ113" s="22"/>
      <c r="AK113" s="22"/>
      <c r="AL113" s="21" t="str">
        <f>_xlfn.XLOOKUP(A:A,[1]TAGS!$A:$A,[1]TAGS!$BG:$BG)</f>
        <v>Não Montado</v>
      </c>
      <c r="AM113" s="21" t="s">
        <v>70</v>
      </c>
      <c r="AN113" s="22"/>
      <c r="AO113" s="22"/>
      <c r="AP113" s="21"/>
      <c r="AQ113" s="21"/>
      <c r="AR113" s="21"/>
      <c r="AS113" s="21"/>
      <c r="AT113" s="21"/>
      <c r="AU113" s="21"/>
    </row>
    <row r="114" spans="1:47" x14ac:dyDescent="0.35">
      <c r="A114" s="19" t="s">
        <v>529</v>
      </c>
      <c r="B114" s="19" t="s">
        <v>52</v>
      </c>
      <c r="C114" s="19"/>
      <c r="D114" s="19" t="s">
        <v>53</v>
      </c>
      <c r="E114" s="19" t="s">
        <v>460</v>
      </c>
      <c r="F114" s="20" t="s">
        <v>141</v>
      </c>
      <c r="G114" s="20" t="s">
        <v>142</v>
      </c>
      <c r="H114" s="19" t="s">
        <v>530</v>
      </c>
      <c r="I114" s="20" t="s">
        <v>58</v>
      </c>
      <c r="J114" s="20" t="s">
        <v>144</v>
      </c>
      <c r="K114" s="20" t="s">
        <v>531</v>
      </c>
      <c r="L114" s="19" t="s">
        <v>61</v>
      </c>
      <c r="M114" s="19" t="s">
        <v>62</v>
      </c>
      <c r="N114" s="20" t="s">
        <v>63</v>
      </c>
      <c r="O114" s="19">
        <v>21</v>
      </c>
      <c r="P114" s="19">
        <v>3.73</v>
      </c>
      <c r="Q114" s="19">
        <v>1</v>
      </c>
      <c r="R114" s="20">
        <v>6</v>
      </c>
      <c r="S114" s="19">
        <v>6.6000000000000003E-2</v>
      </c>
      <c r="T114" s="19" t="s">
        <v>64</v>
      </c>
      <c r="U114" s="19" t="s">
        <v>65</v>
      </c>
      <c r="V114" s="19" t="s">
        <v>66</v>
      </c>
      <c r="W114" s="19" t="s">
        <v>67</v>
      </c>
      <c r="X114" s="19" t="s">
        <v>68</v>
      </c>
      <c r="Y114" s="21" t="s">
        <v>463</v>
      </c>
      <c r="Z114" s="21" t="s">
        <v>532</v>
      </c>
      <c r="AA114" s="21"/>
      <c r="AB114" s="21">
        <v>1</v>
      </c>
      <c r="AC114" s="21">
        <v>86</v>
      </c>
      <c r="AD114" s="21">
        <v>8589179</v>
      </c>
      <c r="AE114" s="21">
        <v>11749900</v>
      </c>
      <c r="AF114" s="21">
        <v>100534</v>
      </c>
      <c r="AG114" s="21" t="s">
        <v>529</v>
      </c>
      <c r="AH114" s="21"/>
      <c r="AI114" s="21"/>
      <c r="AJ114" s="22"/>
      <c r="AK114" s="22"/>
      <c r="AL114" s="21" t="str">
        <f>_xlfn.XLOOKUP(A:A,[1]TAGS!$A:$A,[1]TAGS!$BG:$BG)</f>
        <v>Não Montado</v>
      </c>
      <c r="AM114" s="21" t="s">
        <v>70</v>
      </c>
      <c r="AN114" s="22"/>
      <c r="AO114" s="22"/>
      <c r="AP114" s="21"/>
      <c r="AQ114" s="21"/>
      <c r="AR114" s="21"/>
      <c r="AS114" s="21"/>
      <c r="AT114" s="21"/>
      <c r="AU114" s="21"/>
    </row>
    <row r="115" spans="1:47" x14ac:dyDescent="0.35">
      <c r="A115" s="19" t="s">
        <v>533</v>
      </c>
      <c r="B115" s="19" t="s">
        <v>52</v>
      </c>
      <c r="C115" s="19"/>
      <c r="D115" s="19" t="s">
        <v>53</v>
      </c>
      <c r="E115" s="19" t="s">
        <v>460</v>
      </c>
      <c r="F115" s="20" t="s">
        <v>141</v>
      </c>
      <c r="G115" s="20" t="s">
        <v>174</v>
      </c>
      <c r="H115" s="19" t="s">
        <v>534</v>
      </c>
      <c r="I115" s="20" t="s">
        <v>58</v>
      </c>
      <c r="J115" s="20" t="s">
        <v>176</v>
      </c>
      <c r="K115" s="20" t="s">
        <v>535</v>
      </c>
      <c r="L115" s="19" t="s">
        <v>61</v>
      </c>
      <c r="M115" s="19" t="s">
        <v>62</v>
      </c>
      <c r="N115" s="20" t="s">
        <v>63</v>
      </c>
      <c r="O115" s="19">
        <v>21</v>
      </c>
      <c r="P115" s="19">
        <v>3.73</v>
      </c>
      <c r="Q115" s="19">
        <v>1</v>
      </c>
      <c r="R115" s="20">
        <v>7</v>
      </c>
      <c r="S115" s="19">
        <v>6.6000000000000003E-2</v>
      </c>
      <c r="T115" s="19" t="s">
        <v>64</v>
      </c>
      <c r="U115" s="19" t="s">
        <v>65</v>
      </c>
      <c r="V115" s="19" t="s">
        <v>66</v>
      </c>
      <c r="W115" s="19" t="s">
        <v>67</v>
      </c>
      <c r="X115" s="19" t="s">
        <v>68</v>
      </c>
      <c r="Y115" s="21" t="s">
        <v>463</v>
      </c>
      <c r="Z115" s="21" t="s">
        <v>532</v>
      </c>
      <c r="AA115" s="21"/>
      <c r="AB115" s="21">
        <v>2</v>
      </c>
      <c r="AC115" s="21">
        <v>71</v>
      </c>
      <c r="AD115" s="21">
        <v>8589178</v>
      </c>
      <c r="AE115" s="21">
        <v>11743110</v>
      </c>
      <c r="AF115" s="21">
        <v>100534</v>
      </c>
      <c r="AG115" s="21" t="s">
        <v>533</v>
      </c>
      <c r="AH115" s="21"/>
      <c r="AI115" s="21"/>
      <c r="AJ115" s="22"/>
      <c r="AK115" s="22"/>
      <c r="AL115" s="21" t="str">
        <f>_xlfn.XLOOKUP(A:A,[1]TAGS!$A:$A,[1]TAGS!$BG:$BG)</f>
        <v>Não Montado</v>
      </c>
      <c r="AM115" s="21" t="s">
        <v>70</v>
      </c>
      <c r="AN115" s="22"/>
      <c r="AO115" s="22"/>
      <c r="AP115" s="21"/>
      <c r="AQ115" s="21"/>
      <c r="AR115" s="21"/>
      <c r="AS115" s="21"/>
      <c r="AT115" s="21"/>
      <c r="AU115" s="21"/>
    </row>
    <row r="116" spans="1:47" x14ac:dyDescent="0.35">
      <c r="A116" s="19" t="s">
        <v>536</v>
      </c>
      <c r="B116" s="19" t="s">
        <v>52</v>
      </c>
      <c r="C116" s="19"/>
      <c r="D116" s="19" t="s">
        <v>53</v>
      </c>
      <c r="E116" s="19" t="s">
        <v>460</v>
      </c>
      <c r="F116" s="20" t="s">
        <v>141</v>
      </c>
      <c r="G116" s="20" t="s">
        <v>174</v>
      </c>
      <c r="H116" s="19" t="s">
        <v>537</v>
      </c>
      <c r="I116" s="20" t="s">
        <v>58</v>
      </c>
      <c r="J116" s="20" t="s">
        <v>176</v>
      </c>
      <c r="K116" s="20" t="s">
        <v>538</v>
      </c>
      <c r="L116" s="19" t="s">
        <v>61</v>
      </c>
      <c r="M116" s="19" t="s">
        <v>62</v>
      </c>
      <c r="N116" s="20" t="s">
        <v>63</v>
      </c>
      <c r="O116" s="19">
        <v>21</v>
      </c>
      <c r="P116" s="19">
        <v>3.73</v>
      </c>
      <c r="Q116" s="19">
        <v>1</v>
      </c>
      <c r="R116" s="20">
        <v>7</v>
      </c>
      <c r="S116" s="19">
        <v>6.6000000000000003E-2</v>
      </c>
      <c r="T116" s="19" t="s">
        <v>64</v>
      </c>
      <c r="U116" s="19" t="s">
        <v>65</v>
      </c>
      <c r="V116" s="19" t="s">
        <v>66</v>
      </c>
      <c r="W116" s="19" t="s">
        <v>67</v>
      </c>
      <c r="X116" s="19" t="s">
        <v>68</v>
      </c>
      <c r="Y116" s="21" t="s">
        <v>463</v>
      </c>
      <c r="Z116" s="21" t="s">
        <v>532</v>
      </c>
      <c r="AA116" s="21"/>
      <c r="AB116" s="21">
        <v>3</v>
      </c>
      <c r="AC116" s="21">
        <v>72</v>
      </c>
      <c r="AD116" s="21">
        <v>8589179</v>
      </c>
      <c r="AE116" s="21">
        <v>11740900</v>
      </c>
      <c r="AF116" s="21">
        <v>100534</v>
      </c>
      <c r="AG116" s="21" t="s">
        <v>536</v>
      </c>
      <c r="AH116" s="21"/>
      <c r="AI116" s="21"/>
      <c r="AJ116" s="22"/>
      <c r="AK116" s="22"/>
      <c r="AL116" s="21" t="str">
        <f>_xlfn.XLOOKUP(A:A,[1]TAGS!$A:$A,[1]TAGS!$BG:$BG)</f>
        <v>Não Montado</v>
      </c>
      <c r="AM116" s="21" t="s">
        <v>70</v>
      </c>
      <c r="AN116" s="22"/>
      <c r="AO116" s="22"/>
      <c r="AP116" s="21"/>
      <c r="AQ116" s="21"/>
      <c r="AR116" s="21"/>
      <c r="AS116" s="21"/>
      <c r="AT116" s="21"/>
      <c r="AU116" s="21"/>
    </row>
    <row r="117" spans="1:47" x14ac:dyDescent="0.35">
      <c r="A117" s="19" t="s">
        <v>539</v>
      </c>
      <c r="B117" s="19" t="s">
        <v>52</v>
      </c>
      <c r="C117" s="19"/>
      <c r="D117" s="19" t="s">
        <v>53</v>
      </c>
      <c r="E117" s="19" t="s">
        <v>460</v>
      </c>
      <c r="F117" s="20" t="s">
        <v>141</v>
      </c>
      <c r="G117" s="20" t="s">
        <v>174</v>
      </c>
      <c r="H117" s="19" t="s">
        <v>540</v>
      </c>
      <c r="I117" s="20" t="s">
        <v>58</v>
      </c>
      <c r="J117" s="20" t="s">
        <v>176</v>
      </c>
      <c r="K117" s="20" t="s">
        <v>541</v>
      </c>
      <c r="L117" s="19" t="s">
        <v>61</v>
      </c>
      <c r="M117" s="19" t="s">
        <v>62</v>
      </c>
      <c r="N117" s="20" t="s">
        <v>63</v>
      </c>
      <c r="O117" s="19">
        <v>21</v>
      </c>
      <c r="P117" s="19">
        <v>3.73</v>
      </c>
      <c r="Q117" s="19">
        <v>1</v>
      </c>
      <c r="R117" s="20">
        <v>5</v>
      </c>
      <c r="S117" s="19">
        <v>6.6000000000000003E-2</v>
      </c>
      <c r="T117" s="19" t="s">
        <v>64</v>
      </c>
      <c r="U117" s="19" t="s">
        <v>65</v>
      </c>
      <c r="V117" s="19" t="s">
        <v>66</v>
      </c>
      <c r="W117" s="19" t="s">
        <v>67</v>
      </c>
      <c r="X117" s="19" t="s">
        <v>68</v>
      </c>
      <c r="Y117" s="21" t="s">
        <v>463</v>
      </c>
      <c r="Z117" s="21" t="s">
        <v>532</v>
      </c>
      <c r="AA117" s="21"/>
      <c r="AB117" s="21">
        <v>4</v>
      </c>
      <c r="AC117" s="21">
        <v>73</v>
      </c>
      <c r="AD117" s="21">
        <v>8589179</v>
      </c>
      <c r="AE117" s="21">
        <v>11734100</v>
      </c>
      <c r="AF117" s="21">
        <v>100534</v>
      </c>
      <c r="AG117" s="21" t="s">
        <v>539</v>
      </c>
      <c r="AH117" s="21"/>
      <c r="AI117" s="21"/>
      <c r="AJ117" s="22"/>
      <c r="AK117" s="22"/>
      <c r="AL117" s="21" t="str">
        <f>_xlfn.XLOOKUP(A:A,[1]TAGS!$A:$A,[1]TAGS!$BG:$BG)</f>
        <v>Não Montado</v>
      </c>
      <c r="AM117" s="21" t="s">
        <v>70</v>
      </c>
      <c r="AN117" s="22"/>
      <c r="AO117" s="22"/>
      <c r="AP117" s="21"/>
      <c r="AQ117" s="21"/>
      <c r="AR117" s="21"/>
      <c r="AS117" s="21"/>
      <c r="AT117" s="21"/>
      <c r="AU117" s="21"/>
    </row>
    <row r="118" spans="1:47" x14ac:dyDescent="0.35">
      <c r="A118" s="19" t="s">
        <v>542</v>
      </c>
      <c r="B118" s="19" t="s">
        <v>52</v>
      </c>
      <c r="C118" s="19"/>
      <c r="D118" s="19" t="s">
        <v>53</v>
      </c>
      <c r="E118" s="19" t="s">
        <v>460</v>
      </c>
      <c r="F118" s="20" t="s">
        <v>141</v>
      </c>
      <c r="G118" s="20" t="s">
        <v>142</v>
      </c>
      <c r="H118" s="19" t="s">
        <v>543</v>
      </c>
      <c r="I118" s="20" t="s">
        <v>58</v>
      </c>
      <c r="J118" s="20" t="s">
        <v>144</v>
      </c>
      <c r="K118" s="20" t="s">
        <v>544</v>
      </c>
      <c r="L118" s="19" t="s">
        <v>61</v>
      </c>
      <c r="M118" s="19" t="s">
        <v>62</v>
      </c>
      <c r="N118" s="20" t="s">
        <v>63</v>
      </c>
      <c r="O118" s="19">
        <v>21</v>
      </c>
      <c r="P118" s="19">
        <v>3.73</v>
      </c>
      <c r="Q118" s="19">
        <v>1</v>
      </c>
      <c r="R118" s="20">
        <v>6</v>
      </c>
      <c r="S118" s="19">
        <v>6.6000000000000003E-2</v>
      </c>
      <c r="T118" s="19" t="s">
        <v>64</v>
      </c>
      <c r="U118" s="19" t="s">
        <v>65</v>
      </c>
      <c r="V118" s="19" t="s">
        <v>66</v>
      </c>
      <c r="W118" s="19" t="s">
        <v>67</v>
      </c>
      <c r="X118" s="19" t="s">
        <v>68</v>
      </c>
      <c r="Y118" s="21" t="s">
        <v>463</v>
      </c>
      <c r="Z118" s="21" t="s">
        <v>532</v>
      </c>
      <c r="AA118" s="21"/>
      <c r="AB118" s="21">
        <v>5</v>
      </c>
      <c r="AC118" s="21">
        <v>74</v>
      </c>
      <c r="AD118" s="21">
        <v>8589179</v>
      </c>
      <c r="AE118" s="21">
        <v>11731900</v>
      </c>
      <c r="AF118" s="21">
        <v>100534</v>
      </c>
      <c r="AG118" s="21" t="s">
        <v>542</v>
      </c>
      <c r="AH118" s="21"/>
      <c r="AI118" s="21"/>
      <c r="AJ118" s="22"/>
      <c r="AK118" s="22"/>
      <c r="AL118" s="21" t="str">
        <f>_xlfn.XLOOKUP(A:A,[1]TAGS!$A:$A,[1]TAGS!$BG:$BG)</f>
        <v>Não Montado</v>
      </c>
      <c r="AM118" s="21" t="s">
        <v>70</v>
      </c>
      <c r="AN118" s="22"/>
      <c r="AO118" s="22"/>
      <c r="AP118" s="21"/>
      <c r="AQ118" s="21"/>
      <c r="AR118" s="21"/>
      <c r="AS118" s="21"/>
      <c r="AT118" s="21"/>
      <c r="AU118" s="21"/>
    </row>
    <row r="119" spans="1:47" x14ac:dyDescent="0.35">
      <c r="A119" s="19" t="s">
        <v>545</v>
      </c>
      <c r="B119" s="19" t="s">
        <v>52</v>
      </c>
      <c r="C119" s="19"/>
      <c r="D119" s="19" t="s">
        <v>53</v>
      </c>
      <c r="E119" s="19" t="s">
        <v>460</v>
      </c>
      <c r="F119" s="20" t="s">
        <v>200</v>
      </c>
      <c r="G119" s="20" t="s">
        <v>201</v>
      </c>
      <c r="H119" s="19" t="s">
        <v>546</v>
      </c>
      <c r="I119" s="20" t="s">
        <v>58</v>
      </c>
      <c r="J119" s="20" t="s">
        <v>203</v>
      </c>
      <c r="K119" s="20" t="s">
        <v>547</v>
      </c>
      <c r="L119" s="19" t="s">
        <v>61</v>
      </c>
      <c r="M119" s="19" t="s">
        <v>62</v>
      </c>
      <c r="N119" s="20" t="s">
        <v>63</v>
      </c>
      <c r="O119" s="19">
        <v>21</v>
      </c>
      <c r="P119" s="19">
        <v>3.73</v>
      </c>
      <c r="Q119" s="19">
        <v>1</v>
      </c>
      <c r="R119" s="20">
        <v>9</v>
      </c>
      <c r="S119" s="19">
        <v>6.6000000000000003E-2</v>
      </c>
      <c r="T119" s="19" t="s">
        <v>64</v>
      </c>
      <c r="U119" s="19" t="s">
        <v>65</v>
      </c>
      <c r="V119" s="19" t="s">
        <v>66</v>
      </c>
      <c r="W119" s="19" t="s">
        <v>67</v>
      </c>
      <c r="X119" s="19" t="s">
        <v>68</v>
      </c>
      <c r="Y119" s="21" t="s">
        <v>463</v>
      </c>
      <c r="Z119" s="21" t="s">
        <v>548</v>
      </c>
      <c r="AA119" s="21"/>
      <c r="AB119" s="21">
        <v>5</v>
      </c>
      <c r="AC119" s="21">
        <v>84</v>
      </c>
      <c r="AD119" s="21">
        <v>8591412</v>
      </c>
      <c r="AE119" s="21">
        <v>11817450</v>
      </c>
      <c r="AF119" s="21">
        <v>100510</v>
      </c>
      <c r="AG119" s="21" t="s">
        <v>545</v>
      </c>
      <c r="AH119" s="21"/>
      <c r="AI119" s="21"/>
      <c r="AJ119" s="22"/>
      <c r="AK119" s="22"/>
      <c r="AL119" s="21" t="str">
        <f>_xlfn.XLOOKUP(A:A,[1]TAGS!$A:$A,[1]TAGS!$BG:$BG)</f>
        <v>Não Montado</v>
      </c>
      <c r="AM119" s="21" t="s">
        <v>70</v>
      </c>
      <c r="AN119" s="22"/>
      <c r="AO119" s="22"/>
      <c r="AP119" s="21"/>
      <c r="AQ119" s="21"/>
      <c r="AR119" s="21"/>
      <c r="AS119" s="21"/>
      <c r="AT119" s="21"/>
      <c r="AU119" s="21"/>
    </row>
    <row r="120" spans="1:47" x14ac:dyDescent="0.35">
      <c r="A120" s="19" t="s">
        <v>549</v>
      </c>
      <c r="B120" s="19" t="s">
        <v>52</v>
      </c>
      <c r="C120" s="19"/>
      <c r="D120" s="19" t="s">
        <v>53</v>
      </c>
      <c r="E120" s="19" t="s">
        <v>460</v>
      </c>
      <c r="F120" s="20" t="s">
        <v>206</v>
      </c>
      <c r="G120" s="20" t="s">
        <v>207</v>
      </c>
      <c r="H120" s="19" t="s">
        <v>550</v>
      </c>
      <c r="I120" s="20" t="s">
        <v>58</v>
      </c>
      <c r="J120" s="20" t="s">
        <v>209</v>
      </c>
      <c r="K120" s="20" t="s">
        <v>551</v>
      </c>
      <c r="L120" s="19" t="s">
        <v>61</v>
      </c>
      <c r="M120" s="19" t="s">
        <v>62</v>
      </c>
      <c r="N120" s="20" t="s">
        <v>63</v>
      </c>
      <c r="O120" s="19">
        <v>21</v>
      </c>
      <c r="P120" s="19">
        <v>3.73</v>
      </c>
      <c r="Q120" s="19">
        <v>1</v>
      </c>
      <c r="R120" s="20">
        <v>11</v>
      </c>
      <c r="S120" s="19">
        <v>6.6000000000000003E-2</v>
      </c>
      <c r="T120" s="19" t="s">
        <v>64</v>
      </c>
      <c r="U120" s="19" t="s">
        <v>65</v>
      </c>
      <c r="V120" s="19" t="s">
        <v>66</v>
      </c>
      <c r="W120" s="19" t="s">
        <v>67</v>
      </c>
      <c r="X120" s="19" t="s">
        <v>68</v>
      </c>
      <c r="Y120" s="21" t="s">
        <v>463</v>
      </c>
      <c r="Z120" s="21" t="s">
        <v>548</v>
      </c>
      <c r="AA120" s="21"/>
      <c r="AB120" s="21">
        <v>6</v>
      </c>
      <c r="AC120" s="21">
        <v>85</v>
      </c>
      <c r="AD120" s="21">
        <v>8589675</v>
      </c>
      <c r="AE120" s="21">
        <v>11790120</v>
      </c>
      <c r="AF120" s="21">
        <v>100409</v>
      </c>
      <c r="AG120" s="21" t="s">
        <v>549</v>
      </c>
      <c r="AH120" s="21"/>
      <c r="AI120" s="21"/>
      <c r="AJ120" s="22"/>
      <c r="AK120" s="22"/>
      <c r="AL120" s="21" t="str">
        <f>_xlfn.XLOOKUP(A:A,[1]TAGS!$A:$A,[1]TAGS!$BG:$BG)</f>
        <v>Não Montado</v>
      </c>
      <c r="AM120" s="21" t="s">
        <v>70</v>
      </c>
      <c r="AN120" s="22"/>
      <c r="AO120" s="22"/>
      <c r="AP120" s="21"/>
      <c r="AQ120" s="21"/>
      <c r="AR120" s="21"/>
      <c r="AS120" s="21"/>
      <c r="AT120" s="21"/>
      <c r="AU120" s="21"/>
    </row>
    <row r="121" spans="1:47" x14ac:dyDescent="0.35">
      <c r="A121" s="19" t="s">
        <v>552</v>
      </c>
      <c r="B121" s="19" t="s">
        <v>52</v>
      </c>
      <c r="C121" s="19"/>
      <c r="D121" s="19" t="s">
        <v>53</v>
      </c>
      <c r="E121" s="19" t="s">
        <v>460</v>
      </c>
      <c r="F121" s="20" t="s">
        <v>212</v>
      </c>
      <c r="G121" s="20" t="s">
        <v>213</v>
      </c>
      <c r="H121" s="19" t="s">
        <v>553</v>
      </c>
      <c r="I121" s="20" t="s">
        <v>58</v>
      </c>
      <c r="J121" s="20" t="s">
        <v>215</v>
      </c>
      <c r="K121" s="20" t="s">
        <v>554</v>
      </c>
      <c r="L121" s="19" t="s">
        <v>61</v>
      </c>
      <c r="M121" s="19" t="s">
        <v>62</v>
      </c>
      <c r="N121" s="20" t="s">
        <v>63</v>
      </c>
      <c r="O121" s="19">
        <v>21</v>
      </c>
      <c r="P121" s="19">
        <v>3.73</v>
      </c>
      <c r="Q121" s="19">
        <v>1</v>
      </c>
      <c r="R121" s="20">
        <v>27</v>
      </c>
      <c r="S121" s="19">
        <v>6.6000000000000003E-2</v>
      </c>
      <c r="T121" s="19" t="s">
        <v>64</v>
      </c>
      <c r="U121" s="19" t="s">
        <v>65</v>
      </c>
      <c r="V121" s="19" t="s">
        <v>66</v>
      </c>
      <c r="W121" s="19" t="s">
        <v>67</v>
      </c>
      <c r="X121" s="19" t="s">
        <v>68</v>
      </c>
      <c r="Y121" s="21" t="s">
        <v>463</v>
      </c>
      <c r="Z121" s="21" t="s">
        <v>555</v>
      </c>
      <c r="AA121" s="21"/>
      <c r="AB121" s="21">
        <v>1</v>
      </c>
      <c r="AC121" s="21">
        <v>75</v>
      </c>
      <c r="AD121" s="21">
        <v>8580119</v>
      </c>
      <c r="AE121" s="21">
        <v>11731310</v>
      </c>
      <c r="AF121" s="21">
        <v>100511</v>
      </c>
      <c r="AG121" s="21" t="s">
        <v>552</v>
      </c>
      <c r="AH121" s="21"/>
      <c r="AI121" s="21"/>
      <c r="AJ121" s="22"/>
      <c r="AK121" s="22"/>
      <c r="AL121" s="21" t="str">
        <f>_xlfn.XLOOKUP(A:A,[1]TAGS!$A:$A,[1]TAGS!$BG:$BG)</f>
        <v>Não Montado</v>
      </c>
      <c r="AM121" s="21" t="s">
        <v>70</v>
      </c>
      <c r="AN121" s="22"/>
      <c r="AO121" s="22"/>
      <c r="AP121" s="21"/>
      <c r="AQ121" s="21"/>
      <c r="AR121" s="21"/>
      <c r="AS121" s="21"/>
      <c r="AT121" s="21"/>
      <c r="AU121" s="21"/>
    </row>
    <row r="122" spans="1:47" x14ac:dyDescent="0.35">
      <c r="A122" s="19" t="s">
        <v>556</v>
      </c>
      <c r="B122" s="19" t="s">
        <v>52</v>
      </c>
      <c r="C122" s="19"/>
      <c r="D122" s="19" t="s">
        <v>53</v>
      </c>
      <c r="E122" s="19" t="s">
        <v>460</v>
      </c>
      <c r="F122" s="20" t="s">
        <v>218</v>
      </c>
      <c r="G122" s="20" t="s">
        <v>219</v>
      </c>
      <c r="H122" s="19" t="s">
        <v>557</v>
      </c>
      <c r="I122" s="20" t="s">
        <v>58</v>
      </c>
      <c r="J122" s="20" t="s">
        <v>221</v>
      </c>
      <c r="K122" s="20" t="s">
        <v>558</v>
      </c>
      <c r="L122" s="19" t="s">
        <v>61</v>
      </c>
      <c r="M122" s="19" t="s">
        <v>62</v>
      </c>
      <c r="N122" s="20" t="s">
        <v>63</v>
      </c>
      <c r="O122" s="19">
        <v>21</v>
      </c>
      <c r="P122" s="19">
        <v>3.73</v>
      </c>
      <c r="Q122" s="19">
        <v>1</v>
      </c>
      <c r="R122" s="20">
        <v>18</v>
      </c>
      <c r="S122" s="19">
        <v>6.6000000000000003E-2</v>
      </c>
      <c r="T122" s="19" t="s">
        <v>64</v>
      </c>
      <c r="U122" s="19" t="s">
        <v>65</v>
      </c>
      <c r="V122" s="19" t="s">
        <v>66</v>
      </c>
      <c r="W122" s="19" t="s">
        <v>67</v>
      </c>
      <c r="X122" s="19" t="s">
        <v>68</v>
      </c>
      <c r="Y122" s="21" t="s">
        <v>463</v>
      </c>
      <c r="Z122" s="21" t="s">
        <v>559</v>
      </c>
      <c r="AA122" s="21"/>
      <c r="AB122" s="21">
        <v>3</v>
      </c>
      <c r="AC122" s="21">
        <v>89</v>
      </c>
      <c r="AD122" s="21">
        <v>8579686</v>
      </c>
      <c r="AE122" s="21">
        <v>11795540</v>
      </c>
      <c r="AF122" s="21">
        <v>100750</v>
      </c>
      <c r="AG122" s="21" t="s">
        <v>556</v>
      </c>
      <c r="AH122" s="21"/>
      <c r="AI122" s="21"/>
      <c r="AJ122" s="22"/>
      <c r="AK122" s="22"/>
      <c r="AL122" s="21" t="str">
        <f>_xlfn.XLOOKUP(A:A,[1]TAGS!$A:$A,[1]TAGS!$BG:$BG)</f>
        <v>Não Montado</v>
      </c>
      <c r="AM122" s="21" t="s">
        <v>70</v>
      </c>
      <c r="AN122" s="22"/>
      <c r="AO122" s="22"/>
      <c r="AP122" s="21"/>
      <c r="AQ122" s="21"/>
      <c r="AR122" s="21"/>
      <c r="AS122" s="21"/>
      <c r="AT122" s="21"/>
      <c r="AU122" s="21"/>
    </row>
    <row r="123" spans="1:47" x14ac:dyDescent="0.35">
      <c r="A123" s="19" t="s">
        <v>560</v>
      </c>
      <c r="B123" s="19" t="s">
        <v>52</v>
      </c>
      <c r="C123" s="19"/>
      <c r="D123" s="19" t="s">
        <v>53</v>
      </c>
      <c r="E123" s="19" t="s">
        <v>460</v>
      </c>
      <c r="F123" s="20" t="s">
        <v>224</v>
      </c>
      <c r="G123" s="20" t="s">
        <v>225</v>
      </c>
      <c r="H123" s="19" t="s">
        <v>561</v>
      </c>
      <c r="I123" s="20" t="s">
        <v>58</v>
      </c>
      <c r="J123" s="20" t="s">
        <v>227</v>
      </c>
      <c r="K123" s="20" t="s">
        <v>562</v>
      </c>
      <c r="L123" s="19" t="s">
        <v>61</v>
      </c>
      <c r="M123" s="19" t="s">
        <v>62</v>
      </c>
      <c r="N123" s="20" t="s">
        <v>63</v>
      </c>
      <c r="O123" s="19">
        <v>21</v>
      </c>
      <c r="P123" s="19">
        <v>3.73</v>
      </c>
      <c r="Q123" s="19">
        <v>1</v>
      </c>
      <c r="R123" s="20">
        <v>9</v>
      </c>
      <c r="S123" s="19">
        <v>6.6000000000000003E-2</v>
      </c>
      <c r="T123" s="19" t="s">
        <v>64</v>
      </c>
      <c r="U123" s="19" t="s">
        <v>65</v>
      </c>
      <c r="V123" s="19" t="s">
        <v>66</v>
      </c>
      <c r="W123" s="19" t="s">
        <v>67</v>
      </c>
      <c r="X123" s="19" t="s">
        <v>68</v>
      </c>
      <c r="Y123" s="21" t="s">
        <v>463</v>
      </c>
      <c r="Z123" s="21" t="s">
        <v>563</v>
      </c>
      <c r="AA123" s="21"/>
      <c r="AB123" s="21">
        <v>6</v>
      </c>
      <c r="AC123" s="21">
        <v>114</v>
      </c>
      <c r="AD123" s="21">
        <v>8570308</v>
      </c>
      <c r="AE123" s="21">
        <v>11741110</v>
      </c>
      <c r="AF123" s="21">
        <v>112808</v>
      </c>
      <c r="AG123" s="21" t="s">
        <v>560</v>
      </c>
      <c r="AH123" s="21"/>
      <c r="AI123" s="21"/>
      <c r="AJ123" s="22"/>
      <c r="AK123" s="22"/>
      <c r="AL123" s="21" t="str">
        <f>_xlfn.XLOOKUP(A:A,[1]TAGS!$A:$A,[1]TAGS!$BG:$BG)</f>
        <v>Não Montado</v>
      </c>
      <c r="AM123" s="21" t="s">
        <v>70</v>
      </c>
      <c r="AN123" s="22"/>
      <c r="AO123" s="22"/>
      <c r="AP123" s="21"/>
      <c r="AQ123" s="21"/>
      <c r="AR123" s="21"/>
      <c r="AS123" s="21"/>
      <c r="AT123" s="21"/>
      <c r="AU123" s="21"/>
    </row>
    <row r="124" spans="1:47" x14ac:dyDescent="0.35">
      <c r="A124" s="19" t="s">
        <v>564</v>
      </c>
      <c r="B124" s="19" t="s">
        <v>52</v>
      </c>
      <c r="C124" s="19"/>
      <c r="D124" s="19" t="s">
        <v>53</v>
      </c>
      <c r="E124" s="19" t="s">
        <v>460</v>
      </c>
      <c r="F124" s="20" t="s">
        <v>224</v>
      </c>
      <c r="G124" s="20" t="s">
        <v>225</v>
      </c>
      <c r="H124" s="19" t="s">
        <v>565</v>
      </c>
      <c r="I124" s="20" t="s">
        <v>58</v>
      </c>
      <c r="J124" s="20" t="s">
        <v>227</v>
      </c>
      <c r="K124" s="20" t="s">
        <v>566</v>
      </c>
      <c r="L124" s="19" t="s">
        <v>61</v>
      </c>
      <c r="M124" s="19" t="s">
        <v>62</v>
      </c>
      <c r="N124" s="20" t="s">
        <v>63</v>
      </c>
      <c r="O124" s="19">
        <v>21</v>
      </c>
      <c r="P124" s="19">
        <v>3.73</v>
      </c>
      <c r="Q124" s="19">
        <v>1</v>
      </c>
      <c r="R124" s="20">
        <v>8</v>
      </c>
      <c r="S124" s="19">
        <v>6.6000000000000003E-2</v>
      </c>
      <c r="T124" s="19" t="s">
        <v>64</v>
      </c>
      <c r="U124" s="19" t="s">
        <v>65</v>
      </c>
      <c r="V124" s="19" t="s">
        <v>66</v>
      </c>
      <c r="W124" s="19" t="s">
        <v>67</v>
      </c>
      <c r="X124" s="19" t="s">
        <v>68</v>
      </c>
      <c r="Y124" s="21" t="s">
        <v>463</v>
      </c>
      <c r="Z124" s="21" t="s">
        <v>522</v>
      </c>
      <c r="AA124" s="21"/>
      <c r="AB124" s="21">
        <v>7</v>
      </c>
      <c r="AC124" s="21">
        <v>95</v>
      </c>
      <c r="AD124" s="21">
        <v>8586084</v>
      </c>
      <c r="AE124" s="21">
        <v>11768520</v>
      </c>
      <c r="AF124" s="21">
        <v>117172</v>
      </c>
      <c r="AG124" s="21" t="s">
        <v>564</v>
      </c>
      <c r="AH124" s="21"/>
      <c r="AI124" s="21"/>
      <c r="AJ124" s="22"/>
      <c r="AK124" s="22"/>
      <c r="AL124" s="21" t="str">
        <f>_xlfn.XLOOKUP(A:A,[1]TAGS!$A:$A,[1]TAGS!$BG:$BG)</f>
        <v>Não Montado</v>
      </c>
      <c r="AM124" s="21" t="s">
        <v>70</v>
      </c>
      <c r="AN124" s="22"/>
      <c r="AO124" s="22"/>
      <c r="AP124" s="21"/>
      <c r="AQ124" s="21"/>
      <c r="AR124" s="21"/>
      <c r="AS124" s="21"/>
      <c r="AT124" s="21"/>
      <c r="AU124" s="21"/>
    </row>
    <row r="125" spans="1:47" x14ac:dyDescent="0.35">
      <c r="A125" s="19" t="s">
        <v>567</v>
      </c>
      <c r="B125" s="19" t="s">
        <v>52</v>
      </c>
      <c r="C125" s="19"/>
      <c r="D125" s="19" t="s">
        <v>53</v>
      </c>
      <c r="E125" s="19" t="s">
        <v>460</v>
      </c>
      <c r="F125" s="20" t="s">
        <v>224</v>
      </c>
      <c r="G125" s="20" t="s">
        <v>225</v>
      </c>
      <c r="H125" s="19" t="s">
        <v>568</v>
      </c>
      <c r="I125" s="20" t="s">
        <v>58</v>
      </c>
      <c r="J125" s="20" t="s">
        <v>227</v>
      </c>
      <c r="K125" s="20" t="s">
        <v>569</v>
      </c>
      <c r="L125" s="19" t="s">
        <v>61</v>
      </c>
      <c r="M125" s="19" t="s">
        <v>62</v>
      </c>
      <c r="N125" s="20" t="s">
        <v>63</v>
      </c>
      <c r="O125" s="19">
        <v>21</v>
      </c>
      <c r="P125" s="19">
        <v>3.73</v>
      </c>
      <c r="Q125" s="19">
        <v>1</v>
      </c>
      <c r="R125" s="20">
        <v>6</v>
      </c>
      <c r="S125" s="19">
        <v>6.6000000000000003E-2</v>
      </c>
      <c r="T125" s="19" t="s">
        <v>64</v>
      </c>
      <c r="U125" s="19" t="s">
        <v>65</v>
      </c>
      <c r="V125" s="19" t="s">
        <v>66</v>
      </c>
      <c r="W125" s="19" t="s">
        <v>67</v>
      </c>
      <c r="X125" s="19" t="s">
        <v>68</v>
      </c>
      <c r="Y125" s="21" t="s">
        <v>463</v>
      </c>
      <c r="Z125" s="21" t="s">
        <v>522</v>
      </c>
      <c r="AA125" s="21"/>
      <c r="AB125" s="21">
        <v>8</v>
      </c>
      <c r="AC125" s="21">
        <v>96</v>
      </c>
      <c r="AD125" s="21">
        <v>8586084</v>
      </c>
      <c r="AE125" s="21">
        <v>11766110</v>
      </c>
      <c r="AF125" s="21">
        <v>117197</v>
      </c>
      <c r="AG125" s="21" t="s">
        <v>567</v>
      </c>
      <c r="AH125" s="21"/>
      <c r="AI125" s="21"/>
      <c r="AJ125" s="22"/>
      <c r="AK125" s="22"/>
      <c r="AL125" s="21" t="str">
        <f>_xlfn.XLOOKUP(A:A,[1]TAGS!$A:$A,[1]TAGS!$BG:$BG)</f>
        <v>Não Montado</v>
      </c>
      <c r="AM125" s="21" t="s">
        <v>70</v>
      </c>
      <c r="AN125" s="22"/>
      <c r="AO125" s="22"/>
      <c r="AP125" s="21"/>
      <c r="AQ125" s="21"/>
      <c r="AR125" s="21"/>
      <c r="AS125" s="21"/>
      <c r="AT125" s="21"/>
      <c r="AU125" s="21"/>
    </row>
    <row r="126" spans="1:47" x14ac:dyDescent="0.35">
      <c r="A126" s="19" t="s">
        <v>570</v>
      </c>
      <c r="B126" s="19" t="s">
        <v>52</v>
      </c>
      <c r="C126" s="19"/>
      <c r="D126" s="19" t="s">
        <v>53</v>
      </c>
      <c r="E126" s="19" t="s">
        <v>460</v>
      </c>
      <c r="F126" s="20" t="s">
        <v>89</v>
      </c>
      <c r="G126" s="20" t="s">
        <v>90</v>
      </c>
      <c r="H126" s="19" t="s">
        <v>571</v>
      </c>
      <c r="I126" s="20" t="s">
        <v>58</v>
      </c>
      <c r="J126" s="20" t="s">
        <v>92</v>
      </c>
      <c r="K126" s="20" t="s">
        <v>572</v>
      </c>
      <c r="L126" s="19" t="s">
        <v>61</v>
      </c>
      <c r="M126" s="19" t="s">
        <v>62</v>
      </c>
      <c r="N126" s="20" t="s">
        <v>63</v>
      </c>
      <c r="O126" s="19">
        <v>21</v>
      </c>
      <c r="P126" s="19">
        <v>3.73</v>
      </c>
      <c r="Q126" s="19">
        <v>1</v>
      </c>
      <c r="R126" s="20">
        <v>7</v>
      </c>
      <c r="S126" s="19">
        <v>6.6000000000000003E-2</v>
      </c>
      <c r="T126" s="19" t="s">
        <v>64</v>
      </c>
      <c r="U126" s="19" t="s">
        <v>65</v>
      </c>
      <c r="V126" s="19" t="s">
        <v>66</v>
      </c>
      <c r="W126" s="19" t="s">
        <v>67</v>
      </c>
      <c r="X126" s="19" t="s">
        <v>68</v>
      </c>
      <c r="Y126" s="21" t="s">
        <v>463</v>
      </c>
      <c r="Z126" s="21" t="s">
        <v>573</v>
      </c>
      <c r="AA126" s="21"/>
      <c r="AB126" s="21">
        <v>3</v>
      </c>
      <c r="AC126" s="21">
        <v>91</v>
      </c>
      <c r="AD126" s="21">
        <v>8579729</v>
      </c>
      <c r="AE126" s="21">
        <v>11758820</v>
      </c>
      <c r="AF126" s="21">
        <v>100534</v>
      </c>
      <c r="AG126" s="21" t="s">
        <v>570</v>
      </c>
      <c r="AH126" s="21"/>
      <c r="AI126" s="21"/>
      <c r="AJ126" s="22"/>
      <c r="AK126" s="22"/>
      <c r="AL126" s="21" t="str">
        <f>_xlfn.XLOOKUP(A:A,[1]TAGS!$A:$A,[1]TAGS!$BG:$BG)</f>
        <v>Não Montado</v>
      </c>
      <c r="AM126" s="21" t="s">
        <v>70</v>
      </c>
      <c r="AN126" s="22"/>
      <c r="AO126" s="22"/>
      <c r="AP126" s="21"/>
      <c r="AQ126" s="21"/>
      <c r="AR126" s="21"/>
      <c r="AS126" s="21"/>
      <c r="AT126" s="21"/>
      <c r="AU126" s="21"/>
    </row>
    <row r="127" spans="1:47" x14ac:dyDescent="0.35">
      <c r="A127" s="19" t="s">
        <v>574</v>
      </c>
      <c r="B127" s="19" t="s">
        <v>52</v>
      </c>
      <c r="C127" s="19"/>
      <c r="D127" s="19" t="s">
        <v>53</v>
      </c>
      <c r="E127" s="19" t="s">
        <v>460</v>
      </c>
      <c r="F127" s="20" t="s">
        <v>254</v>
      </c>
      <c r="G127" s="20" t="s">
        <v>255</v>
      </c>
      <c r="H127" s="19" t="s">
        <v>575</v>
      </c>
      <c r="I127" s="20" t="s">
        <v>58</v>
      </c>
      <c r="J127" s="20" t="s">
        <v>257</v>
      </c>
      <c r="K127" s="20" t="s">
        <v>576</v>
      </c>
      <c r="L127" s="19" t="s">
        <v>61</v>
      </c>
      <c r="M127" s="19" t="s">
        <v>62</v>
      </c>
      <c r="N127" s="20" t="s">
        <v>63</v>
      </c>
      <c r="O127" s="19">
        <v>21</v>
      </c>
      <c r="P127" s="19">
        <v>3.73</v>
      </c>
      <c r="Q127" s="19">
        <v>1</v>
      </c>
      <c r="R127" s="20">
        <v>12</v>
      </c>
      <c r="S127" s="19">
        <v>6.6000000000000003E-2</v>
      </c>
      <c r="T127" s="19" t="s">
        <v>64</v>
      </c>
      <c r="U127" s="19" t="s">
        <v>65</v>
      </c>
      <c r="V127" s="19" t="s">
        <v>66</v>
      </c>
      <c r="W127" s="19" t="s">
        <v>67</v>
      </c>
      <c r="X127" s="19" t="s">
        <v>68</v>
      </c>
      <c r="Y127" s="21" t="s">
        <v>463</v>
      </c>
      <c r="Z127" s="21" t="s">
        <v>475</v>
      </c>
      <c r="AA127" s="21"/>
      <c r="AB127" s="21">
        <v>3</v>
      </c>
      <c r="AC127" s="21">
        <v>62</v>
      </c>
      <c r="AD127" s="21">
        <v>8702934</v>
      </c>
      <c r="AE127" s="21">
        <v>11892560</v>
      </c>
      <c r="AF127" s="21">
        <v>100480</v>
      </c>
      <c r="AG127" s="21" t="s">
        <v>574</v>
      </c>
      <c r="AH127" s="21"/>
      <c r="AI127" s="21"/>
      <c r="AJ127" s="22"/>
      <c r="AK127" s="22"/>
      <c r="AL127" s="21" t="str">
        <f>_xlfn.XLOOKUP(A:A,[1]TAGS!$A:$A,[1]TAGS!$BG:$BG)</f>
        <v>Não Montado</v>
      </c>
      <c r="AM127" s="21" t="s">
        <v>70</v>
      </c>
      <c r="AN127" s="22"/>
      <c r="AO127" s="22"/>
      <c r="AP127" s="21"/>
      <c r="AQ127" s="21"/>
      <c r="AR127" s="21"/>
      <c r="AS127" s="21"/>
      <c r="AT127" s="21"/>
      <c r="AU127" s="21"/>
    </row>
    <row r="128" spans="1:47" ht="29" x14ac:dyDescent="0.35">
      <c r="A128" s="19" t="s">
        <v>577</v>
      </c>
      <c r="B128" s="19" t="s">
        <v>52</v>
      </c>
      <c r="C128" s="19"/>
      <c r="D128" s="19" t="s">
        <v>53</v>
      </c>
      <c r="E128" s="19" t="s">
        <v>460</v>
      </c>
      <c r="F128" s="20" t="s">
        <v>578</v>
      </c>
      <c r="G128" s="20" t="s">
        <v>579</v>
      </c>
      <c r="H128" s="19" t="s">
        <v>580</v>
      </c>
      <c r="I128" s="20" t="s">
        <v>58</v>
      </c>
      <c r="J128" s="23" t="s">
        <v>581</v>
      </c>
      <c r="K128" s="20" t="s">
        <v>582</v>
      </c>
      <c r="L128" s="19" t="s">
        <v>61</v>
      </c>
      <c r="M128" s="19" t="s">
        <v>62</v>
      </c>
      <c r="N128" s="20" t="s">
        <v>63</v>
      </c>
      <c r="O128" s="19">
        <v>21</v>
      </c>
      <c r="P128" s="19">
        <v>3.73</v>
      </c>
      <c r="Q128" s="19">
        <v>1</v>
      </c>
      <c r="R128" s="20">
        <v>10</v>
      </c>
      <c r="S128" s="19">
        <v>6.6000000000000003E-2</v>
      </c>
      <c r="T128" s="19" t="s">
        <v>64</v>
      </c>
      <c r="U128" s="19" t="s">
        <v>65</v>
      </c>
      <c r="V128" s="19" t="s">
        <v>66</v>
      </c>
      <c r="W128" s="19" t="s">
        <v>67</v>
      </c>
      <c r="X128" s="19" t="s">
        <v>68</v>
      </c>
      <c r="Y128" s="21" t="s">
        <v>463</v>
      </c>
      <c r="Z128" s="21" t="s">
        <v>583</v>
      </c>
      <c r="AA128" s="21"/>
      <c r="AB128" s="21">
        <v>2</v>
      </c>
      <c r="AC128" s="21">
        <v>51</v>
      </c>
      <c r="AD128" s="21">
        <v>8577061</v>
      </c>
      <c r="AE128" s="21">
        <v>11723010</v>
      </c>
      <c r="AF128" s="21">
        <v>100632</v>
      </c>
      <c r="AG128" s="21" t="s">
        <v>577</v>
      </c>
      <c r="AH128" s="21"/>
      <c r="AI128" s="21"/>
      <c r="AJ128" s="22"/>
      <c r="AK128" s="22"/>
      <c r="AL128" s="21" t="str">
        <f>_xlfn.XLOOKUP(A:A,[1]TAGS!$A:$A,[1]TAGS!$BG:$BG)</f>
        <v>Não Montado</v>
      </c>
      <c r="AM128" s="21" t="s">
        <v>70</v>
      </c>
      <c r="AN128" s="22"/>
      <c r="AO128" s="22"/>
      <c r="AP128" s="21"/>
      <c r="AQ128" s="21"/>
      <c r="AR128" s="21"/>
      <c r="AS128" s="21"/>
      <c r="AT128" s="21"/>
      <c r="AU128" s="21"/>
    </row>
    <row r="129" spans="1:47" ht="29" x14ac:dyDescent="0.35">
      <c r="A129" s="19" t="s">
        <v>584</v>
      </c>
      <c r="B129" s="19" t="s">
        <v>52</v>
      </c>
      <c r="C129" s="19"/>
      <c r="D129" s="19" t="s">
        <v>53</v>
      </c>
      <c r="E129" s="19" t="s">
        <v>460</v>
      </c>
      <c r="F129" s="20" t="s">
        <v>578</v>
      </c>
      <c r="G129" s="20" t="s">
        <v>579</v>
      </c>
      <c r="H129" s="19" t="s">
        <v>585</v>
      </c>
      <c r="I129" s="20" t="s">
        <v>58</v>
      </c>
      <c r="J129" s="23" t="s">
        <v>581</v>
      </c>
      <c r="K129" s="20" t="s">
        <v>586</v>
      </c>
      <c r="L129" s="19" t="s">
        <v>61</v>
      </c>
      <c r="M129" s="19" t="s">
        <v>62</v>
      </c>
      <c r="N129" s="20" t="s">
        <v>63</v>
      </c>
      <c r="O129" s="19">
        <v>21</v>
      </c>
      <c r="P129" s="19">
        <v>3.73</v>
      </c>
      <c r="Q129" s="19">
        <v>1</v>
      </c>
      <c r="R129" s="20">
        <v>13</v>
      </c>
      <c r="S129" s="19">
        <v>6.6000000000000003E-2</v>
      </c>
      <c r="T129" s="19" t="s">
        <v>64</v>
      </c>
      <c r="U129" s="19" t="s">
        <v>65</v>
      </c>
      <c r="V129" s="19" t="s">
        <v>66</v>
      </c>
      <c r="W129" s="19" t="s">
        <v>67</v>
      </c>
      <c r="X129" s="19" t="s">
        <v>68</v>
      </c>
      <c r="Y129" s="21" t="s">
        <v>463</v>
      </c>
      <c r="Z129" s="21" t="s">
        <v>583</v>
      </c>
      <c r="AA129" s="21"/>
      <c r="AB129" s="21">
        <v>4</v>
      </c>
      <c r="AC129" s="21">
        <v>53</v>
      </c>
      <c r="AD129" s="21">
        <v>8577061</v>
      </c>
      <c r="AE129" s="21">
        <v>11722610</v>
      </c>
      <c r="AF129" s="21">
        <v>100632</v>
      </c>
      <c r="AG129" s="21" t="s">
        <v>584</v>
      </c>
      <c r="AH129" s="21"/>
      <c r="AI129" s="21"/>
      <c r="AJ129" s="22"/>
      <c r="AK129" s="22"/>
      <c r="AL129" s="21" t="str">
        <f>_xlfn.XLOOKUP(A:A,[1]TAGS!$A:$A,[1]TAGS!$BG:$BG)</f>
        <v>Não Montado</v>
      </c>
      <c r="AM129" s="21" t="s">
        <v>70</v>
      </c>
      <c r="AN129" s="22"/>
      <c r="AO129" s="22"/>
      <c r="AP129" s="21"/>
      <c r="AQ129" s="21"/>
      <c r="AR129" s="21"/>
      <c r="AS129" s="21"/>
      <c r="AT129" s="21"/>
      <c r="AU129" s="21"/>
    </row>
    <row r="130" spans="1:47" ht="29" x14ac:dyDescent="0.35">
      <c r="A130" s="19" t="s">
        <v>587</v>
      </c>
      <c r="B130" s="19" t="s">
        <v>52</v>
      </c>
      <c r="C130" s="19"/>
      <c r="D130" s="19" t="s">
        <v>53</v>
      </c>
      <c r="E130" s="19" t="s">
        <v>460</v>
      </c>
      <c r="F130" s="20" t="s">
        <v>578</v>
      </c>
      <c r="G130" s="20" t="s">
        <v>579</v>
      </c>
      <c r="H130" s="19" t="s">
        <v>588</v>
      </c>
      <c r="I130" s="20" t="s">
        <v>58</v>
      </c>
      <c r="J130" s="23" t="s">
        <v>581</v>
      </c>
      <c r="K130" s="20" t="s">
        <v>589</v>
      </c>
      <c r="L130" s="19" t="s">
        <v>61</v>
      </c>
      <c r="M130" s="19" t="s">
        <v>62</v>
      </c>
      <c r="N130" s="20" t="s">
        <v>63</v>
      </c>
      <c r="O130" s="19">
        <v>21</v>
      </c>
      <c r="P130" s="19">
        <v>3.73</v>
      </c>
      <c r="Q130" s="19">
        <v>1</v>
      </c>
      <c r="R130" s="20">
        <v>11</v>
      </c>
      <c r="S130" s="19">
        <v>6.6000000000000003E-2</v>
      </c>
      <c r="T130" s="19" t="s">
        <v>64</v>
      </c>
      <c r="U130" s="19" t="s">
        <v>65</v>
      </c>
      <c r="V130" s="19" t="s">
        <v>66</v>
      </c>
      <c r="W130" s="19" t="s">
        <v>67</v>
      </c>
      <c r="X130" s="19" t="s">
        <v>68</v>
      </c>
      <c r="Y130" s="21" t="s">
        <v>463</v>
      </c>
      <c r="Z130" s="21" t="s">
        <v>583</v>
      </c>
      <c r="AA130" s="21"/>
      <c r="AB130" s="21">
        <v>3</v>
      </c>
      <c r="AC130" s="21">
        <v>52</v>
      </c>
      <c r="AD130" s="21">
        <v>8577325</v>
      </c>
      <c r="AE130" s="21">
        <v>11723680</v>
      </c>
      <c r="AF130" s="21">
        <v>100632</v>
      </c>
      <c r="AG130" s="21" t="s">
        <v>587</v>
      </c>
      <c r="AH130" s="21"/>
      <c r="AI130" s="21"/>
      <c r="AJ130" s="22"/>
      <c r="AK130" s="22"/>
      <c r="AL130" s="21" t="str">
        <f>_xlfn.XLOOKUP(A:A,[1]TAGS!$A:$A,[1]TAGS!$BG:$BG)</f>
        <v>Não Montado</v>
      </c>
      <c r="AM130" s="21" t="s">
        <v>70</v>
      </c>
      <c r="AN130" s="22"/>
      <c r="AO130" s="22"/>
      <c r="AP130" s="21"/>
      <c r="AQ130" s="21"/>
      <c r="AR130" s="21"/>
      <c r="AS130" s="21"/>
      <c r="AT130" s="21"/>
      <c r="AU130" s="21"/>
    </row>
    <row r="131" spans="1:47" ht="29" x14ac:dyDescent="0.35">
      <c r="A131" s="19" t="s">
        <v>590</v>
      </c>
      <c r="B131" s="19" t="s">
        <v>52</v>
      </c>
      <c r="C131" s="19"/>
      <c r="D131" s="19" t="s">
        <v>53</v>
      </c>
      <c r="E131" s="19" t="s">
        <v>460</v>
      </c>
      <c r="F131" s="20" t="s">
        <v>578</v>
      </c>
      <c r="G131" s="20" t="s">
        <v>579</v>
      </c>
      <c r="H131" s="19" t="s">
        <v>591</v>
      </c>
      <c r="I131" s="20" t="s">
        <v>58</v>
      </c>
      <c r="J131" s="23" t="s">
        <v>581</v>
      </c>
      <c r="K131" s="20" t="s">
        <v>592</v>
      </c>
      <c r="L131" s="19" t="s">
        <v>61</v>
      </c>
      <c r="M131" s="19" t="s">
        <v>62</v>
      </c>
      <c r="N131" s="20" t="s">
        <v>63</v>
      </c>
      <c r="O131" s="19">
        <v>21</v>
      </c>
      <c r="P131" s="19">
        <v>3.73</v>
      </c>
      <c r="Q131" s="19">
        <v>1</v>
      </c>
      <c r="R131" s="20">
        <v>9</v>
      </c>
      <c r="S131" s="19">
        <v>6.6000000000000003E-2</v>
      </c>
      <c r="T131" s="19" t="s">
        <v>64</v>
      </c>
      <c r="U131" s="19" t="s">
        <v>65</v>
      </c>
      <c r="V131" s="19" t="s">
        <v>66</v>
      </c>
      <c r="W131" s="19" t="s">
        <v>67</v>
      </c>
      <c r="X131" s="19" t="s">
        <v>68</v>
      </c>
      <c r="Y131" s="21" t="s">
        <v>463</v>
      </c>
      <c r="Z131" s="21" t="s">
        <v>583</v>
      </c>
      <c r="AA131" s="21"/>
      <c r="AB131" s="21">
        <v>1</v>
      </c>
      <c r="AC131" s="21">
        <v>50</v>
      </c>
      <c r="AD131" s="21">
        <v>8577325</v>
      </c>
      <c r="AE131" s="21">
        <v>11724080</v>
      </c>
      <c r="AF131" s="21">
        <v>100632</v>
      </c>
      <c r="AG131" s="21" t="s">
        <v>590</v>
      </c>
      <c r="AH131" s="21"/>
      <c r="AI131" s="21"/>
      <c r="AJ131" s="22"/>
      <c r="AK131" s="22"/>
      <c r="AL131" s="21" t="str">
        <f>_xlfn.XLOOKUP(A:A,[1]TAGS!$A:$A,[1]TAGS!$BG:$BG)</f>
        <v>Não Montado</v>
      </c>
      <c r="AM131" s="21" t="s">
        <v>70</v>
      </c>
      <c r="AN131" s="22"/>
      <c r="AO131" s="22"/>
      <c r="AP131" s="21"/>
      <c r="AQ131" s="21"/>
      <c r="AR131" s="21"/>
      <c r="AS131" s="21"/>
      <c r="AT131" s="21"/>
      <c r="AU131" s="21"/>
    </row>
    <row r="132" spans="1:47" x14ac:dyDescent="0.35">
      <c r="A132" s="19" t="s">
        <v>593</v>
      </c>
      <c r="B132" s="19" t="s">
        <v>52</v>
      </c>
      <c r="C132" s="19"/>
      <c r="D132" s="19" t="s">
        <v>53</v>
      </c>
      <c r="E132" s="19" t="s">
        <v>460</v>
      </c>
      <c r="F132" s="20" t="s">
        <v>200</v>
      </c>
      <c r="G132" s="20" t="s">
        <v>201</v>
      </c>
      <c r="H132" s="19" t="s">
        <v>594</v>
      </c>
      <c r="I132" s="20" t="s">
        <v>58</v>
      </c>
      <c r="J132" s="20" t="s">
        <v>203</v>
      </c>
      <c r="K132" s="20" t="s">
        <v>595</v>
      </c>
      <c r="L132" s="19" t="s">
        <v>61</v>
      </c>
      <c r="M132" s="19" t="s">
        <v>62</v>
      </c>
      <c r="N132" s="20" t="s">
        <v>63</v>
      </c>
      <c r="O132" s="19">
        <v>21</v>
      </c>
      <c r="P132" s="19">
        <v>3.73</v>
      </c>
      <c r="Q132" s="19">
        <v>1</v>
      </c>
      <c r="R132" s="20">
        <v>9</v>
      </c>
      <c r="S132" s="19">
        <v>6.6000000000000003E-2</v>
      </c>
      <c r="T132" s="19" t="s">
        <v>64</v>
      </c>
      <c r="U132" s="19" t="s">
        <v>65</v>
      </c>
      <c r="V132" s="19" t="s">
        <v>66</v>
      </c>
      <c r="W132" s="19" t="s">
        <v>67</v>
      </c>
      <c r="X132" s="19" t="s">
        <v>68</v>
      </c>
      <c r="Y132" s="21" t="s">
        <v>463</v>
      </c>
      <c r="Z132" s="21" t="s">
        <v>583</v>
      </c>
      <c r="AA132" s="21"/>
      <c r="AB132" s="21">
        <v>5</v>
      </c>
      <c r="AC132" s="21">
        <v>57</v>
      </c>
      <c r="AD132" s="21">
        <v>8580199</v>
      </c>
      <c r="AE132" s="21">
        <v>11722730</v>
      </c>
      <c r="AF132" s="21">
        <v>100496</v>
      </c>
      <c r="AG132" s="21" t="s">
        <v>593</v>
      </c>
      <c r="AH132" s="21"/>
      <c r="AI132" s="21"/>
      <c r="AJ132" s="22"/>
      <c r="AK132" s="22"/>
      <c r="AL132" s="21" t="str">
        <f>_xlfn.XLOOKUP(A:A,[1]TAGS!$A:$A,[1]TAGS!$BG:$BG)</f>
        <v>Não Montado</v>
      </c>
      <c r="AM132" s="21" t="s">
        <v>70</v>
      </c>
      <c r="AN132" s="22"/>
      <c r="AO132" s="22"/>
      <c r="AP132" s="21"/>
      <c r="AQ132" s="21"/>
      <c r="AR132" s="21"/>
      <c r="AS132" s="21"/>
      <c r="AT132" s="21"/>
      <c r="AU132" s="21"/>
    </row>
    <row r="133" spans="1:47" x14ac:dyDescent="0.35">
      <c r="A133" s="19" t="s">
        <v>596</v>
      </c>
      <c r="B133" s="19" t="s">
        <v>52</v>
      </c>
      <c r="C133" s="19"/>
      <c r="D133" s="19" t="s">
        <v>53</v>
      </c>
      <c r="E133" s="19" t="s">
        <v>460</v>
      </c>
      <c r="F133" s="20" t="s">
        <v>200</v>
      </c>
      <c r="G133" s="20" t="s">
        <v>201</v>
      </c>
      <c r="H133" s="19" t="s">
        <v>597</v>
      </c>
      <c r="I133" s="20" t="s">
        <v>58</v>
      </c>
      <c r="J133" s="20" t="s">
        <v>203</v>
      </c>
      <c r="K133" s="20" t="s">
        <v>598</v>
      </c>
      <c r="L133" s="19" t="s">
        <v>61</v>
      </c>
      <c r="M133" s="19" t="s">
        <v>62</v>
      </c>
      <c r="N133" s="20" t="s">
        <v>63</v>
      </c>
      <c r="O133" s="19">
        <v>21</v>
      </c>
      <c r="P133" s="19">
        <v>3.73</v>
      </c>
      <c r="Q133" s="19">
        <v>1</v>
      </c>
      <c r="R133" s="20">
        <v>7</v>
      </c>
      <c r="S133" s="19">
        <v>6.6000000000000003E-2</v>
      </c>
      <c r="T133" s="19" t="s">
        <v>64</v>
      </c>
      <c r="U133" s="19" t="s">
        <v>65</v>
      </c>
      <c r="V133" s="19" t="s">
        <v>66</v>
      </c>
      <c r="W133" s="19" t="s">
        <v>67</v>
      </c>
      <c r="X133" s="19" t="s">
        <v>68</v>
      </c>
      <c r="Y133" s="21" t="s">
        <v>463</v>
      </c>
      <c r="Z133" s="21" t="s">
        <v>532</v>
      </c>
      <c r="AA133" s="21"/>
      <c r="AB133" s="21">
        <v>6</v>
      </c>
      <c r="AC133" s="21">
        <v>76</v>
      </c>
      <c r="AD133" s="21">
        <v>8589178</v>
      </c>
      <c r="AE133" s="21">
        <v>11727860</v>
      </c>
      <c r="AF133" s="21">
        <v>100495</v>
      </c>
      <c r="AG133" s="21" t="s">
        <v>596</v>
      </c>
      <c r="AH133" s="21"/>
      <c r="AI133" s="21"/>
      <c r="AJ133" s="22"/>
      <c r="AK133" s="22"/>
      <c r="AL133" s="21" t="str">
        <f>_xlfn.XLOOKUP(A:A,[1]TAGS!$A:$A,[1]TAGS!$BG:$BG)</f>
        <v>Não Montado</v>
      </c>
      <c r="AM133" s="21" t="s">
        <v>70</v>
      </c>
      <c r="AN133" s="22"/>
      <c r="AO133" s="22"/>
      <c r="AP133" s="21"/>
      <c r="AQ133" s="21"/>
      <c r="AR133" s="21"/>
      <c r="AS133" s="21"/>
      <c r="AT133" s="21"/>
      <c r="AU133" s="21"/>
    </row>
    <row r="134" spans="1:47" x14ac:dyDescent="0.35">
      <c r="A134" s="19" t="s">
        <v>599</v>
      </c>
      <c r="B134" s="19" t="s">
        <v>52</v>
      </c>
      <c r="C134" s="19"/>
      <c r="D134" s="19" t="s">
        <v>53</v>
      </c>
      <c r="E134" s="19" t="s">
        <v>460</v>
      </c>
      <c r="F134" s="20" t="s">
        <v>294</v>
      </c>
      <c r="G134" s="20" t="s">
        <v>295</v>
      </c>
      <c r="H134" s="19" t="s">
        <v>600</v>
      </c>
      <c r="I134" s="20" t="s">
        <v>58</v>
      </c>
      <c r="J134" s="20" t="s">
        <v>297</v>
      </c>
      <c r="K134" s="20" t="s">
        <v>601</v>
      </c>
      <c r="L134" s="19" t="s">
        <v>61</v>
      </c>
      <c r="M134" s="19" t="s">
        <v>62</v>
      </c>
      <c r="N134" s="20" t="s">
        <v>63</v>
      </c>
      <c r="O134" s="19">
        <v>21</v>
      </c>
      <c r="P134" s="19">
        <v>3.73</v>
      </c>
      <c r="Q134" s="19">
        <v>1</v>
      </c>
      <c r="R134" s="20">
        <v>21</v>
      </c>
      <c r="S134" s="19">
        <v>6.6000000000000003E-2</v>
      </c>
      <c r="T134" s="19" t="s">
        <v>64</v>
      </c>
      <c r="U134" s="19" t="s">
        <v>65</v>
      </c>
      <c r="V134" s="19" t="s">
        <v>66</v>
      </c>
      <c r="W134" s="19" t="s">
        <v>67</v>
      </c>
      <c r="X134" s="19" t="s">
        <v>68</v>
      </c>
      <c r="Y134" s="21" t="s">
        <v>463</v>
      </c>
      <c r="Z134" s="21" t="s">
        <v>602</v>
      </c>
      <c r="AA134" s="21"/>
      <c r="AB134" s="21">
        <v>4</v>
      </c>
      <c r="AC134" s="21">
        <v>78</v>
      </c>
      <c r="AD134" s="21">
        <v>8579692</v>
      </c>
      <c r="AE134" s="21">
        <v>11708980</v>
      </c>
      <c r="AF134" s="21">
        <v>100450</v>
      </c>
      <c r="AG134" s="21" t="s">
        <v>599</v>
      </c>
      <c r="AH134" s="21"/>
      <c r="AI134" s="21"/>
      <c r="AJ134" s="22"/>
      <c r="AK134" s="22"/>
      <c r="AL134" s="21" t="str">
        <f>_xlfn.XLOOKUP(A:A,[1]TAGS!$A:$A,[1]TAGS!$BG:$BG)</f>
        <v>Não Montado</v>
      </c>
      <c r="AM134" s="21" t="s">
        <v>70</v>
      </c>
      <c r="AN134" s="22"/>
      <c r="AO134" s="22"/>
      <c r="AP134" s="21"/>
      <c r="AQ134" s="21"/>
      <c r="AR134" s="21"/>
      <c r="AS134" s="21"/>
      <c r="AT134" s="21"/>
      <c r="AU134" s="21"/>
    </row>
    <row r="135" spans="1:47" x14ac:dyDescent="0.35">
      <c r="A135" s="19" t="s">
        <v>603</v>
      </c>
      <c r="B135" s="19" t="s">
        <v>52</v>
      </c>
      <c r="C135" s="19"/>
      <c r="D135" s="19" t="s">
        <v>53</v>
      </c>
      <c r="E135" s="19" t="s">
        <v>460</v>
      </c>
      <c r="F135" s="20" t="s">
        <v>300</v>
      </c>
      <c r="G135" s="20" t="s">
        <v>301</v>
      </c>
      <c r="H135" s="19" t="s">
        <v>604</v>
      </c>
      <c r="I135" s="20" t="s">
        <v>58</v>
      </c>
      <c r="J135" s="20" t="s">
        <v>303</v>
      </c>
      <c r="K135" s="20" t="s">
        <v>605</v>
      </c>
      <c r="L135" s="19" t="s">
        <v>61</v>
      </c>
      <c r="M135" s="19" t="s">
        <v>62</v>
      </c>
      <c r="N135" s="20" t="s">
        <v>63</v>
      </c>
      <c r="O135" s="19">
        <v>21</v>
      </c>
      <c r="P135" s="19">
        <v>3.73</v>
      </c>
      <c r="Q135" s="19">
        <v>1</v>
      </c>
      <c r="R135" s="20">
        <v>13</v>
      </c>
      <c r="S135" s="19">
        <v>6.6000000000000003E-2</v>
      </c>
      <c r="T135" s="19" t="s">
        <v>64</v>
      </c>
      <c r="U135" s="19" t="s">
        <v>65</v>
      </c>
      <c r="V135" s="19" t="s">
        <v>66</v>
      </c>
      <c r="W135" s="19" t="s">
        <v>67</v>
      </c>
      <c r="X135" s="19" t="s">
        <v>68</v>
      </c>
      <c r="Y135" s="21" t="s">
        <v>463</v>
      </c>
      <c r="Z135" s="21" t="s">
        <v>559</v>
      </c>
      <c r="AA135" s="21"/>
      <c r="AB135" s="21">
        <v>5</v>
      </c>
      <c r="AC135" s="21">
        <v>92</v>
      </c>
      <c r="AD135" s="21">
        <v>8590054</v>
      </c>
      <c r="AE135" s="21">
        <v>11829330</v>
      </c>
      <c r="AF135" s="21">
        <v>100585</v>
      </c>
      <c r="AG135" s="21" t="s">
        <v>603</v>
      </c>
      <c r="AH135" s="21"/>
      <c r="AI135" s="21"/>
      <c r="AJ135" s="22"/>
      <c r="AK135" s="22"/>
      <c r="AL135" s="21" t="str">
        <f>_xlfn.XLOOKUP(A:A,[1]TAGS!$A:$A,[1]TAGS!$BG:$BG)</f>
        <v>Não Montado</v>
      </c>
      <c r="AM135" s="21" t="s">
        <v>70</v>
      </c>
      <c r="AN135" s="22"/>
      <c r="AO135" s="22"/>
      <c r="AP135" s="21"/>
      <c r="AQ135" s="21"/>
      <c r="AR135" s="21"/>
      <c r="AS135" s="21"/>
      <c r="AT135" s="21"/>
      <c r="AU135" s="21"/>
    </row>
    <row r="136" spans="1:47" x14ac:dyDescent="0.35">
      <c r="A136" s="19" t="s">
        <v>606</v>
      </c>
      <c r="B136" s="19" t="s">
        <v>52</v>
      </c>
      <c r="C136" s="19"/>
      <c r="D136" s="19" t="s">
        <v>53</v>
      </c>
      <c r="E136" s="19" t="s">
        <v>460</v>
      </c>
      <c r="F136" s="20" t="s">
        <v>263</v>
      </c>
      <c r="G136" s="20" t="s">
        <v>264</v>
      </c>
      <c r="H136" s="19" t="s">
        <v>607</v>
      </c>
      <c r="I136" s="20" t="s">
        <v>58</v>
      </c>
      <c r="J136" s="20" t="s">
        <v>266</v>
      </c>
      <c r="K136" s="20" t="s">
        <v>608</v>
      </c>
      <c r="L136" s="19" t="s">
        <v>61</v>
      </c>
      <c r="M136" s="19" t="s">
        <v>62</v>
      </c>
      <c r="N136" s="20" t="s">
        <v>63</v>
      </c>
      <c r="O136" s="19">
        <v>21</v>
      </c>
      <c r="P136" s="19">
        <v>3.73</v>
      </c>
      <c r="Q136" s="19">
        <v>1</v>
      </c>
      <c r="R136" s="20">
        <v>19</v>
      </c>
      <c r="S136" s="19">
        <v>6.6000000000000003E-2</v>
      </c>
      <c r="T136" s="19" t="s">
        <v>64</v>
      </c>
      <c r="U136" s="19" t="s">
        <v>65</v>
      </c>
      <c r="V136" s="19" t="s">
        <v>66</v>
      </c>
      <c r="W136" s="19" t="s">
        <v>67</v>
      </c>
      <c r="X136" s="19" t="s">
        <v>68</v>
      </c>
      <c r="Y136" s="21" t="s">
        <v>463</v>
      </c>
      <c r="Z136" s="21" t="s">
        <v>559</v>
      </c>
      <c r="AA136" s="21"/>
      <c r="AB136" s="21">
        <v>4</v>
      </c>
      <c r="AC136" s="21">
        <v>90</v>
      </c>
      <c r="AD136" s="21">
        <v>8579468</v>
      </c>
      <c r="AE136" s="21">
        <v>11785860</v>
      </c>
      <c r="AF136" s="21">
        <v>100475</v>
      </c>
      <c r="AG136" s="21" t="s">
        <v>606</v>
      </c>
      <c r="AH136" s="21"/>
      <c r="AI136" s="21"/>
      <c r="AJ136" s="22"/>
      <c r="AK136" s="22"/>
      <c r="AL136" s="21" t="str">
        <f>_xlfn.XLOOKUP(A:A,[1]TAGS!$A:$A,[1]TAGS!$BG:$BG)</f>
        <v>Não Montado</v>
      </c>
      <c r="AM136" s="21" t="s">
        <v>70</v>
      </c>
      <c r="AN136" s="22"/>
      <c r="AO136" s="22"/>
      <c r="AP136" s="21"/>
      <c r="AQ136" s="21"/>
      <c r="AR136" s="21"/>
      <c r="AS136" s="21"/>
      <c r="AT136" s="21"/>
      <c r="AU136" s="21"/>
    </row>
    <row r="137" spans="1:47" x14ac:dyDescent="0.35">
      <c r="A137" s="19" t="s">
        <v>609</v>
      </c>
      <c r="B137" s="19" t="s">
        <v>52</v>
      </c>
      <c r="C137" s="19"/>
      <c r="D137" s="19" t="s">
        <v>53</v>
      </c>
      <c r="E137" s="19" t="s">
        <v>460</v>
      </c>
      <c r="F137" s="20" t="s">
        <v>352</v>
      </c>
      <c r="G137" s="20" t="s">
        <v>353</v>
      </c>
      <c r="H137" s="19" t="s">
        <v>610</v>
      </c>
      <c r="I137" s="20" t="s">
        <v>124</v>
      </c>
      <c r="J137" s="20" t="s">
        <v>355</v>
      </c>
      <c r="K137" s="20" t="s">
        <v>611</v>
      </c>
      <c r="L137" s="19" t="s">
        <v>61</v>
      </c>
      <c r="M137" s="19" t="s">
        <v>62</v>
      </c>
      <c r="N137" s="20" t="s">
        <v>63</v>
      </c>
      <c r="O137" s="19">
        <v>21</v>
      </c>
      <c r="P137" s="19">
        <v>3.73</v>
      </c>
      <c r="Q137" s="19">
        <v>1</v>
      </c>
      <c r="R137" s="20">
        <v>8</v>
      </c>
      <c r="S137" s="19">
        <v>6.6000000000000003E-2</v>
      </c>
      <c r="T137" s="19" t="s">
        <v>64</v>
      </c>
      <c r="U137" s="19" t="s">
        <v>65</v>
      </c>
      <c r="V137" s="19" t="s">
        <v>66</v>
      </c>
      <c r="W137" s="19" t="s">
        <v>67</v>
      </c>
      <c r="X137" s="19" t="s">
        <v>68</v>
      </c>
      <c r="Y137" s="21" t="s">
        <v>463</v>
      </c>
      <c r="Z137" s="21" t="s">
        <v>475</v>
      </c>
      <c r="AA137" s="21"/>
      <c r="AB137" s="21">
        <v>8</v>
      </c>
      <c r="AC137" s="21">
        <v>68</v>
      </c>
      <c r="AD137" s="21">
        <v>8675464</v>
      </c>
      <c r="AE137" s="21">
        <v>11893760</v>
      </c>
      <c r="AF137" s="21">
        <v>100630</v>
      </c>
      <c r="AG137" s="21" t="s">
        <v>609</v>
      </c>
      <c r="AH137" s="21"/>
      <c r="AI137" s="21"/>
      <c r="AJ137" s="22"/>
      <c r="AK137" s="22"/>
      <c r="AL137" s="21" t="str">
        <f>_xlfn.XLOOKUP(A:A,[1]TAGS!$A:$A,[1]TAGS!$BG:$BG)</f>
        <v>Não Montado</v>
      </c>
      <c r="AM137" s="21" t="s">
        <v>70</v>
      </c>
      <c r="AN137" s="22"/>
      <c r="AO137" s="22"/>
      <c r="AP137" s="21"/>
      <c r="AQ137" s="21"/>
      <c r="AR137" s="21"/>
      <c r="AS137" s="21"/>
      <c r="AT137" s="21"/>
      <c r="AU137" s="21"/>
    </row>
    <row r="138" spans="1:47" x14ac:dyDescent="0.35">
      <c r="A138" s="19" t="s">
        <v>612</v>
      </c>
      <c r="B138" s="19" t="s">
        <v>52</v>
      </c>
      <c r="C138" s="19"/>
      <c r="D138" s="19" t="s">
        <v>53</v>
      </c>
      <c r="E138" s="19" t="s">
        <v>460</v>
      </c>
      <c r="F138" s="20" t="s">
        <v>358</v>
      </c>
      <c r="G138" s="20" t="s">
        <v>359</v>
      </c>
      <c r="H138" s="19" t="s">
        <v>613</v>
      </c>
      <c r="I138" s="20" t="s">
        <v>124</v>
      </c>
      <c r="J138" s="20" t="s">
        <v>361</v>
      </c>
      <c r="K138" s="20" t="s">
        <v>614</v>
      </c>
      <c r="L138" s="19" t="s">
        <v>61</v>
      </c>
      <c r="M138" s="19" t="s">
        <v>62</v>
      </c>
      <c r="N138" s="20" t="s">
        <v>63</v>
      </c>
      <c r="O138" s="19">
        <v>21</v>
      </c>
      <c r="P138" s="19">
        <v>3.73</v>
      </c>
      <c r="Q138" s="19">
        <v>1</v>
      </c>
      <c r="R138" s="20">
        <v>19</v>
      </c>
      <c r="S138" s="19">
        <v>6.6000000000000003E-2</v>
      </c>
      <c r="T138" s="19" t="s">
        <v>64</v>
      </c>
      <c r="U138" s="19" t="s">
        <v>65</v>
      </c>
      <c r="V138" s="19" t="s">
        <v>66</v>
      </c>
      <c r="W138" s="19" t="s">
        <v>67</v>
      </c>
      <c r="X138" s="19" t="s">
        <v>68</v>
      </c>
      <c r="Y138" s="21" t="s">
        <v>463</v>
      </c>
      <c r="Z138" s="21" t="s">
        <v>602</v>
      </c>
      <c r="AA138" s="21"/>
      <c r="AB138" s="21">
        <v>3</v>
      </c>
      <c r="AC138" s="21">
        <v>77</v>
      </c>
      <c r="AD138" s="21">
        <v>8579039</v>
      </c>
      <c r="AE138" s="21">
        <v>11714960</v>
      </c>
      <c r="AF138" s="21">
        <v>100436</v>
      </c>
      <c r="AG138" s="21" t="s">
        <v>612</v>
      </c>
      <c r="AH138" s="21"/>
      <c r="AI138" s="21"/>
      <c r="AJ138" s="22"/>
      <c r="AK138" s="22"/>
      <c r="AL138" s="21" t="str">
        <f>_xlfn.XLOOKUP(A:A,[1]TAGS!$A:$A,[1]TAGS!$BG:$BG)</f>
        <v>Não Montado</v>
      </c>
      <c r="AM138" s="21" t="s">
        <v>70</v>
      </c>
      <c r="AN138" s="22"/>
      <c r="AO138" s="22"/>
      <c r="AP138" s="21"/>
      <c r="AQ138" s="21"/>
      <c r="AR138" s="21"/>
      <c r="AS138" s="21"/>
      <c r="AT138" s="21"/>
      <c r="AU138" s="21"/>
    </row>
    <row r="139" spans="1:47" x14ac:dyDescent="0.35">
      <c r="A139" s="19" t="s">
        <v>615</v>
      </c>
      <c r="B139" s="19" t="s">
        <v>52</v>
      </c>
      <c r="C139" s="19"/>
      <c r="D139" s="19" t="s">
        <v>53</v>
      </c>
      <c r="E139" s="19" t="s">
        <v>460</v>
      </c>
      <c r="F139" s="20" t="s">
        <v>300</v>
      </c>
      <c r="G139" s="20" t="s">
        <v>616</v>
      </c>
      <c r="H139" s="19" t="s">
        <v>617</v>
      </c>
      <c r="I139" s="20" t="s">
        <v>124</v>
      </c>
      <c r="J139" s="20" t="s">
        <v>618</v>
      </c>
      <c r="K139" s="20" t="s">
        <v>619</v>
      </c>
      <c r="L139" s="19" t="s">
        <v>61</v>
      </c>
      <c r="M139" s="19" t="s">
        <v>62</v>
      </c>
      <c r="N139" s="20" t="s">
        <v>63</v>
      </c>
      <c r="O139" s="19">
        <v>21</v>
      </c>
      <c r="P139" s="19">
        <v>3.73</v>
      </c>
      <c r="Q139" s="19">
        <v>1</v>
      </c>
      <c r="R139" s="20">
        <v>12</v>
      </c>
      <c r="S139" s="19">
        <v>6.6000000000000003E-2</v>
      </c>
      <c r="T139" s="19" t="s">
        <v>64</v>
      </c>
      <c r="U139" s="19" t="s">
        <v>65</v>
      </c>
      <c r="V139" s="19" t="s">
        <v>66</v>
      </c>
      <c r="W139" s="19" t="s">
        <v>67</v>
      </c>
      <c r="X139" s="19" t="s">
        <v>68</v>
      </c>
      <c r="Y139" s="21" t="s">
        <v>463</v>
      </c>
      <c r="Z139" s="21" t="s">
        <v>563</v>
      </c>
      <c r="AA139" s="21"/>
      <c r="AB139" s="21">
        <v>7</v>
      </c>
      <c r="AC139" s="21">
        <v>217</v>
      </c>
      <c r="AD139" s="21"/>
      <c r="AE139" s="21"/>
      <c r="AF139" s="21"/>
      <c r="AG139" s="21" t="s">
        <v>615</v>
      </c>
      <c r="AH139" s="21"/>
      <c r="AI139" s="21"/>
      <c r="AJ139" s="22"/>
      <c r="AK139" s="22"/>
      <c r="AL139" s="21" t="str">
        <f>_xlfn.XLOOKUP(A:A,[1]TAGS!$A:$A,[1]TAGS!$BG:$BG)</f>
        <v>Não Montado</v>
      </c>
      <c r="AM139" s="21" t="s">
        <v>70</v>
      </c>
      <c r="AN139" s="22"/>
      <c r="AO139" s="22"/>
      <c r="AP139" s="21"/>
      <c r="AQ139" s="21"/>
      <c r="AR139" s="21"/>
      <c r="AS139" s="21"/>
      <c r="AT139" s="21"/>
      <c r="AU139" s="21"/>
    </row>
    <row r="140" spans="1:47" x14ac:dyDescent="0.35">
      <c r="A140" s="19" t="s">
        <v>620</v>
      </c>
      <c r="B140" s="19" t="s">
        <v>52</v>
      </c>
      <c r="C140" s="19"/>
      <c r="D140" s="19" t="s">
        <v>53</v>
      </c>
      <c r="E140" s="19" t="s">
        <v>460</v>
      </c>
      <c r="F140" s="20" t="s">
        <v>55</v>
      </c>
      <c r="G140" s="20" t="s">
        <v>56</v>
      </c>
      <c r="H140" s="19" t="s">
        <v>621</v>
      </c>
      <c r="I140" s="20" t="s">
        <v>58</v>
      </c>
      <c r="J140" s="20" t="s">
        <v>59</v>
      </c>
      <c r="K140" s="20" t="s">
        <v>622</v>
      </c>
      <c r="L140" s="19" t="s">
        <v>61</v>
      </c>
      <c r="M140" s="19" t="s">
        <v>62</v>
      </c>
      <c r="N140" s="19" t="s">
        <v>63</v>
      </c>
      <c r="O140" s="19">
        <v>21</v>
      </c>
      <c r="P140" s="19">
        <v>3.73</v>
      </c>
      <c r="Q140" s="19">
        <v>1</v>
      </c>
      <c r="R140" s="20">
        <v>8</v>
      </c>
      <c r="S140" s="19">
        <v>6.6000000000000003E-2</v>
      </c>
      <c r="T140" s="19" t="s">
        <v>64</v>
      </c>
      <c r="U140" s="19" t="s">
        <v>65</v>
      </c>
      <c r="V140" s="19" t="s">
        <v>66</v>
      </c>
      <c r="W140" s="19" t="s">
        <v>67</v>
      </c>
      <c r="X140" s="19" t="s">
        <v>68</v>
      </c>
      <c r="Y140" s="21" t="s">
        <v>623</v>
      </c>
      <c r="Z140" s="21" t="s">
        <v>624</v>
      </c>
      <c r="AA140" s="21" t="s">
        <v>625</v>
      </c>
      <c r="AB140" s="21">
        <v>1</v>
      </c>
      <c r="AC140" s="21"/>
      <c r="AD140" s="21"/>
      <c r="AE140" s="21"/>
      <c r="AF140" s="21"/>
      <c r="AG140" s="21" t="s">
        <v>620</v>
      </c>
      <c r="AH140" s="21"/>
      <c r="AI140" s="21"/>
      <c r="AJ140" s="22"/>
      <c r="AK140" s="22"/>
      <c r="AL140" s="21" t="str">
        <f>_xlfn.XLOOKUP(A:A,[1]TAGS!$A:$A,[1]TAGS!$BG:$BG)</f>
        <v>Não Montado</v>
      </c>
      <c r="AM140" s="21" t="s">
        <v>70</v>
      </c>
      <c r="AN140" s="22"/>
      <c r="AO140" s="22"/>
      <c r="AP140" s="21"/>
      <c r="AQ140" s="21"/>
      <c r="AR140" s="21"/>
      <c r="AS140" s="21"/>
      <c r="AT140" s="21"/>
      <c r="AU140" s="21"/>
    </row>
    <row r="141" spans="1:47" x14ac:dyDescent="0.35">
      <c r="A141" s="19" t="s">
        <v>626</v>
      </c>
      <c r="B141" s="19" t="s">
        <v>52</v>
      </c>
      <c r="C141" s="19"/>
      <c r="D141" s="19" t="s">
        <v>53</v>
      </c>
      <c r="E141" s="19" t="s">
        <v>460</v>
      </c>
      <c r="F141" s="20" t="s">
        <v>55</v>
      </c>
      <c r="G141" s="20" t="s">
        <v>75</v>
      </c>
      <c r="H141" s="19" t="s">
        <v>627</v>
      </c>
      <c r="I141" s="20" t="s">
        <v>58</v>
      </c>
      <c r="J141" s="20" t="s">
        <v>77</v>
      </c>
      <c r="K141" s="20" t="s">
        <v>628</v>
      </c>
      <c r="L141" s="19" t="s">
        <v>61</v>
      </c>
      <c r="M141" s="19" t="s">
        <v>62</v>
      </c>
      <c r="N141" s="20" t="s">
        <v>63</v>
      </c>
      <c r="O141" s="19">
        <v>21</v>
      </c>
      <c r="P141" s="19">
        <v>3.73</v>
      </c>
      <c r="Q141" s="19">
        <v>1</v>
      </c>
      <c r="R141" s="20">
        <v>8</v>
      </c>
      <c r="S141" s="19">
        <v>6.6000000000000003E-2</v>
      </c>
      <c r="T141" s="19" t="s">
        <v>64</v>
      </c>
      <c r="U141" s="19" t="s">
        <v>65</v>
      </c>
      <c r="V141" s="19" t="s">
        <v>66</v>
      </c>
      <c r="W141" s="19" t="s">
        <v>67</v>
      </c>
      <c r="X141" s="19" t="s">
        <v>68</v>
      </c>
      <c r="Y141" s="21" t="s">
        <v>623</v>
      </c>
      <c r="Z141" s="21" t="s">
        <v>629</v>
      </c>
      <c r="AA141" s="21" t="s">
        <v>625</v>
      </c>
      <c r="AB141" s="21">
        <v>1</v>
      </c>
      <c r="AC141" s="21"/>
      <c r="AD141" s="21"/>
      <c r="AE141" s="21"/>
      <c r="AF141" s="21"/>
      <c r="AG141" s="21" t="s">
        <v>626</v>
      </c>
      <c r="AH141" s="21"/>
      <c r="AI141" s="21"/>
      <c r="AJ141" s="22"/>
      <c r="AK141" s="22"/>
      <c r="AL141" s="21" t="str">
        <f>_xlfn.XLOOKUP(A:A,[1]TAGS!$A:$A,[1]TAGS!$BG:$BG)</f>
        <v>Não Montado</v>
      </c>
      <c r="AM141" s="21" t="s">
        <v>70</v>
      </c>
      <c r="AN141" s="22"/>
      <c r="AO141" s="22"/>
      <c r="AP141" s="21"/>
      <c r="AQ141" s="21"/>
      <c r="AR141" s="21"/>
      <c r="AS141" s="21"/>
      <c r="AT141" s="21"/>
      <c r="AU141" s="21"/>
    </row>
    <row r="142" spans="1:47" x14ac:dyDescent="0.35">
      <c r="A142" s="19" t="s">
        <v>630</v>
      </c>
      <c r="B142" s="19" t="s">
        <v>52</v>
      </c>
      <c r="C142" s="19"/>
      <c r="D142" s="19" t="s">
        <v>53</v>
      </c>
      <c r="E142" s="19" t="s">
        <v>460</v>
      </c>
      <c r="F142" s="20" t="s">
        <v>269</v>
      </c>
      <c r="G142" s="20" t="s">
        <v>270</v>
      </c>
      <c r="H142" s="19" t="s">
        <v>631</v>
      </c>
      <c r="I142" s="20" t="s">
        <v>58</v>
      </c>
      <c r="J142" s="20" t="s">
        <v>272</v>
      </c>
      <c r="K142" s="20" t="s">
        <v>632</v>
      </c>
      <c r="L142" s="19" t="s">
        <v>61</v>
      </c>
      <c r="M142" s="19" t="s">
        <v>62</v>
      </c>
      <c r="N142" s="20" t="s">
        <v>63</v>
      </c>
      <c r="O142" s="19">
        <v>21</v>
      </c>
      <c r="P142" s="19">
        <v>3.73</v>
      </c>
      <c r="Q142" s="19">
        <v>1</v>
      </c>
      <c r="R142" s="20">
        <v>10</v>
      </c>
      <c r="S142" s="19">
        <v>6.6000000000000003E-2</v>
      </c>
      <c r="T142" s="19" t="s">
        <v>64</v>
      </c>
      <c r="U142" s="19" t="s">
        <v>65</v>
      </c>
      <c r="V142" s="19" t="s">
        <v>66</v>
      </c>
      <c r="W142" s="19" t="s">
        <v>67</v>
      </c>
      <c r="X142" s="19" t="s">
        <v>68</v>
      </c>
      <c r="Y142" s="21" t="s">
        <v>463</v>
      </c>
      <c r="Z142" s="21" t="s">
        <v>468</v>
      </c>
      <c r="AA142" s="21"/>
      <c r="AB142" s="21">
        <v>1</v>
      </c>
      <c r="AC142" s="21">
        <v>38</v>
      </c>
      <c r="AD142" s="21">
        <v>8691164</v>
      </c>
      <c r="AE142" s="21">
        <v>11868160</v>
      </c>
      <c r="AF142" s="21">
        <v>100457</v>
      </c>
      <c r="AG142" s="21" t="s">
        <v>630</v>
      </c>
      <c r="AH142" s="21"/>
      <c r="AI142" s="21"/>
      <c r="AJ142" s="22"/>
      <c r="AK142" s="22"/>
      <c r="AL142" s="21" t="str">
        <f>_xlfn.XLOOKUP(A:A,[1]TAGS!$A:$A,[1]TAGS!$BG:$BG)</f>
        <v>Não Montado</v>
      </c>
      <c r="AM142" s="21" t="s">
        <v>70</v>
      </c>
      <c r="AN142" s="22"/>
      <c r="AO142" s="22"/>
      <c r="AP142" s="21"/>
      <c r="AQ142" s="21"/>
      <c r="AR142" s="21"/>
      <c r="AS142" s="21"/>
      <c r="AT142" s="21"/>
      <c r="AU142" s="21"/>
    </row>
    <row r="143" spans="1:47" x14ac:dyDescent="0.35">
      <c r="A143" s="19" t="s">
        <v>633</v>
      </c>
      <c r="B143" s="19" t="s">
        <v>52</v>
      </c>
      <c r="C143" s="19"/>
      <c r="D143" s="19" t="s">
        <v>53</v>
      </c>
      <c r="E143" s="19" t="s">
        <v>460</v>
      </c>
      <c r="F143" s="20" t="s">
        <v>269</v>
      </c>
      <c r="G143" s="20" t="s">
        <v>270</v>
      </c>
      <c r="H143" s="19" t="s">
        <v>634</v>
      </c>
      <c r="I143" s="20" t="s">
        <v>58</v>
      </c>
      <c r="J143" s="20" t="s">
        <v>272</v>
      </c>
      <c r="K143" s="20" t="s">
        <v>635</v>
      </c>
      <c r="L143" s="19" t="s">
        <v>61</v>
      </c>
      <c r="M143" s="19" t="s">
        <v>62</v>
      </c>
      <c r="N143" s="20" t="s">
        <v>63</v>
      </c>
      <c r="O143" s="19">
        <v>21</v>
      </c>
      <c r="P143" s="19">
        <v>3.73</v>
      </c>
      <c r="Q143" s="19">
        <v>1</v>
      </c>
      <c r="R143" s="20">
        <v>13</v>
      </c>
      <c r="S143" s="19">
        <v>6.6000000000000003E-2</v>
      </c>
      <c r="T143" s="19" t="s">
        <v>64</v>
      </c>
      <c r="U143" s="19" t="s">
        <v>65</v>
      </c>
      <c r="V143" s="19" t="s">
        <v>66</v>
      </c>
      <c r="W143" s="19" t="s">
        <v>67</v>
      </c>
      <c r="X143" s="19" t="s">
        <v>68</v>
      </c>
      <c r="Y143" s="21" t="s">
        <v>463</v>
      </c>
      <c r="Z143" s="21" t="s">
        <v>464</v>
      </c>
      <c r="AA143" s="21"/>
      <c r="AB143" s="21">
        <v>5</v>
      </c>
      <c r="AC143" s="21">
        <v>94</v>
      </c>
      <c r="AD143" s="21">
        <v>8692441</v>
      </c>
      <c r="AE143" s="21">
        <v>11850290</v>
      </c>
      <c r="AF143" s="21">
        <v>100450</v>
      </c>
      <c r="AG143" s="21" t="s">
        <v>633</v>
      </c>
      <c r="AH143" s="21"/>
      <c r="AI143" s="21"/>
      <c r="AJ143" s="22"/>
      <c r="AK143" s="22"/>
      <c r="AL143" s="21" t="str">
        <f>_xlfn.XLOOKUP(A:A,[1]TAGS!$A:$A,[1]TAGS!$BG:$BG)</f>
        <v>Não Montado</v>
      </c>
      <c r="AM143" s="21" t="s">
        <v>70</v>
      </c>
      <c r="AN143" s="22"/>
      <c r="AO143" s="22"/>
      <c r="AP143" s="21"/>
      <c r="AQ143" s="21"/>
      <c r="AR143" s="21"/>
      <c r="AS143" s="21"/>
      <c r="AT143" s="21"/>
      <c r="AU143" s="21"/>
    </row>
    <row r="144" spans="1:47" x14ac:dyDescent="0.35">
      <c r="A144" s="19" t="s">
        <v>636</v>
      </c>
      <c r="B144" s="19" t="s">
        <v>52</v>
      </c>
      <c r="C144" s="19"/>
      <c r="D144" s="19" t="s">
        <v>53</v>
      </c>
      <c r="E144" s="19" t="s">
        <v>460</v>
      </c>
      <c r="F144" s="20" t="s">
        <v>269</v>
      </c>
      <c r="G144" s="20" t="s">
        <v>270</v>
      </c>
      <c r="H144" s="19" t="s">
        <v>637</v>
      </c>
      <c r="I144" s="20" t="s">
        <v>58</v>
      </c>
      <c r="J144" s="20" t="s">
        <v>272</v>
      </c>
      <c r="K144" s="20" t="s">
        <v>638</v>
      </c>
      <c r="L144" s="19" t="s">
        <v>61</v>
      </c>
      <c r="M144" s="19" t="s">
        <v>62</v>
      </c>
      <c r="N144" s="20" t="s">
        <v>63</v>
      </c>
      <c r="O144" s="19">
        <v>21</v>
      </c>
      <c r="P144" s="19">
        <v>3.73</v>
      </c>
      <c r="Q144" s="19">
        <v>1</v>
      </c>
      <c r="R144" s="20">
        <v>16</v>
      </c>
      <c r="S144" s="19">
        <v>6.6000000000000003E-2</v>
      </c>
      <c r="T144" s="19" t="s">
        <v>64</v>
      </c>
      <c r="U144" s="19" t="s">
        <v>65</v>
      </c>
      <c r="V144" s="19" t="s">
        <v>66</v>
      </c>
      <c r="W144" s="19" t="s">
        <v>67</v>
      </c>
      <c r="X144" s="19" t="s">
        <v>68</v>
      </c>
      <c r="Y144" s="21" t="s">
        <v>463</v>
      </c>
      <c r="Z144" s="21" t="s">
        <v>559</v>
      </c>
      <c r="AA144" s="21"/>
      <c r="AB144" s="21">
        <v>2</v>
      </c>
      <c r="AC144" s="21">
        <v>88</v>
      </c>
      <c r="AD144" s="21">
        <v>8580162</v>
      </c>
      <c r="AE144" s="21">
        <v>11804470</v>
      </c>
      <c r="AF144" s="21">
        <v>100450</v>
      </c>
      <c r="AG144" s="21" t="s">
        <v>636</v>
      </c>
      <c r="AH144" s="21"/>
      <c r="AI144" s="21"/>
      <c r="AJ144" s="22"/>
      <c r="AK144" s="22"/>
      <c r="AL144" s="21" t="str">
        <f>_xlfn.XLOOKUP(A:A,[1]TAGS!$A:$A,[1]TAGS!$BG:$BG)</f>
        <v>Não Montado</v>
      </c>
      <c r="AM144" s="21" t="s">
        <v>70</v>
      </c>
      <c r="AN144" s="22"/>
      <c r="AO144" s="22"/>
      <c r="AP144" s="21"/>
      <c r="AQ144" s="21"/>
      <c r="AR144" s="21"/>
      <c r="AS144" s="21"/>
      <c r="AT144" s="21"/>
      <c r="AU144" s="21"/>
    </row>
    <row r="145" spans="1:47" x14ac:dyDescent="0.35">
      <c r="A145" s="19" t="s">
        <v>639</v>
      </c>
      <c r="B145" s="19" t="s">
        <v>52</v>
      </c>
      <c r="C145" s="19"/>
      <c r="D145" s="19" t="s">
        <v>53</v>
      </c>
      <c r="E145" s="19" t="s">
        <v>460</v>
      </c>
      <c r="F145" s="20" t="s">
        <v>269</v>
      </c>
      <c r="G145" s="20" t="s">
        <v>270</v>
      </c>
      <c r="H145" s="19" t="s">
        <v>640</v>
      </c>
      <c r="I145" s="20" t="s">
        <v>58</v>
      </c>
      <c r="J145" s="20" t="s">
        <v>272</v>
      </c>
      <c r="K145" s="20" t="s">
        <v>641</v>
      </c>
      <c r="L145" s="19" t="s">
        <v>61</v>
      </c>
      <c r="M145" s="19" t="s">
        <v>62</v>
      </c>
      <c r="N145" s="20" t="s">
        <v>63</v>
      </c>
      <c r="O145" s="19">
        <v>21</v>
      </c>
      <c r="P145" s="19">
        <v>3.73</v>
      </c>
      <c r="Q145" s="19">
        <v>1</v>
      </c>
      <c r="R145" s="20">
        <v>13</v>
      </c>
      <c r="S145" s="19">
        <v>6.6000000000000003E-2</v>
      </c>
      <c r="T145" s="19" t="s">
        <v>64</v>
      </c>
      <c r="U145" s="19" t="s">
        <v>65</v>
      </c>
      <c r="V145" s="19" t="s">
        <v>66</v>
      </c>
      <c r="W145" s="19" t="s">
        <v>67</v>
      </c>
      <c r="X145" s="19" t="s">
        <v>68</v>
      </c>
      <c r="Y145" s="21" t="s">
        <v>463</v>
      </c>
      <c r="Z145" s="21" t="s">
        <v>488</v>
      </c>
      <c r="AA145" s="21"/>
      <c r="AB145" s="21">
        <v>2</v>
      </c>
      <c r="AC145" s="21">
        <v>12</v>
      </c>
      <c r="AD145" s="21">
        <v>8716149</v>
      </c>
      <c r="AE145" s="21">
        <v>11874320</v>
      </c>
      <c r="AF145" s="21">
        <v>100677</v>
      </c>
      <c r="AG145" s="21" t="s">
        <v>639</v>
      </c>
      <c r="AH145" s="21"/>
      <c r="AI145" s="21"/>
      <c r="AJ145" s="22"/>
      <c r="AK145" s="22"/>
      <c r="AL145" s="21" t="str">
        <f>_xlfn.XLOOKUP(A:A,[1]TAGS!$A:$A,[1]TAGS!$BG:$BG)</f>
        <v>Não Montado</v>
      </c>
      <c r="AM145" s="21" t="s">
        <v>70</v>
      </c>
      <c r="AN145" s="22"/>
      <c r="AO145" s="22"/>
      <c r="AP145" s="21"/>
      <c r="AQ145" s="21"/>
      <c r="AR145" s="21"/>
      <c r="AS145" s="21"/>
      <c r="AT145" s="21"/>
      <c r="AU145" s="21"/>
    </row>
    <row r="146" spans="1:47" x14ac:dyDescent="0.35">
      <c r="A146" s="19" t="s">
        <v>642</v>
      </c>
      <c r="B146" s="19" t="s">
        <v>52</v>
      </c>
      <c r="C146" s="19"/>
      <c r="D146" s="19" t="s">
        <v>53</v>
      </c>
      <c r="E146" s="19" t="s">
        <v>460</v>
      </c>
      <c r="F146" s="20" t="s">
        <v>269</v>
      </c>
      <c r="G146" s="20" t="s">
        <v>270</v>
      </c>
      <c r="H146" s="19" t="s">
        <v>643</v>
      </c>
      <c r="I146" s="20" t="s">
        <v>58</v>
      </c>
      <c r="J146" s="20" t="s">
        <v>272</v>
      </c>
      <c r="K146" s="20" t="s">
        <v>644</v>
      </c>
      <c r="L146" s="19" t="s">
        <v>61</v>
      </c>
      <c r="M146" s="19" t="s">
        <v>62</v>
      </c>
      <c r="N146" s="20" t="s">
        <v>63</v>
      </c>
      <c r="O146" s="19">
        <v>21</v>
      </c>
      <c r="P146" s="19">
        <v>3.73</v>
      </c>
      <c r="Q146" s="19">
        <v>1</v>
      </c>
      <c r="R146" s="20">
        <v>8</v>
      </c>
      <c r="S146" s="19">
        <v>6.6000000000000003E-2</v>
      </c>
      <c r="T146" s="19" t="s">
        <v>64</v>
      </c>
      <c r="U146" s="19" t="s">
        <v>65</v>
      </c>
      <c r="V146" s="19" t="s">
        <v>66</v>
      </c>
      <c r="W146" s="19" t="s">
        <v>67</v>
      </c>
      <c r="X146" s="19" t="s">
        <v>68</v>
      </c>
      <c r="Y146" s="21" t="s">
        <v>463</v>
      </c>
      <c r="Z146" s="21" t="s">
        <v>506</v>
      </c>
      <c r="AA146" s="21"/>
      <c r="AB146" s="21">
        <v>4</v>
      </c>
      <c r="AC146" s="21">
        <v>15</v>
      </c>
      <c r="AD146" s="21">
        <v>8603149</v>
      </c>
      <c r="AE146" s="21">
        <v>11865320</v>
      </c>
      <c r="AF146" s="21">
        <v>100678</v>
      </c>
      <c r="AG146" s="21" t="s">
        <v>642</v>
      </c>
      <c r="AH146" s="21"/>
      <c r="AI146" s="21"/>
      <c r="AJ146" s="22"/>
      <c r="AK146" s="22"/>
      <c r="AL146" s="21" t="str">
        <f>_xlfn.XLOOKUP(A:A,[1]TAGS!$A:$A,[1]TAGS!$BG:$BG)</f>
        <v>Não Montado</v>
      </c>
      <c r="AM146" s="21" t="s">
        <v>70</v>
      </c>
      <c r="AN146" s="22"/>
      <c r="AO146" s="22"/>
      <c r="AP146" s="21"/>
      <c r="AQ146" s="21"/>
      <c r="AR146" s="21"/>
      <c r="AS146" s="21"/>
      <c r="AT146" s="21"/>
      <c r="AU146" s="21"/>
    </row>
    <row r="147" spans="1:47" x14ac:dyDescent="0.35">
      <c r="A147" s="19" t="s">
        <v>645</v>
      </c>
      <c r="B147" s="19" t="s">
        <v>52</v>
      </c>
      <c r="C147" s="19"/>
      <c r="D147" s="19" t="s">
        <v>53</v>
      </c>
      <c r="E147" s="19" t="s">
        <v>460</v>
      </c>
      <c r="F147" s="20" t="s">
        <v>89</v>
      </c>
      <c r="G147" s="20" t="s">
        <v>90</v>
      </c>
      <c r="H147" s="19" t="s">
        <v>646</v>
      </c>
      <c r="I147" s="20" t="s">
        <v>58</v>
      </c>
      <c r="J147" s="20" t="s">
        <v>92</v>
      </c>
      <c r="K147" s="20" t="s">
        <v>647</v>
      </c>
      <c r="L147" s="19" t="s">
        <v>61</v>
      </c>
      <c r="M147" s="19" t="s">
        <v>62</v>
      </c>
      <c r="N147" s="20" t="s">
        <v>63</v>
      </c>
      <c r="O147" s="19">
        <v>21</v>
      </c>
      <c r="P147" s="19">
        <v>3.73</v>
      </c>
      <c r="Q147" s="19">
        <v>1</v>
      </c>
      <c r="R147" s="20">
        <v>6</v>
      </c>
      <c r="S147" s="19">
        <v>6.6000000000000003E-2</v>
      </c>
      <c r="T147" s="19" t="s">
        <v>64</v>
      </c>
      <c r="U147" s="19" t="s">
        <v>65</v>
      </c>
      <c r="V147" s="19" t="s">
        <v>66</v>
      </c>
      <c r="W147" s="19" t="s">
        <v>67</v>
      </c>
      <c r="X147" s="19" t="s">
        <v>68</v>
      </c>
      <c r="Y147" s="21" t="s">
        <v>463</v>
      </c>
      <c r="Z147" s="21" t="s">
        <v>573</v>
      </c>
      <c r="AA147" s="21"/>
      <c r="AB147" s="21">
        <v>7</v>
      </c>
      <c r="AC147" s="21">
        <v>109</v>
      </c>
      <c r="AD147" s="21">
        <v>8572234</v>
      </c>
      <c r="AE147" s="21">
        <v>11762490</v>
      </c>
      <c r="AF147" s="21">
        <v>105450</v>
      </c>
      <c r="AG147" s="21" t="s">
        <v>645</v>
      </c>
      <c r="AH147" s="21"/>
      <c r="AI147" s="21"/>
      <c r="AJ147" s="22"/>
      <c r="AK147" s="22"/>
      <c r="AL147" s="21" t="str">
        <f>_xlfn.XLOOKUP(A:A,[1]TAGS!$A:$A,[1]TAGS!$BG:$BG)</f>
        <v>Não Montado</v>
      </c>
      <c r="AM147" s="21" t="s">
        <v>70</v>
      </c>
      <c r="AN147" s="22"/>
      <c r="AO147" s="22"/>
      <c r="AP147" s="21"/>
      <c r="AQ147" s="21"/>
      <c r="AR147" s="21"/>
      <c r="AS147" s="21"/>
      <c r="AT147" s="21"/>
      <c r="AU147" s="21"/>
    </row>
    <row r="148" spans="1:47" x14ac:dyDescent="0.35">
      <c r="A148" s="19" t="s">
        <v>648</v>
      </c>
      <c r="B148" s="19" t="s">
        <v>52</v>
      </c>
      <c r="C148" s="19"/>
      <c r="D148" s="19" t="s">
        <v>53</v>
      </c>
      <c r="E148" s="19" t="s">
        <v>460</v>
      </c>
      <c r="F148" s="20" t="s">
        <v>233</v>
      </c>
      <c r="G148" s="20" t="s">
        <v>234</v>
      </c>
      <c r="H148" s="19" t="s">
        <v>649</v>
      </c>
      <c r="I148" s="20" t="s">
        <v>58</v>
      </c>
      <c r="J148" s="20" t="s">
        <v>236</v>
      </c>
      <c r="K148" s="20" t="s">
        <v>650</v>
      </c>
      <c r="L148" s="19" t="s">
        <v>61</v>
      </c>
      <c r="M148" s="19" t="s">
        <v>62</v>
      </c>
      <c r="N148" s="20" t="s">
        <v>63</v>
      </c>
      <c r="O148" s="19">
        <v>21</v>
      </c>
      <c r="P148" s="19">
        <v>3.73</v>
      </c>
      <c r="Q148" s="19">
        <v>1</v>
      </c>
      <c r="R148" s="20">
        <v>15</v>
      </c>
      <c r="S148" s="19">
        <v>6.6000000000000003E-2</v>
      </c>
      <c r="T148" s="19" t="s">
        <v>64</v>
      </c>
      <c r="U148" s="19" t="s">
        <v>65</v>
      </c>
      <c r="V148" s="19" t="s">
        <v>66</v>
      </c>
      <c r="W148" s="19" t="s">
        <v>67</v>
      </c>
      <c r="X148" s="19" t="s">
        <v>68</v>
      </c>
      <c r="Y148" s="21" t="s">
        <v>463</v>
      </c>
      <c r="Z148" s="21" t="s">
        <v>602</v>
      </c>
      <c r="AA148" s="21"/>
      <c r="AB148" s="21">
        <v>1</v>
      </c>
      <c r="AC148" s="21">
        <v>54</v>
      </c>
      <c r="AD148" s="21">
        <v>8577221</v>
      </c>
      <c r="AE148" s="21">
        <v>11714480</v>
      </c>
      <c r="AF148" s="21">
        <v>100604</v>
      </c>
      <c r="AG148" s="21" t="s">
        <v>648</v>
      </c>
      <c r="AH148" s="21"/>
      <c r="AI148" s="21"/>
      <c r="AJ148" s="22"/>
      <c r="AK148" s="22"/>
      <c r="AL148" s="21" t="str">
        <f>_xlfn.XLOOKUP(A:A,[1]TAGS!$A:$A,[1]TAGS!$BG:$BG)</f>
        <v>Não Montado</v>
      </c>
      <c r="AM148" s="21" t="s">
        <v>70</v>
      </c>
      <c r="AN148" s="22"/>
      <c r="AO148" s="22"/>
      <c r="AP148" s="21"/>
      <c r="AQ148" s="21"/>
      <c r="AR148" s="21"/>
      <c r="AS148" s="21"/>
      <c r="AT148" s="21"/>
      <c r="AU148" s="21"/>
    </row>
    <row r="149" spans="1:47" x14ac:dyDescent="0.35">
      <c r="A149" s="19" t="s">
        <v>651</v>
      </c>
      <c r="B149" s="19" t="s">
        <v>52</v>
      </c>
      <c r="C149" s="19"/>
      <c r="D149" s="19" t="s">
        <v>53</v>
      </c>
      <c r="E149" s="19" t="s">
        <v>460</v>
      </c>
      <c r="F149" s="20" t="s">
        <v>248</v>
      </c>
      <c r="G149" s="20" t="s">
        <v>249</v>
      </c>
      <c r="H149" s="19" t="s">
        <v>652</v>
      </c>
      <c r="I149" s="20" t="s">
        <v>58</v>
      </c>
      <c r="J149" s="20" t="s">
        <v>251</v>
      </c>
      <c r="K149" s="20" t="s">
        <v>653</v>
      </c>
      <c r="L149" s="19" t="s">
        <v>61</v>
      </c>
      <c r="M149" s="19" t="s">
        <v>62</v>
      </c>
      <c r="N149" s="20" t="s">
        <v>63</v>
      </c>
      <c r="O149" s="19">
        <v>21</v>
      </c>
      <c r="P149" s="19">
        <v>3.73</v>
      </c>
      <c r="Q149" s="19">
        <v>1</v>
      </c>
      <c r="R149" s="20">
        <v>13</v>
      </c>
      <c r="S149" s="19">
        <v>6.6000000000000003E-2</v>
      </c>
      <c r="T149" s="19" t="s">
        <v>64</v>
      </c>
      <c r="U149" s="19" t="s">
        <v>65</v>
      </c>
      <c r="V149" s="19" t="s">
        <v>66</v>
      </c>
      <c r="W149" s="19" t="s">
        <v>67</v>
      </c>
      <c r="X149" s="19" t="s">
        <v>68</v>
      </c>
      <c r="Y149" s="21" t="s">
        <v>463</v>
      </c>
      <c r="Z149" s="21" t="s">
        <v>488</v>
      </c>
      <c r="AA149" s="21"/>
      <c r="AB149" s="21">
        <v>6</v>
      </c>
      <c r="AC149" s="21">
        <v>30</v>
      </c>
      <c r="AD149" s="21">
        <v>8701961</v>
      </c>
      <c r="AE149" s="21">
        <v>11884320</v>
      </c>
      <c r="AF149" s="21">
        <v>100709</v>
      </c>
      <c r="AG149" s="21" t="s">
        <v>651</v>
      </c>
      <c r="AH149" s="21"/>
      <c r="AI149" s="21"/>
      <c r="AJ149" s="22"/>
      <c r="AK149" s="22"/>
      <c r="AL149" s="21" t="str">
        <f>_xlfn.XLOOKUP(A:A,[1]TAGS!$A:$A,[1]TAGS!$BG:$BG)</f>
        <v>Não Montado</v>
      </c>
      <c r="AM149" s="21" t="s">
        <v>70</v>
      </c>
      <c r="AN149" s="22"/>
      <c r="AO149" s="22"/>
      <c r="AP149" s="21"/>
      <c r="AQ149" s="21"/>
      <c r="AR149" s="21"/>
      <c r="AS149" s="21"/>
      <c r="AT149" s="21"/>
      <c r="AU149" s="21"/>
    </row>
    <row r="150" spans="1:47" x14ac:dyDescent="0.35">
      <c r="A150" s="19" t="s">
        <v>654</v>
      </c>
      <c r="B150" s="19" t="s">
        <v>52</v>
      </c>
      <c r="C150" s="19"/>
      <c r="D150" s="19" t="s">
        <v>53</v>
      </c>
      <c r="E150" s="19" t="s">
        <v>460</v>
      </c>
      <c r="F150" s="20" t="s">
        <v>141</v>
      </c>
      <c r="G150" s="20" t="s">
        <v>142</v>
      </c>
      <c r="H150" s="19" t="s">
        <v>655</v>
      </c>
      <c r="I150" s="20" t="s">
        <v>58</v>
      </c>
      <c r="J150" s="20" t="s">
        <v>144</v>
      </c>
      <c r="K150" s="20" t="s">
        <v>656</v>
      </c>
      <c r="L150" s="19" t="s">
        <v>61</v>
      </c>
      <c r="M150" s="19" t="s">
        <v>62</v>
      </c>
      <c r="N150" s="20" t="s">
        <v>63</v>
      </c>
      <c r="O150" s="19">
        <v>21</v>
      </c>
      <c r="P150" s="19">
        <v>3.73</v>
      </c>
      <c r="Q150" s="19">
        <v>1</v>
      </c>
      <c r="R150" s="20">
        <v>12</v>
      </c>
      <c r="S150" s="19">
        <v>6.6000000000000003E-2</v>
      </c>
      <c r="T150" s="19" t="s">
        <v>64</v>
      </c>
      <c r="U150" s="19" t="s">
        <v>65</v>
      </c>
      <c r="V150" s="19" t="s">
        <v>66</v>
      </c>
      <c r="W150" s="19" t="s">
        <v>67</v>
      </c>
      <c r="X150" s="19" t="s">
        <v>68</v>
      </c>
      <c r="Y150" s="21" t="s">
        <v>463</v>
      </c>
      <c r="Z150" s="21" t="s">
        <v>548</v>
      </c>
      <c r="AA150" s="21"/>
      <c r="AB150" s="21">
        <v>3</v>
      </c>
      <c r="AC150" s="21">
        <v>34</v>
      </c>
      <c r="AD150" s="21">
        <v>8591662</v>
      </c>
      <c r="AE150" s="21">
        <v>11807040</v>
      </c>
      <c r="AF150" s="21">
        <v>100696</v>
      </c>
      <c r="AG150" s="21" t="s">
        <v>654</v>
      </c>
      <c r="AH150" s="21"/>
      <c r="AI150" s="21"/>
      <c r="AJ150" s="22"/>
      <c r="AK150" s="22"/>
      <c r="AL150" s="21" t="str">
        <f>_xlfn.XLOOKUP(A:A,[1]TAGS!$A:$A,[1]TAGS!$BG:$BG)</f>
        <v>Não Montado</v>
      </c>
      <c r="AM150" s="21" t="s">
        <v>70</v>
      </c>
      <c r="AN150" s="22"/>
      <c r="AO150" s="22"/>
      <c r="AP150" s="21"/>
      <c r="AQ150" s="21"/>
      <c r="AR150" s="21"/>
      <c r="AS150" s="21"/>
      <c r="AT150" s="21"/>
      <c r="AU150" s="21"/>
    </row>
    <row r="151" spans="1:47" x14ac:dyDescent="0.35">
      <c r="A151" s="19" t="s">
        <v>657</v>
      </c>
      <c r="B151" s="19" t="s">
        <v>52</v>
      </c>
      <c r="C151" s="19"/>
      <c r="D151" s="19" t="s">
        <v>53</v>
      </c>
      <c r="E151" s="19" t="s">
        <v>460</v>
      </c>
      <c r="F151" s="20" t="s">
        <v>141</v>
      </c>
      <c r="G151" s="20" t="s">
        <v>142</v>
      </c>
      <c r="H151" s="19" t="s">
        <v>658</v>
      </c>
      <c r="I151" s="20" t="s">
        <v>58</v>
      </c>
      <c r="J151" s="20" t="s">
        <v>144</v>
      </c>
      <c r="K151" s="20" t="s">
        <v>659</v>
      </c>
      <c r="L151" s="19" t="s">
        <v>61</v>
      </c>
      <c r="M151" s="19" t="s">
        <v>62</v>
      </c>
      <c r="N151" s="20" t="s">
        <v>63</v>
      </c>
      <c r="O151" s="19">
        <v>21</v>
      </c>
      <c r="P151" s="19">
        <v>3.73</v>
      </c>
      <c r="Q151" s="19">
        <v>1</v>
      </c>
      <c r="R151" s="20">
        <v>14</v>
      </c>
      <c r="S151" s="19">
        <v>6.6000000000000003E-2</v>
      </c>
      <c r="T151" s="19" t="s">
        <v>64</v>
      </c>
      <c r="U151" s="19" t="s">
        <v>65</v>
      </c>
      <c r="V151" s="19" t="s">
        <v>66</v>
      </c>
      <c r="W151" s="19" t="s">
        <v>67</v>
      </c>
      <c r="X151" s="19" t="s">
        <v>68</v>
      </c>
      <c r="Y151" s="21" t="s">
        <v>463</v>
      </c>
      <c r="Z151" s="21" t="s">
        <v>548</v>
      </c>
      <c r="AA151" s="21"/>
      <c r="AB151" s="21">
        <v>4</v>
      </c>
      <c r="AC151" s="21">
        <v>35</v>
      </c>
      <c r="AD151" s="21">
        <v>8591662</v>
      </c>
      <c r="AE151" s="21">
        <v>11787200</v>
      </c>
      <c r="AF151" s="21">
        <v>100696</v>
      </c>
      <c r="AG151" s="21" t="s">
        <v>657</v>
      </c>
      <c r="AH151" s="21"/>
      <c r="AI151" s="21"/>
      <c r="AJ151" s="22"/>
      <c r="AK151" s="22"/>
      <c r="AL151" s="21" t="str">
        <f>_xlfn.XLOOKUP(A:A,[1]TAGS!$A:$A,[1]TAGS!$BG:$BG)</f>
        <v>Não Montado</v>
      </c>
      <c r="AM151" s="21" t="s">
        <v>70</v>
      </c>
      <c r="AN151" s="22"/>
      <c r="AO151" s="22"/>
      <c r="AP151" s="21"/>
      <c r="AQ151" s="21"/>
      <c r="AR151" s="21"/>
      <c r="AS151" s="21"/>
      <c r="AT151" s="21"/>
      <c r="AU151" s="21"/>
    </row>
    <row r="152" spans="1:47" x14ac:dyDescent="0.35">
      <c r="A152" s="19" t="s">
        <v>660</v>
      </c>
      <c r="B152" s="19" t="s">
        <v>52</v>
      </c>
      <c r="C152" s="19"/>
      <c r="D152" s="19" t="s">
        <v>53</v>
      </c>
      <c r="E152" s="19" t="s">
        <v>460</v>
      </c>
      <c r="F152" s="20" t="s">
        <v>224</v>
      </c>
      <c r="G152" s="20" t="s">
        <v>225</v>
      </c>
      <c r="H152" s="19" t="s">
        <v>661</v>
      </c>
      <c r="I152" s="20" t="s">
        <v>58</v>
      </c>
      <c r="J152" s="20" t="s">
        <v>227</v>
      </c>
      <c r="K152" s="20" t="s">
        <v>662</v>
      </c>
      <c r="L152" s="19" t="s">
        <v>61</v>
      </c>
      <c r="M152" s="19" t="s">
        <v>62</v>
      </c>
      <c r="N152" s="20" t="s">
        <v>63</v>
      </c>
      <c r="O152" s="19">
        <v>21</v>
      </c>
      <c r="P152" s="19">
        <v>3.73</v>
      </c>
      <c r="Q152" s="19">
        <v>1</v>
      </c>
      <c r="R152" s="20">
        <v>7</v>
      </c>
      <c r="S152" s="19">
        <v>6.6000000000000003E-2</v>
      </c>
      <c r="T152" s="19" t="s">
        <v>64</v>
      </c>
      <c r="U152" s="19" t="s">
        <v>65</v>
      </c>
      <c r="V152" s="19" t="s">
        <v>66</v>
      </c>
      <c r="W152" s="19" t="s">
        <v>67</v>
      </c>
      <c r="X152" s="19" t="s">
        <v>68</v>
      </c>
      <c r="Y152" s="21" t="s">
        <v>463</v>
      </c>
      <c r="Z152" s="21" t="s">
        <v>532</v>
      </c>
      <c r="AA152" s="21"/>
      <c r="AB152" s="21">
        <v>7</v>
      </c>
      <c r="AC152" s="21">
        <v>117</v>
      </c>
      <c r="AD152" s="21">
        <v>8586326</v>
      </c>
      <c r="AE152" s="21">
        <v>11748840</v>
      </c>
      <c r="AF152" s="21">
        <v>121225</v>
      </c>
      <c r="AG152" s="21" t="s">
        <v>660</v>
      </c>
      <c r="AH152" s="21"/>
      <c r="AI152" s="21"/>
      <c r="AJ152" s="22"/>
      <c r="AK152" s="22"/>
      <c r="AL152" s="21" t="str">
        <f>_xlfn.XLOOKUP(A:A,[1]TAGS!$A:$A,[1]TAGS!$BG:$BG)</f>
        <v>Não Montado</v>
      </c>
      <c r="AM152" s="21" t="s">
        <v>70</v>
      </c>
      <c r="AN152" s="22"/>
      <c r="AO152" s="22"/>
      <c r="AP152" s="21"/>
      <c r="AQ152" s="21"/>
      <c r="AR152" s="21"/>
      <c r="AS152" s="21"/>
      <c r="AT152" s="21"/>
      <c r="AU152" s="21"/>
    </row>
    <row r="153" spans="1:47" x14ac:dyDescent="0.35">
      <c r="A153" s="19" t="s">
        <v>663</v>
      </c>
      <c r="B153" s="19" t="s">
        <v>52</v>
      </c>
      <c r="C153" s="19"/>
      <c r="D153" s="19" t="s">
        <v>53</v>
      </c>
      <c r="E153" s="19" t="s">
        <v>460</v>
      </c>
      <c r="F153" s="20" t="s">
        <v>664</v>
      </c>
      <c r="G153" s="20" t="s">
        <v>665</v>
      </c>
      <c r="H153" s="19" t="s">
        <v>666</v>
      </c>
      <c r="I153" s="20" t="s">
        <v>58</v>
      </c>
      <c r="J153" s="20" t="s">
        <v>667</v>
      </c>
      <c r="K153" s="20" t="s">
        <v>668</v>
      </c>
      <c r="L153" s="19" t="s">
        <v>61</v>
      </c>
      <c r="M153" s="19" t="s">
        <v>62</v>
      </c>
      <c r="N153" s="20" t="s">
        <v>63</v>
      </c>
      <c r="O153" s="19">
        <v>21</v>
      </c>
      <c r="P153" s="19">
        <v>3.73</v>
      </c>
      <c r="Q153" s="19">
        <v>1</v>
      </c>
      <c r="R153" s="20">
        <v>5</v>
      </c>
      <c r="S153" s="19">
        <v>6.6000000000000003E-2</v>
      </c>
      <c r="T153" s="19" t="s">
        <v>64</v>
      </c>
      <c r="U153" s="19" t="s">
        <v>65</v>
      </c>
      <c r="V153" s="19" t="s">
        <v>66</v>
      </c>
      <c r="W153" s="19" t="s">
        <v>67</v>
      </c>
      <c r="X153" s="19" t="s">
        <v>68</v>
      </c>
      <c r="Y153" s="21" t="s">
        <v>463</v>
      </c>
      <c r="Z153" s="21" t="s">
        <v>532</v>
      </c>
      <c r="AA153" s="21"/>
      <c r="AB153" s="21">
        <v>8</v>
      </c>
      <c r="AC153" s="21">
        <v>118</v>
      </c>
      <c r="AD153" s="21">
        <v>8586326</v>
      </c>
      <c r="AE153" s="21">
        <v>11746570</v>
      </c>
      <c r="AF153" s="21">
        <v>121225</v>
      </c>
      <c r="AG153" s="21" t="s">
        <v>663</v>
      </c>
      <c r="AH153" s="21"/>
      <c r="AI153" s="21"/>
      <c r="AJ153" s="22"/>
      <c r="AK153" s="22"/>
      <c r="AL153" s="21" t="str">
        <f>_xlfn.XLOOKUP(A:A,[1]TAGS!$A:$A,[1]TAGS!$BG:$BG)</f>
        <v>Não Montado</v>
      </c>
      <c r="AM153" s="21" t="s">
        <v>70</v>
      </c>
      <c r="AN153" s="22"/>
      <c r="AO153" s="22"/>
      <c r="AP153" s="21"/>
      <c r="AQ153" s="21"/>
      <c r="AR153" s="21"/>
      <c r="AS153" s="21"/>
      <c r="AT153" s="21"/>
      <c r="AU153" s="21"/>
    </row>
    <row r="154" spans="1:47" ht="29" x14ac:dyDescent="0.35">
      <c r="A154" s="19" t="s">
        <v>669</v>
      </c>
      <c r="B154" s="19" t="s">
        <v>52</v>
      </c>
      <c r="C154" s="19"/>
      <c r="D154" s="19" t="s">
        <v>53</v>
      </c>
      <c r="E154" s="19" t="s">
        <v>460</v>
      </c>
      <c r="F154" s="20" t="s">
        <v>578</v>
      </c>
      <c r="G154" s="20" t="s">
        <v>670</v>
      </c>
      <c r="H154" s="19" t="s">
        <v>671</v>
      </c>
      <c r="I154" s="20" t="s">
        <v>58</v>
      </c>
      <c r="J154" s="23" t="s">
        <v>672</v>
      </c>
      <c r="K154" s="20" t="s">
        <v>673</v>
      </c>
      <c r="L154" s="19" t="s">
        <v>61</v>
      </c>
      <c r="M154" s="19" t="s">
        <v>62</v>
      </c>
      <c r="N154" s="20" t="s">
        <v>63</v>
      </c>
      <c r="O154" s="19">
        <v>21</v>
      </c>
      <c r="P154" s="19">
        <v>3.73</v>
      </c>
      <c r="Q154" s="19">
        <v>1</v>
      </c>
      <c r="R154" s="20">
        <v>8</v>
      </c>
      <c r="S154" s="19">
        <v>6.6000000000000003E-2</v>
      </c>
      <c r="T154" s="19" t="s">
        <v>64</v>
      </c>
      <c r="U154" s="19" t="s">
        <v>65</v>
      </c>
      <c r="V154" s="19" t="s">
        <v>66</v>
      </c>
      <c r="W154" s="19" t="s">
        <v>67</v>
      </c>
      <c r="X154" s="19" t="s">
        <v>68</v>
      </c>
      <c r="Y154" s="21" t="s">
        <v>463</v>
      </c>
      <c r="Z154" s="21" t="s">
        <v>563</v>
      </c>
      <c r="AA154" s="21"/>
      <c r="AB154" s="21">
        <v>5</v>
      </c>
      <c r="AC154" s="21">
        <v>82</v>
      </c>
      <c r="AD154" s="21">
        <v>8564976</v>
      </c>
      <c r="AE154" s="21">
        <v>11732370</v>
      </c>
      <c r="AF154" s="21">
        <v>105300</v>
      </c>
      <c r="AG154" s="21" t="s">
        <v>669</v>
      </c>
      <c r="AH154" s="21"/>
      <c r="AI154" s="21"/>
      <c r="AJ154" s="22"/>
      <c r="AK154" s="22"/>
      <c r="AL154" s="21" t="str">
        <f>_xlfn.XLOOKUP(A:A,[1]TAGS!$A:$A,[1]TAGS!$BG:$BG)</f>
        <v>Não Montado</v>
      </c>
      <c r="AM154" s="21" t="s">
        <v>70</v>
      </c>
      <c r="AN154" s="22"/>
      <c r="AO154" s="22"/>
      <c r="AP154" s="21"/>
      <c r="AQ154" s="21"/>
      <c r="AR154" s="21"/>
      <c r="AS154" s="21"/>
      <c r="AT154" s="21"/>
      <c r="AU154" s="21"/>
    </row>
    <row r="155" spans="1:47" x14ac:dyDescent="0.35">
      <c r="A155" s="19" t="s">
        <v>674</v>
      </c>
      <c r="B155" s="19" t="s">
        <v>52</v>
      </c>
      <c r="C155" s="19"/>
      <c r="D155" s="19" t="s">
        <v>53</v>
      </c>
      <c r="E155" s="19" t="s">
        <v>460</v>
      </c>
      <c r="F155" s="20" t="s">
        <v>141</v>
      </c>
      <c r="G155" s="20" t="s">
        <v>142</v>
      </c>
      <c r="H155" s="19" t="s">
        <v>675</v>
      </c>
      <c r="I155" s="20" t="s">
        <v>58</v>
      </c>
      <c r="J155" s="20" t="s">
        <v>144</v>
      </c>
      <c r="K155" s="20" t="s">
        <v>676</v>
      </c>
      <c r="L155" s="19" t="s">
        <v>61</v>
      </c>
      <c r="M155" s="19" t="s">
        <v>62</v>
      </c>
      <c r="N155" s="20" t="s">
        <v>63</v>
      </c>
      <c r="O155" s="19">
        <v>21</v>
      </c>
      <c r="P155" s="19">
        <v>3.73</v>
      </c>
      <c r="Q155" s="19">
        <v>1</v>
      </c>
      <c r="R155" s="20">
        <v>14</v>
      </c>
      <c r="S155" s="19">
        <v>6.6000000000000003E-2</v>
      </c>
      <c r="T155" s="19" t="s">
        <v>64</v>
      </c>
      <c r="U155" s="19" t="s">
        <v>65</v>
      </c>
      <c r="V155" s="19" t="s">
        <v>66</v>
      </c>
      <c r="W155" s="19" t="s">
        <v>67</v>
      </c>
      <c r="X155" s="19" t="s">
        <v>68</v>
      </c>
      <c r="Y155" s="21" t="s">
        <v>463</v>
      </c>
      <c r="Z155" s="21" t="s">
        <v>498</v>
      </c>
      <c r="AA155" s="21"/>
      <c r="AB155" s="21">
        <v>3</v>
      </c>
      <c r="AC155" s="21">
        <v>16</v>
      </c>
      <c r="AD155" s="21">
        <v>8603126</v>
      </c>
      <c r="AE155" s="21">
        <v>11852320</v>
      </c>
      <c r="AF155" s="21">
        <v>100650</v>
      </c>
      <c r="AG155" s="21" t="s">
        <v>674</v>
      </c>
      <c r="AH155" s="21"/>
      <c r="AI155" s="21"/>
      <c r="AJ155" s="22"/>
      <c r="AK155" s="22"/>
      <c r="AL155" s="21" t="str">
        <f>_xlfn.XLOOKUP(A:A,[1]TAGS!$A:$A,[1]TAGS!$BG:$BG)</f>
        <v>Não Montado</v>
      </c>
      <c r="AM155" s="21" t="s">
        <v>70</v>
      </c>
      <c r="AN155" s="22"/>
      <c r="AO155" s="22"/>
      <c r="AP155" s="21"/>
      <c r="AQ155" s="21"/>
      <c r="AR155" s="21"/>
      <c r="AS155" s="21"/>
      <c r="AT155" s="21"/>
      <c r="AU155" s="21"/>
    </row>
    <row r="156" spans="1:47" x14ac:dyDescent="0.35">
      <c r="A156" s="19" t="s">
        <v>677</v>
      </c>
      <c r="B156" s="19" t="s">
        <v>52</v>
      </c>
      <c r="C156" s="19"/>
      <c r="D156" s="19" t="s">
        <v>53</v>
      </c>
      <c r="E156" s="19" t="s">
        <v>460</v>
      </c>
      <c r="F156" s="20" t="s">
        <v>141</v>
      </c>
      <c r="G156" s="20" t="s">
        <v>142</v>
      </c>
      <c r="H156" s="19" t="s">
        <v>678</v>
      </c>
      <c r="I156" s="20" t="s">
        <v>58</v>
      </c>
      <c r="J156" s="20" t="s">
        <v>144</v>
      </c>
      <c r="K156" s="20" t="s">
        <v>679</v>
      </c>
      <c r="L156" s="19" t="s">
        <v>61</v>
      </c>
      <c r="M156" s="19" t="s">
        <v>62</v>
      </c>
      <c r="N156" s="20" t="s">
        <v>63</v>
      </c>
      <c r="O156" s="19">
        <v>21</v>
      </c>
      <c r="P156" s="19">
        <v>3.73</v>
      </c>
      <c r="Q156" s="19">
        <v>1</v>
      </c>
      <c r="R156" s="20">
        <v>16</v>
      </c>
      <c r="S156" s="19">
        <v>6.6000000000000003E-2</v>
      </c>
      <c r="T156" s="19" t="s">
        <v>64</v>
      </c>
      <c r="U156" s="19" t="s">
        <v>65</v>
      </c>
      <c r="V156" s="19" t="s">
        <v>66</v>
      </c>
      <c r="W156" s="19" t="s">
        <v>67</v>
      </c>
      <c r="X156" s="19" t="s">
        <v>68</v>
      </c>
      <c r="Y156" s="21" t="s">
        <v>463</v>
      </c>
      <c r="Z156" s="21" t="s">
        <v>502</v>
      </c>
      <c r="AA156" s="21"/>
      <c r="AB156" s="21">
        <v>3</v>
      </c>
      <c r="AC156" s="21">
        <v>19</v>
      </c>
      <c r="AD156" s="21">
        <v>8603126</v>
      </c>
      <c r="AE156" s="21">
        <v>11843320</v>
      </c>
      <c r="AF156" s="21">
        <v>100650</v>
      </c>
      <c r="AG156" s="21" t="s">
        <v>677</v>
      </c>
      <c r="AH156" s="21"/>
      <c r="AI156" s="21"/>
      <c r="AJ156" s="22"/>
      <c r="AK156" s="22"/>
      <c r="AL156" s="21" t="str">
        <f>_xlfn.XLOOKUP(A:A,[1]TAGS!$A:$A,[1]TAGS!$BG:$BG)</f>
        <v>Não Montado</v>
      </c>
      <c r="AM156" s="21" t="s">
        <v>70</v>
      </c>
      <c r="AN156" s="22"/>
      <c r="AO156" s="22"/>
      <c r="AP156" s="21"/>
      <c r="AQ156" s="21"/>
      <c r="AR156" s="21"/>
      <c r="AS156" s="21"/>
      <c r="AT156" s="21"/>
      <c r="AU156" s="21"/>
    </row>
    <row r="157" spans="1:47" x14ac:dyDescent="0.35">
      <c r="A157" s="19" t="s">
        <v>680</v>
      </c>
      <c r="B157" s="19" t="s">
        <v>52</v>
      </c>
      <c r="C157" s="19"/>
      <c r="D157" s="19" t="s">
        <v>53</v>
      </c>
      <c r="E157" s="19" t="s">
        <v>460</v>
      </c>
      <c r="F157" s="20" t="s">
        <v>370</v>
      </c>
      <c r="G157" s="20" t="s">
        <v>371</v>
      </c>
      <c r="H157" s="19" t="s">
        <v>681</v>
      </c>
      <c r="I157" s="20" t="s">
        <v>58</v>
      </c>
      <c r="J157" s="20" t="s">
        <v>373</v>
      </c>
      <c r="K157" s="20" t="s">
        <v>682</v>
      </c>
      <c r="L157" s="19" t="s">
        <v>61</v>
      </c>
      <c r="M157" s="19" t="s">
        <v>62</v>
      </c>
      <c r="N157" s="19" t="s">
        <v>683</v>
      </c>
      <c r="O157" s="19">
        <v>21</v>
      </c>
      <c r="P157" s="19">
        <v>3.73</v>
      </c>
      <c r="Q157" s="19">
        <v>1</v>
      </c>
      <c r="R157" s="20">
        <v>8</v>
      </c>
      <c r="S157" s="19">
        <v>6.6000000000000003E-2</v>
      </c>
      <c r="T157" s="19" t="s">
        <v>64</v>
      </c>
      <c r="U157" s="19" t="s">
        <v>65</v>
      </c>
      <c r="V157" s="19" t="s">
        <v>66</v>
      </c>
      <c r="W157" s="19" t="s">
        <v>67</v>
      </c>
      <c r="X157" s="19" t="s">
        <v>68</v>
      </c>
      <c r="Y157" s="21" t="s">
        <v>623</v>
      </c>
      <c r="Z157" s="21" t="s">
        <v>684</v>
      </c>
      <c r="AA157" s="21" t="s">
        <v>625</v>
      </c>
      <c r="AB157" s="21">
        <v>4</v>
      </c>
      <c r="AC157" s="21"/>
      <c r="AD157" s="21"/>
      <c r="AE157" s="21"/>
      <c r="AF157" s="21"/>
      <c r="AG157" s="21" t="s">
        <v>680</v>
      </c>
      <c r="AH157" s="21"/>
      <c r="AI157" s="21"/>
      <c r="AJ157" s="22"/>
      <c r="AK157" s="22"/>
      <c r="AL157" s="21" t="str">
        <f>_xlfn.XLOOKUP(A:A,[1]TAGS!$A:$A,[1]TAGS!$BG:$BG)</f>
        <v>Não Montado</v>
      </c>
      <c r="AM157" s="21" t="s">
        <v>70</v>
      </c>
      <c r="AN157" s="22"/>
      <c r="AO157" s="22"/>
      <c r="AP157" s="21"/>
      <c r="AQ157" s="21"/>
      <c r="AR157" s="21"/>
      <c r="AS157" s="21"/>
      <c r="AT157" s="21"/>
      <c r="AU157" s="21"/>
    </row>
    <row r="158" spans="1:47" x14ac:dyDescent="0.35">
      <c r="A158" s="19" t="s">
        <v>685</v>
      </c>
      <c r="B158" s="19" t="s">
        <v>52</v>
      </c>
      <c r="C158" s="19"/>
      <c r="D158" s="19" t="s">
        <v>53</v>
      </c>
      <c r="E158" s="19" t="s">
        <v>460</v>
      </c>
      <c r="F158" s="20" t="s">
        <v>370</v>
      </c>
      <c r="G158" s="20" t="s">
        <v>371</v>
      </c>
      <c r="H158" s="19" t="s">
        <v>686</v>
      </c>
      <c r="I158" s="20" t="s">
        <v>58</v>
      </c>
      <c r="J158" s="20" t="s">
        <v>373</v>
      </c>
      <c r="K158" s="20" t="s">
        <v>687</v>
      </c>
      <c r="L158" s="19" t="s">
        <v>61</v>
      </c>
      <c r="M158" s="19" t="s">
        <v>62</v>
      </c>
      <c r="N158" s="19" t="s">
        <v>683</v>
      </c>
      <c r="O158" s="19">
        <v>21</v>
      </c>
      <c r="P158" s="19">
        <v>3.73</v>
      </c>
      <c r="Q158" s="19">
        <v>1</v>
      </c>
      <c r="R158" s="20">
        <v>8</v>
      </c>
      <c r="S158" s="19">
        <v>6.6000000000000003E-2</v>
      </c>
      <c r="T158" s="19" t="s">
        <v>64</v>
      </c>
      <c r="U158" s="19" t="s">
        <v>65</v>
      </c>
      <c r="V158" s="19" t="s">
        <v>66</v>
      </c>
      <c r="W158" s="19" t="s">
        <v>67</v>
      </c>
      <c r="X158" s="19" t="s">
        <v>68</v>
      </c>
      <c r="Y158" s="21" t="s">
        <v>623</v>
      </c>
      <c r="Z158" s="21" t="s">
        <v>688</v>
      </c>
      <c r="AA158" s="21" t="s">
        <v>625</v>
      </c>
      <c r="AB158" s="21">
        <v>1</v>
      </c>
      <c r="AC158" s="21"/>
      <c r="AD158" s="21"/>
      <c r="AE158" s="21"/>
      <c r="AF158" s="21"/>
      <c r="AG158" s="21" t="s">
        <v>685</v>
      </c>
      <c r="AH158" s="21"/>
      <c r="AI158" s="21"/>
      <c r="AJ158" s="22"/>
      <c r="AK158" s="22"/>
      <c r="AL158" s="21" t="str">
        <f>_xlfn.XLOOKUP(A:A,[1]TAGS!$A:$A,[1]TAGS!$BG:$BG)</f>
        <v>Não Montado</v>
      </c>
      <c r="AM158" s="21" t="s">
        <v>70</v>
      </c>
      <c r="AN158" s="22"/>
      <c r="AO158" s="22"/>
      <c r="AP158" s="21"/>
      <c r="AQ158" s="21"/>
      <c r="AR158" s="21"/>
      <c r="AS158" s="21"/>
      <c r="AT158" s="21"/>
      <c r="AU158" s="21"/>
    </row>
    <row r="159" spans="1:47" x14ac:dyDescent="0.35">
      <c r="A159" s="19" t="s">
        <v>689</v>
      </c>
      <c r="B159" s="19" t="s">
        <v>52</v>
      </c>
      <c r="C159" s="19"/>
      <c r="D159" s="19" t="s">
        <v>53</v>
      </c>
      <c r="E159" s="19" t="s">
        <v>460</v>
      </c>
      <c r="F159" s="20" t="s">
        <v>418</v>
      </c>
      <c r="G159" s="20" t="s">
        <v>419</v>
      </c>
      <c r="H159" s="19" t="s">
        <v>690</v>
      </c>
      <c r="I159" s="20" t="s">
        <v>58</v>
      </c>
      <c r="J159" s="20" t="s">
        <v>421</v>
      </c>
      <c r="K159" s="20" t="s">
        <v>691</v>
      </c>
      <c r="L159" s="19" t="s">
        <v>61</v>
      </c>
      <c r="M159" s="19" t="s">
        <v>62</v>
      </c>
      <c r="N159" s="19" t="s">
        <v>683</v>
      </c>
      <c r="O159" s="19">
        <v>21</v>
      </c>
      <c r="P159" s="19">
        <v>3.73</v>
      </c>
      <c r="Q159" s="19">
        <v>1</v>
      </c>
      <c r="R159" s="20">
        <v>8</v>
      </c>
      <c r="S159" s="19">
        <v>6.6000000000000003E-2</v>
      </c>
      <c r="T159" s="19" t="s">
        <v>64</v>
      </c>
      <c r="U159" s="19" t="s">
        <v>65</v>
      </c>
      <c r="V159" s="19" t="s">
        <v>66</v>
      </c>
      <c r="W159" s="19" t="s">
        <v>67</v>
      </c>
      <c r="X159" s="19" t="s">
        <v>68</v>
      </c>
      <c r="Y159" s="21" t="s">
        <v>623</v>
      </c>
      <c r="Z159" s="21" t="s">
        <v>684</v>
      </c>
      <c r="AA159" s="21" t="s">
        <v>692</v>
      </c>
      <c r="AB159" s="21">
        <v>1</v>
      </c>
      <c r="AC159" s="21"/>
      <c r="AD159" s="21"/>
      <c r="AE159" s="21"/>
      <c r="AF159" s="21"/>
      <c r="AG159" s="21" t="s">
        <v>689</v>
      </c>
      <c r="AH159" s="21"/>
      <c r="AI159" s="21"/>
      <c r="AJ159" s="22"/>
      <c r="AK159" s="22"/>
      <c r="AL159" s="21" t="str">
        <f>_xlfn.XLOOKUP(A:A,[1]TAGS!$A:$A,[1]TAGS!$BG:$BG)</f>
        <v>Não Montado</v>
      </c>
      <c r="AM159" s="21" t="s">
        <v>70</v>
      </c>
      <c r="AN159" s="22"/>
      <c r="AO159" s="22"/>
      <c r="AP159" s="21"/>
      <c r="AQ159" s="21"/>
      <c r="AR159" s="21"/>
      <c r="AS159" s="21"/>
      <c r="AT159" s="21"/>
      <c r="AU159" s="21"/>
    </row>
    <row r="160" spans="1:47" x14ac:dyDescent="0.35">
      <c r="A160" s="19" t="s">
        <v>693</v>
      </c>
      <c r="B160" s="19" t="s">
        <v>52</v>
      </c>
      <c r="C160" s="19"/>
      <c r="D160" s="19" t="s">
        <v>53</v>
      </c>
      <c r="E160" s="19" t="s">
        <v>460</v>
      </c>
      <c r="F160" s="20" t="s">
        <v>397</v>
      </c>
      <c r="G160" s="20" t="s">
        <v>398</v>
      </c>
      <c r="H160" s="19" t="s">
        <v>694</v>
      </c>
      <c r="I160" s="20" t="s">
        <v>58</v>
      </c>
      <c r="J160" s="20" t="s">
        <v>400</v>
      </c>
      <c r="K160" s="20" t="s">
        <v>695</v>
      </c>
      <c r="L160" s="19" t="s">
        <v>61</v>
      </c>
      <c r="M160" s="19" t="s">
        <v>62</v>
      </c>
      <c r="N160" s="19" t="s">
        <v>683</v>
      </c>
      <c r="O160" s="19">
        <v>21</v>
      </c>
      <c r="P160" s="19">
        <v>3.73</v>
      </c>
      <c r="Q160" s="19">
        <v>1</v>
      </c>
      <c r="R160" s="20">
        <v>8</v>
      </c>
      <c r="S160" s="19">
        <v>6.6000000000000003E-2</v>
      </c>
      <c r="T160" s="19" t="s">
        <v>64</v>
      </c>
      <c r="U160" s="19" t="s">
        <v>65</v>
      </c>
      <c r="V160" s="19" t="s">
        <v>66</v>
      </c>
      <c r="W160" s="19" t="s">
        <v>67</v>
      </c>
      <c r="X160" s="19" t="s">
        <v>68</v>
      </c>
      <c r="Y160" s="21" t="s">
        <v>623</v>
      </c>
      <c r="Z160" s="21" t="s">
        <v>684</v>
      </c>
      <c r="AA160" s="21" t="s">
        <v>692</v>
      </c>
      <c r="AB160" s="21">
        <v>2</v>
      </c>
      <c r="AC160" s="21"/>
      <c r="AD160" s="21"/>
      <c r="AE160" s="21"/>
      <c r="AF160" s="21"/>
      <c r="AG160" s="21" t="s">
        <v>693</v>
      </c>
      <c r="AH160" s="21"/>
      <c r="AI160" s="21"/>
      <c r="AJ160" s="22"/>
      <c r="AK160" s="22"/>
      <c r="AL160" s="21" t="str">
        <f>_xlfn.XLOOKUP(A:A,[1]TAGS!$A:$A,[1]TAGS!$BG:$BG)</f>
        <v>Não Montado</v>
      </c>
      <c r="AM160" s="21" t="s">
        <v>70</v>
      </c>
      <c r="AN160" s="22"/>
      <c r="AO160" s="22"/>
      <c r="AP160" s="21"/>
      <c r="AQ160" s="21"/>
      <c r="AR160" s="21"/>
      <c r="AS160" s="21"/>
      <c r="AT160" s="21"/>
      <c r="AU160" s="21"/>
    </row>
    <row r="161" spans="1:47" x14ac:dyDescent="0.35">
      <c r="A161" s="19" t="s">
        <v>696</v>
      </c>
      <c r="B161" s="19" t="s">
        <v>52</v>
      </c>
      <c r="C161" s="19"/>
      <c r="D161" s="19" t="s">
        <v>53</v>
      </c>
      <c r="E161" s="19" t="s">
        <v>460</v>
      </c>
      <c r="F161" s="20" t="s">
        <v>397</v>
      </c>
      <c r="G161" s="20" t="s">
        <v>398</v>
      </c>
      <c r="H161" s="19" t="s">
        <v>697</v>
      </c>
      <c r="I161" s="20" t="s">
        <v>58</v>
      </c>
      <c r="J161" s="20" t="s">
        <v>400</v>
      </c>
      <c r="K161" s="20" t="s">
        <v>698</v>
      </c>
      <c r="L161" s="19" t="s">
        <v>61</v>
      </c>
      <c r="M161" s="19" t="s">
        <v>62</v>
      </c>
      <c r="N161" s="19" t="s">
        <v>683</v>
      </c>
      <c r="O161" s="19">
        <v>21</v>
      </c>
      <c r="P161" s="19">
        <v>3.73</v>
      </c>
      <c r="Q161" s="19">
        <v>1</v>
      </c>
      <c r="R161" s="20">
        <v>8</v>
      </c>
      <c r="S161" s="19">
        <v>6.6000000000000003E-2</v>
      </c>
      <c r="T161" s="19" t="s">
        <v>64</v>
      </c>
      <c r="U161" s="19" t="s">
        <v>65</v>
      </c>
      <c r="V161" s="19" t="s">
        <v>66</v>
      </c>
      <c r="W161" s="19" t="s">
        <v>67</v>
      </c>
      <c r="X161" s="19" t="s">
        <v>68</v>
      </c>
      <c r="Y161" s="21" t="s">
        <v>623</v>
      </c>
      <c r="Z161" s="21" t="s">
        <v>684</v>
      </c>
      <c r="AA161" s="21" t="s">
        <v>692</v>
      </c>
      <c r="AB161" s="21">
        <v>3</v>
      </c>
      <c r="AC161" s="21"/>
      <c r="AD161" s="21"/>
      <c r="AE161" s="21"/>
      <c r="AF161" s="21"/>
      <c r="AG161" s="21" t="s">
        <v>696</v>
      </c>
      <c r="AH161" s="21"/>
      <c r="AI161" s="21"/>
      <c r="AJ161" s="22"/>
      <c r="AK161" s="22"/>
      <c r="AL161" s="21" t="str">
        <f>_xlfn.XLOOKUP(A:A,[1]TAGS!$A:$A,[1]TAGS!$BG:$BG)</f>
        <v>Não Montado</v>
      </c>
      <c r="AM161" s="21" t="s">
        <v>70</v>
      </c>
      <c r="AN161" s="22"/>
      <c r="AO161" s="22"/>
      <c r="AP161" s="21"/>
      <c r="AQ161" s="21"/>
      <c r="AR161" s="21"/>
      <c r="AS161" s="21"/>
      <c r="AT161" s="21"/>
      <c r="AU161" s="21"/>
    </row>
    <row r="162" spans="1:47" x14ac:dyDescent="0.35">
      <c r="A162" s="19" t="s">
        <v>699</v>
      </c>
      <c r="B162" s="19" t="s">
        <v>52</v>
      </c>
      <c r="C162" s="19"/>
      <c r="D162" s="19" t="s">
        <v>53</v>
      </c>
      <c r="E162" s="19" t="s">
        <v>460</v>
      </c>
      <c r="F162" s="20" t="s">
        <v>397</v>
      </c>
      <c r="G162" s="20" t="s">
        <v>398</v>
      </c>
      <c r="H162" s="19" t="s">
        <v>700</v>
      </c>
      <c r="I162" s="20" t="s">
        <v>58</v>
      </c>
      <c r="J162" s="20" t="s">
        <v>400</v>
      </c>
      <c r="K162" s="20" t="s">
        <v>701</v>
      </c>
      <c r="L162" s="19" t="s">
        <v>61</v>
      </c>
      <c r="M162" s="19" t="s">
        <v>62</v>
      </c>
      <c r="N162" s="19" t="s">
        <v>683</v>
      </c>
      <c r="O162" s="19">
        <v>21</v>
      </c>
      <c r="P162" s="19">
        <v>3.73</v>
      </c>
      <c r="Q162" s="19">
        <v>1</v>
      </c>
      <c r="R162" s="20">
        <v>8</v>
      </c>
      <c r="S162" s="19">
        <v>6.6000000000000003E-2</v>
      </c>
      <c r="T162" s="19" t="s">
        <v>64</v>
      </c>
      <c r="U162" s="19" t="s">
        <v>65</v>
      </c>
      <c r="V162" s="19" t="s">
        <v>66</v>
      </c>
      <c r="W162" s="19" t="s">
        <v>67</v>
      </c>
      <c r="X162" s="19" t="s">
        <v>68</v>
      </c>
      <c r="Y162" s="21" t="s">
        <v>623</v>
      </c>
      <c r="Z162" s="21" t="s">
        <v>684</v>
      </c>
      <c r="AA162" s="21" t="s">
        <v>692</v>
      </c>
      <c r="AB162" s="21">
        <v>4</v>
      </c>
      <c r="AC162" s="21"/>
      <c r="AD162" s="21"/>
      <c r="AE162" s="21"/>
      <c r="AF162" s="21"/>
      <c r="AG162" s="21" t="s">
        <v>699</v>
      </c>
      <c r="AH162" s="21"/>
      <c r="AI162" s="21"/>
      <c r="AJ162" s="22"/>
      <c r="AK162" s="22"/>
      <c r="AL162" s="21" t="str">
        <f>_xlfn.XLOOKUP(A:A,[1]TAGS!$A:$A,[1]TAGS!$BG:$BG)</f>
        <v>Não Montado</v>
      </c>
      <c r="AM162" s="21" t="s">
        <v>70</v>
      </c>
      <c r="AN162" s="22"/>
      <c r="AO162" s="22"/>
      <c r="AP162" s="21"/>
      <c r="AQ162" s="21"/>
      <c r="AR162" s="21"/>
      <c r="AS162" s="21"/>
      <c r="AT162" s="21"/>
      <c r="AU162" s="21"/>
    </row>
    <row r="163" spans="1:47" x14ac:dyDescent="0.35">
      <c r="A163" s="19" t="s">
        <v>702</v>
      </c>
      <c r="B163" s="19" t="s">
        <v>52</v>
      </c>
      <c r="C163" s="19"/>
      <c r="D163" s="19" t="s">
        <v>53</v>
      </c>
      <c r="E163" s="19" t="s">
        <v>460</v>
      </c>
      <c r="F163" s="20" t="s">
        <v>397</v>
      </c>
      <c r="G163" s="20" t="s">
        <v>398</v>
      </c>
      <c r="H163" s="19" t="s">
        <v>703</v>
      </c>
      <c r="I163" s="20" t="s">
        <v>58</v>
      </c>
      <c r="J163" s="20" t="s">
        <v>400</v>
      </c>
      <c r="K163" s="20" t="s">
        <v>704</v>
      </c>
      <c r="L163" s="19" t="s">
        <v>61</v>
      </c>
      <c r="M163" s="19" t="s">
        <v>62</v>
      </c>
      <c r="N163" s="19" t="s">
        <v>683</v>
      </c>
      <c r="O163" s="19">
        <v>21</v>
      </c>
      <c r="P163" s="19">
        <v>3.73</v>
      </c>
      <c r="Q163" s="19">
        <v>1</v>
      </c>
      <c r="R163" s="20">
        <v>8</v>
      </c>
      <c r="S163" s="19">
        <v>6.6000000000000003E-2</v>
      </c>
      <c r="T163" s="19" t="s">
        <v>64</v>
      </c>
      <c r="U163" s="19" t="s">
        <v>65</v>
      </c>
      <c r="V163" s="19" t="s">
        <v>66</v>
      </c>
      <c r="W163" s="19" t="s">
        <v>67</v>
      </c>
      <c r="X163" s="19" t="s">
        <v>68</v>
      </c>
      <c r="Y163" s="21" t="s">
        <v>623</v>
      </c>
      <c r="Z163" s="21" t="s">
        <v>684</v>
      </c>
      <c r="AA163" s="21" t="s">
        <v>625</v>
      </c>
      <c r="AB163" s="21">
        <v>1</v>
      </c>
      <c r="AC163" s="21"/>
      <c r="AD163" s="21"/>
      <c r="AE163" s="21"/>
      <c r="AF163" s="21"/>
      <c r="AG163" s="21" t="s">
        <v>702</v>
      </c>
      <c r="AH163" s="21"/>
      <c r="AI163" s="21"/>
      <c r="AJ163" s="22"/>
      <c r="AK163" s="22"/>
      <c r="AL163" s="21" t="str">
        <f>_xlfn.XLOOKUP(A:A,[1]TAGS!$A:$A,[1]TAGS!$BG:$BG)</f>
        <v>Não Montado</v>
      </c>
      <c r="AM163" s="21" t="s">
        <v>70</v>
      </c>
      <c r="AN163" s="22"/>
      <c r="AO163" s="22"/>
      <c r="AP163" s="21"/>
      <c r="AQ163" s="21"/>
      <c r="AR163" s="21"/>
      <c r="AS163" s="21"/>
      <c r="AT163" s="21"/>
      <c r="AU163" s="21"/>
    </row>
    <row r="164" spans="1:47" x14ac:dyDescent="0.35">
      <c r="A164" s="19" t="s">
        <v>705</v>
      </c>
      <c r="B164" s="19" t="s">
        <v>52</v>
      </c>
      <c r="C164" s="19"/>
      <c r="D164" s="19" t="s">
        <v>53</v>
      </c>
      <c r="E164" s="19" t="s">
        <v>460</v>
      </c>
      <c r="F164" s="20" t="s">
        <v>706</v>
      </c>
      <c r="G164" s="20" t="s">
        <v>707</v>
      </c>
      <c r="H164" s="19" t="s">
        <v>708</v>
      </c>
      <c r="I164" s="20" t="s">
        <v>124</v>
      </c>
      <c r="J164" s="20" t="s">
        <v>709</v>
      </c>
      <c r="K164" s="20" t="s">
        <v>710</v>
      </c>
      <c r="L164" s="19" t="s">
        <v>61</v>
      </c>
      <c r="M164" s="19" t="s">
        <v>62</v>
      </c>
      <c r="N164" s="19" t="s">
        <v>683</v>
      </c>
      <c r="O164" s="19">
        <v>21</v>
      </c>
      <c r="P164" s="19">
        <v>3.73</v>
      </c>
      <c r="Q164" s="19">
        <v>1</v>
      </c>
      <c r="R164" s="20">
        <v>8</v>
      </c>
      <c r="S164" s="19">
        <v>6.6000000000000003E-2</v>
      </c>
      <c r="T164" s="19" t="s">
        <v>64</v>
      </c>
      <c r="U164" s="19" t="s">
        <v>65</v>
      </c>
      <c r="V164" s="19" t="s">
        <v>66</v>
      </c>
      <c r="W164" s="19" t="s">
        <v>67</v>
      </c>
      <c r="X164" s="19" t="s">
        <v>68</v>
      </c>
      <c r="Y164" s="21" t="s">
        <v>711</v>
      </c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2"/>
      <c r="AK164" s="22"/>
      <c r="AL164" s="21" t="str">
        <f>_xlfn.XLOOKUP(A:A,[1]TAGS!$A:$A,[1]TAGS!$BG:$BG)</f>
        <v>Não Montado</v>
      </c>
      <c r="AM164" s="21" t="s">
        <v>70</v>
      </c>
      <c r="AN164" s="22"/>
      <c r="AO164" s="22"/>
      <c r="AP164" s="21"/>
      <c r="AQ164" s="21"/>
      <c r="AR164" s="21"/>
      <c r="AS164" s="21"/>
      <c r="AT164" s="21"/>
      <c r="AU164" s="21"/>
    </row>
    <row r="165" spans="1:47" x14ac:dyDescent="0.35">
      <c r="A165" s="19" t="s">
        <v>712</v>
      </c>
      <c r="B165" s="19" t="s">
        <v>52</v>
      </c>
      <c r="C165" s="19"/>
      <c r="D165" s="19" t="s">
        <v>53</v>
      </c>
      <c r="E165" s="19" t="s">
        <v>460</v>
      </c>
      <c r="F165" s="20" t="s">
        <v>370</v>
      </c>
      <c r="G165" s="20" t="s">
        <v>371</v>
      </c>
      <c r="H165" s="19" t="s">
        <v>713</v>
      </c>
      <c r="I165" s="20" t="s">
        <v>58</v>
      </c>
      <c r="J165" s="20" t="s">
        <v>373</v>
      </c>
      <c r="K165" s="20" t="s">
        <v>714</v>
      </c>
      <c r="L165" s="19" t="s">
        <v>61</v>
      </c>
      <c r="M165" s="19" t="s">
        <v>62</v>
      </c>
      <c r="N165" s="19" t="s">
        <v>683</v>
      </c>
      <c r="O165" s="19">
        <v>21</v>
      </c>
      <c r="P165" s="19">
        <v>3.73</v>
      </c>
      <c r="Q165" s="19">
        <v>1</v>
      </c>
      <c r="R165" s="20">
        <v>8</v>
      </c>
      <c r="S165" s="19">
        <v>6.6000000000000003E-2</v>
      </c>
      <c r="T165" s="19" t="s">
        <v>64</v>
      </c>
      <c r="U165" s="19" t="s">
        <v>65</v>
      </c>
      <c r="V165" s="19" t="s">
        <v>66</v>
      </c>
      <c r="W165" s="19" t="s">
        <v>67</v>
      </c>
      <c r="X165" s="19" t="s">
        <v>68</v>
      </c>
      <c r="Y165" s="21" t="s">
        <v>623</v>
      </c>
      <c r="Z165" s="21" t="s">
        <v>629</v>
      </c>
      <c r="AA165" s="21" t="s">
        <v>625</v>
      </c>
      <c r="AB165" s="21">
        <v>3</v>
      </c>
      <c r="AC165" s="21"/>
      <c r="AD165" s="21"/>
      <c r="AE165" s="21"/>
      <c r="AF165" s="21"/>
      <c r="AG165" s="21" t="s">
        <v>712</v>
      </c>
      <c r="AH165" s="21"/>
      <c r="AI165" s="21"/>
      <c r="AJ165" s="22"/>
      <c r="AK165" s="22"/>
      <c r="AL165" s="21" t="str">
        <f>_xlfn.XLOOKUP(A:A,[1]TAGS!$A:$A,[1]TAGS!$BG:$BG)</f>
        <v>Não Montado</v>
      </c>
      <c r="AM165" s="21" t="s">
        <v>70</v>
      </c>
      <c r="AN165" s="22"/>
      <c r="AO165" s="22"/>
      <c r="AP165" s="21"/>
      <c r="AQ165" s="21"/>
      <c r="AR165" s="21"/>
      <c r="AS165" s="21"/>
      <c r="AT165" s="21"/>
      <c r="AU165" s="21"/>
    </row>
    <row r="166" spans="1:47" x14ac:dyDescent="0.35">
      <c r="A166" s="19" t="s">
        <v>715</v>
      </c>
      <c r="B166" s="19" t="s">
        <v>52</v>
      </c>
      <c r="C166" s="19"/>
      <c r="D166" s="19" t="s">
        <v>53</v>
      </c>
      <c r="E166" s="19" t="s">
        <v>460</v>
      </c>
      <c r="F166" s="20" t="s">
        <v>370</v>
      </c>
      <c r="G166" s="20" t="s">
        <v>371</v>
      </c>
      <c r="H166" s="19" t="s">
        <v>716</v>
      </c>
      <c r="I166" s="20" t="s">
        <v>58</v>
      </c>
      <c r="J166" s="20" t="s">
        <v>373</v>
      </c>
      <c r="K166" s="20" t="s">
        <v>717</v>
      </c>
      <c r="L166" s="19" t="s">
        <v>61</v>
      </c>
      <c r="M166" s="19" t="s">
        <v>62</v>
      </c>
      <c r="N166" s="19" t="s">
        <v>683</v>
      </c>
      <c r="O166" s="19">
        <v>21</v>
      </c>
      <c r="P166" s="19">
        <v>3.73</v>
      </c>
      <c r="Q166" s="19">
        <v>1</v>
      </c>
      <c r="R166" s="20">
        <v>8</v>
      </c>
      <c r="S166" s="19">
        <v>6.6000000000000003E-2</v>
      </c>
      <c r="T166" s="19" t="s">
        <v>64</v>
      </c>
      <c r="U166" s="19" t="s">
        <v>65</v>
      </c>
      <c r="V166" s="19" t="s">
        <v>66</v>
      </c>
      <c r="W166" s="19" t="s">
        <v>67</v>
      </c>
      <c r="X166" s="19" t="s">
        <v>68</v>
      </c>
      <c r="Y166" s="21" t="s">
        <v>623</v>
      </c>
      <c r="Z166" s="21" t="s">
        <v>629</v>
      </c>
      <c r="AA166" s="21" t="s">
        <v>625</v>
      </c>
      <c r="AB166" s="21">
        <v>4</v>
      </c>
      <c r="AC166" s="21"/>
      <c r="AD166" s="21"/>
      <c r="AE166" s="21"/>
      <c r="AF166" s="21"/>
      <c r="AG166" s="21" t="s">
        <v>715</v>
      </c>
      <c r="AH166" s="21"/>
      <c r="AI166" s="21"/>
      <c r="AJ166" s="22"/>
      <c r="AK166" s="22"/>
      <c r="AL166" s="21" t="str">
        <f>_xlfn.XLOOKUP(A:A,[1]TAGS!$A:$A,[1]TAGS!$BG:$BG)</f>
        <v>Não Montado</v>
      </c>
      <c r="AM166" s="21" t="s">
        <v>70</v>
      </c>
      <c r="AN166" s="22"/>
      <c r="AO166" s="22"/>
      <c r="AP166" s="21"/>
      <c r="AQ166" s="21"/>
      <c r="AR166" s="21"/>
      <c r="AS166" s="21"/>
      <c r="AT166" s="21"/>
      <c r="AU166" s="21"/>
    </row>
    <row r="167" spans="1:47" x14ac:dyDescent="0.35">
      <c r="A167" s="19" t="s">
        <v>718</v>
      </c>
      <c r="B167" s="19" t="s">
        <v>52</v>
      </c>
      <c r="C167" s="19"/>
      <c r="D167" s="19" t="s">
        <v>53</v>
      </c>
      <c r="E167" s="19" t="s">
        <v>460</v>
      </c>
      <c r="F167" s="20" t="s">
        <v>418</v>
      </c>
      <c r="G167" s="20" t="s">
        <v>419</v>
      </c>
      <c r="H167" s="19" t="s">
        <v>719</v>
      </c>
      <c r="I167" s="20" t="s">
        <v>58</v>
      </c>
      <c r="J167" s="20" t="s">
        <v>421</v>
      </c>
      <c r="K167" s="20" t="s">
        <v>720</v>
      </c>
      <c r="L167" s="19" t="s">
        <v>61</v>
      </c>
      <c r="M167" s="19" t="s">
        <v>62</v>
      </c>
      <c r="N167" s="19" t="s">
        <v>683</v>
      </c>
      <c r="O167" s="19">
        <v>21</v>
      </c>
      <c r="P167" s="19">
        <v>3.73</v>
      </c>
      <c r="Q167" s="19">
        <v>1</v>
      </c>
      <c r="R167" s="20">
        <v>8</v>
      </c>
      <c r="S167" s="19">
        <v>6.6000000000000003E-2</v>
      </c>
      <c r="T167" s="19" t="s">
        <v>64</v>
      </c>
      <c r="U167" s="19" t="s">
        <v>65</v>
      </c>
      <c r="V167" s="19" t="s">
        <v>66</v>
      </c>
      <c r="W167" s="19" t="s">
        <v>67</v>
      </c>
      <c r="X167" s="19" t="s">
        <v>68</v>
      </c>
      <c r="Y167" s="21" t="s">
        <v>623</v>
      </c>
      <c r="Z167" s="21" t="s">
        <v>721</v>
      </c>
      <c r="AA167" s="21" t="s">
        <v>625</v>
      </c>
      <c r="AB167" s="21">
        <v>1</v>
      </c>
      <c r="AC167" s="21"/>
      <c r="AD167" s="21"/>
      <c r="AE167" s="21"/>
      <c r="AF167" s="21"/>
      <c r="AG167" s="21" t="s">
        <v>718</v>
      </c>
      <c r="AH167" s="21"/>
      <c r="AI167" s="21"/>
      <c r="AJ167" s="22"/>
      <c r="AK167" s="22"/>
      <c r="AL167" s="21" t="str">
        <f>_xlfn.XLOOKUP(A:A,[1]TAGS!$A:$A,[1]TAGS!$BG:$BG)</f>
        <v>Não Montado</v>
      </c>
      <c r="AM167" s="21" t="s">
        <v>70</v>
      </c>
      <c r="AN167" s="22"/>
      <c r="AO167" s="22"/>
      <c r="AP167" s="21"/>
      <c r="AQ167" s="21"/>
      <c r="AR167" s="21"/>
      <c r="AS167" s="21"/>
      <c r="AT167" s="21"/>
      <c r="AU167" s="21"/>
    </row>
    <row r="168" spans="1:47" x14ac:dyDescent="0.35">
      <c r="A168" s="19" t="s">
        <v>722</v>
      </c>
      <c r="B168" s="19" t="s">
        <v>52</v>
      </c>
      <c r="C168" s="19"/>
      <c r="D168" s="19" t="s">
        <v>53</v>
      </c>
      <c r="E168" s="19" t="s">
        <v>460</v>
      </c>
      <c r="F168" s="20" t="s">
        <v>397</v>
      </c>
      <c r="G168" s="20" t="s">
        <v>398</v>
      </c>
      <c r="H168" s="19" t="s">
        <v>723</v>
      </c>
      <c r="I168" s="20" t="s">
        <v>58</v>
      </c>
      <c r="J168" s="20" t="s">
        <v>400</v>
      </c>
      <c r="K168" s="20" t="s">
        <v>724</v>
      </c>
      <c r="L168" s="19" t="s">
        <v>61</v>
      </c>
      <c r="M168" s="19" t="s">
        <v>62</v>
      </c>
      <c r="N168" s="19" t="s">
        <v>683</v>
      </c>
      <c r="O168" s="19">
        <v>21</v>
      </c>
      <c r="P168" s="19">
        <v>3.73</v>
      </c>
      <c r="Q168" s="19">
        <v>1</v>
      </c>
      <c r="R168" s="20">
        <v>8</v>
      </c>
      <c r="S168" s="19">
        <v>6.6000000000000003E-2</v>
      </c>
      <c r="T168" s="19" t="s">
        <v>64</v>
      </c>
      <c r="U168" s="19" t="s">
        <v>65</v>
      </c>
      <c r="V168" s="19" t="s">
        <v>66</v>
      </c>
      <c r="W168" s="19" t="s">
        <v>67</v>
      </c>
      <c r="X168" s="19" t="s">
        <v>68</v>
      </c>
      <c r="Y168" s="21" t="s">
        <v>623</v>
      </c>
      <c r="Z168" s="21" t="s">
        <v>721</v>
      </c>
      <c r="AA168" s="21" t="s">
        <v>625</v>
      </c>
      <c r="AB168" s="21">
        <v>2</v>
      </c>
      <c r="AC168" s="21"/>
      <c r="AD168" s="21"/>
      <c r="AE168" s="21"/>
      <c r="AF168" s="21"/>
      <c r="AG168" s="21" t="s">
        <v>722</v>
      </c>
      <c r="AH168" s="21"/>
      <c r="AI168" s="21"/>
      <c r="AJ168" s="22"/>
      <c r="AK168" s="22"/>
      <c r="AL168" s="21" t="str">
        <f>_xlfn.XLOOKUP(A:A,[1]TAGS!$A:$A,[1]TAGS!$BG:$BG)</f>
        <v>Não Montado</v>
      </c>
      <c r="AM168" s="21" t="s">
        <v>70</v>
      </c>
      <c r="AN168" s="22"/>
      <c r="AO168" s="22"/>
      <c r="AP168" s="21"/>
      <c r="AQ168" s="21"/>
      <c r="AR168" s="21"/>
      <c r="AS168" s="21"/>
      <c r="AT168" s="21"/>
      <c r="AU168" s="21"/>
    </row>
    <row r="169" spans="1:47" x14ac:dyDescent="0.35">
      <c r="A169" s="19" t="s">
        <v>725</v>
      </c>
      <c r="B169" s="19" t="s">
        <v>52</v>
      </c>
      <c r="C169" s="19"/>
      <c r="D169" s="19" t="s">
        <v>53</v>
      </c>
      <c r="E169" s="19" t="s">
        <v>460</v>
      </c>
      <c r="F169" s="20" t="s">
        <v>397</v>
      </c>
      <c r="G169" s="20" t="s">
        <v>398</v>
      </c>
      <c r="H169" s="19" t="s">
        <v>726</v>
      </c>
      <c r="I169" s="20" t="s">
        <v>58</v>
      </c>
      <c r="J169" s="20" t="s">
        <v>400</v>
      </c>
      <c r="K169" s="20" t="s">
        <v>727</v>
      </c>
      <c r="L169" s="19" t="s">
        <v>61</v>
      </c>
      <c r="M169" s="19" t="s">
        <v>62</v>
      </c>
      <c r="N169" s="19" t="s">
        <v>683</v>
      </c>
      <c r="O169" s="19">
        <v>21</v>
      </c>
      <c r="P169" s="19">
        <v>3.73</v>
      </c>
      <c r="Q169" s="19">
        <v>1</v>
      </c>
      <c r="R169" s="20">
        <v>8</v>
      </c>
      <c r="S169" s="19">
        <v>6.6000000000000003E-2</v>
      </c>
      <c r="T169" s="19" t="s">
        <v>64</v>
      </c>
      <c r="U169" s="19" t="s">
        <v>65</v>
      </c>
      <c r="V169" s="19" t="s">
        <v>66</v>
      </c>
      <c r="W169" s="19" t="s">
        <v>67</v>
      </c>
      <c r="X169" s="19" t="s">
        <v>68</v>
      </c>
      <c r="Y169" s="21" t="s">
        <v>623</v>
      </c>
      <c r="Z169" s="21" t="s">
        <v>721</v>
      </c>
      <c r="AA169" s="21" t="s">
        <v>625</v>
      </c>
      <c r="AB169" s="21">
        <v>3</v>
      </c>
      <c r="AC169" s="21"/>
      <c r="AD169" s="21"/>
      <c r="AE169" s="21"/>
      <c r="AF169" s="21"/>
      <c r="AG169" s="21" t="s">
        <v>725</v>
      </c>
      <c r="AH169" s="21"/>
      <c r="AI169" s="21"/>
      <c r="AJ169" s="22"/>
      <c r="AK169" s="22"/>
      <c r="AL169" s="21" t="str">
        <f>_xlfn.XLOOKUP(A:A,[1]TAGS!$A:$A,[1]TAGS!$BG:$BG)</f>
        <v>Não Montado</v>
      </c>
      <c r="AM169" s="21" t="s">
        <v>70</v>
      </c>
      <c r="AN169" s="22"/>
      <c r="AO169" s="22"/>
      <c r="AP169" s="21"/>
      <c r="AQ169" s="21"/>
      <c r="AR169" s="21"/>
      <c r="AS169" s="21"/>
      <c r="AT169" s="21"/>
      <c r="AU169" s="21"/>
    </row>
    <row r="170" spans="1:47" x14ac:dyDescent="0.35">
      <c r="A170" s="19" t="s">
        <v>728</v>
      </c>
      <c r="B170" s="19" t="s">
        <v>52</v>
      </c>
      <c r="C170" s="19"/>
      <c r="D170" s="19" t="s">
        <v>53</v>
      </c>
      <c r="E170" s="19" t="s">
        <v>460</v>
      </c>
      <c r="F170" s="20" t="s">
        <v>397</v>
      </c>
      <c r="G170" s="20" t="s">
        <v>398</v>
      </c>
      <c r="H170" s="19" t="s">
        <v>729</v>
      </c>
      <c r="I170" s="20" t="s">
        <v>58</v>
      </c>
      <c r="J170" s="20" t="s">
        <v>400</v>
      </c>
      <c r="K170" s="20" t="s">
        <v>730</v>
      </c>
      <c r="L170" s="19" t="s">
        <v>61</v>
      </c>
      <c r="M170" s="19" t="s">
        <v>62</v>
      </c>
      <c r="N170" s="19" t="s">
        <v>683</v>
      </c>
      <c r="O170" s="19">
        <v>21</v>
      </c>
      <c r="P170" s="19">
        <v>3.73</v>
      </c>
      <c r="Q170" s="19">
        <v>1</v>
      </c>
      <c r="R170" s="20">
        <v>8</v>
      </c>
      <c r="S170" s="19">
        <v>6.6000000000000003E-2</v>
      </c>
      <c r="T170" s="19" t="s">
        <v>64</v>
      </c>
      <c r="U170" s="19" t="s">
        <v>65</v>
      </c>
      <c r="V170" s="19" t="s">
        <v>66</v>
      </c>
      <c r="W170" s="19" t="s">
        <v>67</v>
      </c>
      <c r="X170" s="19" t="s">
        <v>68</v>
      </c>
      <c r="Y170" s="21" t="s">
        <v>623</v>
      </c>
      <c r="Z170" s="21" t="s">
        <v>721</v>
      </c>
      <c r="AA170" s="21" t="s">
        <v>625</v>
      </c>
      <c r="AB170" s="21">
        <v>4</v>
      </c>
      <c r="AC170" s="21"/>
      <c r="AD170" s="21"/>
      <c r="AE170" s="21"/>
      <c r="AF170" s="21"/>
      <c r="AG170" s="21" t="s">
        <v>728</v>
      </c>
      <c r="AH170" s="21"/>
      <c r="AI170" s="21"/>
      <c r="AJ170" s="22"/>
      <c r="AK170" s="22"/>
      <c r="AL170" s="21" t="str">
        <f>_xlfn.XLOOKUP(A:A,[1]TAGS!$A:$A,[1]TAGS!$BG:$BG)</f>
        <v>Não Montado</v>
      </c>
      <c r="AM170" s="21" t="s">
        <v>70</v>
      </c>
      <c r="AN170" s="22"/>
      <c r="AO170" s="22"/>
      <c r="AP170" s="21"/>
      <c r="AQ170" s="21"/>
      <c r="AR170" s="21"/>
      <c r="AS170" s="21"/>
      <c r="AT170" s="21"/>
      <c r="AU170" s="21"/>
    </row>
    <row r="171" spans="1:47" x14ac:dyDescent="0.35">
      <c r="A171" s="19" t="s">
        <v>731</v>
      </c>
      <c r="B171" s="19" t="s">
        <v>52</v>
      </c>
      <c r="C171" s="19"/>
      <c r="D171" s="19" t="s">
        <v>53</v>
      </c>
      <c r="E171" s="19" t="s">
        <v>460</v>
      </c>
      <c r="F171" s="20" t="s">
        <v>397</v>
      </c>
      <c r="G171" s="20" t="s">
        <v>398</v>
      </c>
      <c r="H171" s="19" t="s">
        <v>732</v>
      </c>
      <c r="I171" s="20" t="s">
        <v>58</v>
      </c>
      <c r="J171" s="20" t="s">
        <v>400</v>
      </c>
      <c r="K171" s="20" t="s">
        <v>733</v>
      </c>
      <c r="L171" s="19" t="s">
        <v>61</v>
      </c>
      <c r="M171" s="19" t="s">
        <v>62</v>
      </c>
      <c r="N171" s="19" t="s">
        <v>683</v>
      </c>
      <c r="O171" s="19">
        <v>21</v>
      </c>
      <c r="P171" s="19">
        <v>3.73</v>
      </c>
      <c r="Q171" s="19">
        <v>1</v>
      </c>
      <c r="R171" s="20">
        <v>8</v>
      </c>
      <c r="S171" s="19">
        <v>6.6000000000000003E-2</v>
      </c>
      <c r="T171" s="19" t="s">
        <v>64</v>
      </c>
      <c r="U171" s="19" t="s">
        <v>65</v>
      </c>
      <c r="V171" s="19" t="s">
        <v>66</v>
      </c>
      <c r="W171" s="19" t="s">
        <v>67</v>
      </c>
      <c r="X171" s="19" t="s">
        <v>68</v>
      </c>
      <c r="Y171" s="21" t="s">
        <v>623</v>
      </c>
      <c r="Z171" s="21" t="s">
        <v>721</v>
      </c>
      <c r="AA171" s="21" t="s">
        <v>625</v>
      </c>
      <c r="AB171" s="21">
        <v>5</v>
      </c>
      <c r="AC171" s="21"/>
      <c r="AD171" s="21"/>
      <c r="AE171" s="21"/>
      <c r="AF171" s="21"/>
      <c r="AG171" s="21" t="s">
        <v>731</v>
      </c>
      <c r="AH171" s="21"/>
      <c r="AI171" s="21"/>
      <c r="AJ171" s="22"/>
      <c r="AK171" s="22"/>
      <c r="AL171" s="21" t="str">
        <f>_xlfn.XLOOKUP(A:A,[1]TAGS!$A:$A,[1]TAGS!$BG:$BG)</f>
        <v>Não Montado</v>
      </c>
      <c r="AM171" s="21" t="s">
        <v>70</v>
      </c>
      <c r="AN171" s="22"/>
      <c r="AO171" s="22"/>
      <c r="AP171" s="21"/>
      <c r="AQ171" s="21"/>
      <c r="AR171" s="21"/>
      <c r="AS171" s="21"/>
      <c r="AT171" s="21"/>
      <c r="AU171" s="21"/>
    </row>
    <row r="172" spans="1:47" x14ac:dyDescent="0.35">
      <c r="A172" s="19" t="s">
        <v>734</v>
      </c>
      <c r="B172" s="19" t="s">
        <v>52</v>
      </c>
      <c r="C172" s="19"/>
      <c r="D172" s="19" t="s">
        <v>53</v>
      </c>
      <c r="E172" s="19" t="s">
        <v>460</v>
      </c>
      <c r="F172" s="20" t="s">
        <v>706</v>
      </c>
      <c r="G172" s="20" t="s">
        <v>707</v>
      </c>
      <c r="H172" s="19" t="s">
        <v>735</v>
      </c>
      <c r="I172" s="20" t="s">
        <v>124</v>
      </c>
      <c r="J172" s="20" t="s">
        <v>709</v>
      </c>
      <c r="K172" s="20" t="s">
        <v>736</v>
      </c>
      <c r="L172" s="19" t="s">
        <v>61</v>
      </c>
      <c r="M172" s="19" t="s">
        <v>62</v>
      </c>
      <c r="N172" s="19" t="s">
        <v>683</v>
      </c>
      <c r="O172" s="19">
        <v>21</v>
      </c>
      <c r="P172" s="19">
        <v>3.73</v>
      </c>
      <c r="Q172" s="19">
        <v>1</v>
      </c>
      <c r="R172" s="20">
        <v>8</v>
      </c>
      <c r="S172" s="19">
        <v>6.6000000000000003E-2</v>
      </c>
      <c r="T172" s="19" t="s">
        <v>64</v>
      </c>
      <c r="U172" s="19" t="s">
        <v>65</v>
      </c>
      <c r="V172" s="19" t="s">
        <v>66</v>
      </c>
      <c r="W172" s="19" t="s">
        <v>67</v>
      </c>
      <c r="X172" s="19" t="s">
        <v>68</v>
      </c>
      <c r="Y172" s="21" t="s">
        <v>623</v>
      </c>
      <c r="Z172" s="21" t="s">
        <v>721</v>
      </c>
      <c r="AA172" s="21" t="s">
        <v>692</v>
      </c>
      <c r="AB172" s="21">
        <v>3</v>
      </c>
      <c r="AC172" s="21"/>
      <c r="AD172" s="21"/>
      <c r="AE172" s="21"/>
      <c r="AF172" s="21"/>
      <c r="AG172" s="21" t="s">
        <v>734</v>
      </c>
      <c r="AH172" s="21"/>
      <c r="AI172" s="21"/>
      <c r="AJ172" s="22"/>
      <c r="AK172" s="22"/>
      <c r="AL172" s="21" t="str">
        <f>_xlfn.XLOOKUP(A:A,[1]TAGS!$A:$A,[1]TAGS!$BG:$BG)</f>
        <v>Não Montado</v>
      </c>
      <c r="AM172" s="21" t="s">
        <v>70</v>
      </c>
      <c r="AN172" s="22"/>
      <c r="AO172" s="22"/>
      <c r="AP172" s="21"/>
      <c r="AQ172" s="21"/>
      <c r="AR172" s="21"/>
      <c r="AS172" s="21"/>
      <c r="AT172" s="21"/>
      <c r="AU172" s="21"/>
    </row>
    <row r="173" spans="1:47" x14ac:dyDescent="0.35">
      <c r="A173" s="19" t="s">
        <v>737</v>
      </c>
      <c r="B173" s="19" t="s">
        <v>52</v>
      </c>
      <c r="C173" s="19"/>
      <c r="D173" s="19" t="s">
        <v>53</v>
      </c>
      <c r="E173" s="19" t="s">
        <v>54</v>
      </c>
      <c r="F173" s="20" t="s">
        <v>89</v>
      </c>
      <c r="G173" s="20" t="s">
        <v>738</v>
      </c>
      <c r="H173" s="19" t="s">
        <v>739</v>
      </c>
      <c r="I173" s="20" t="s">
        <v>124</v>
      </c>
      <c r="J173" s="20" t="s">
        <v>740</v>
      </c>
      <c r="K173" s="20" t="s">
        <v>741</v>
      </c>
      <c r="L173" s="19" t="s">
        <v>61</v>
      </c>
      <c r="M173" s="19" t="s">
        <v>62</v>
      </c>
      <c r="N173" s="20" t="s">
        <v>63</v>
      </c>
      <c r="O173" s="19">
        <v>21</v>
      </c>
      <c r="P173" s="19">
        <v>3.73</v>
      </c>
      <c r="Q173" s="19">
        <v>1</v>
      </c>
      <c r="R173" s="20">
        <v>7</v>
      </c>
      <c r="S173" s="19">
        <v>6.6000000000000003E-2</v>
      </c>
      <c r="T173" s="19" t="s">
        <v>64</v>
      </c>
      <c r="U173" s="19" t="s">
        <v>65</v>
      </c>
      <c r="V173" s="19" t="s">
        <v>66</v>
      </c>
      <c r="W173" s="19" t="s">
        <v>67</v>
      </c>
      <c r="X173" s="19" t="s">
        <v>68</v>
      </c>
      <c r="Y173" s="21" t="s">
        <v>69</v>
      </c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2"/>
      <c r="AK173" s="22"/>
      <c r="AL173" s="22"/>
      <c r="AM173" s="21" t="s">
        <v>70</v>
      </c>
      <c r="AN173" s="21" t="s">
        <v>70</v>
      </c>
      <c r="AO173" s="21" t="str">
        <f>_xlfn.XLOOKUP(A:A,[1]TAGS!$A:$A,[1]TAGS!$BG:$BG)</f>
        <v>Montado</v>
      </c>
      <c r="AP173" s="21"/>
      <c r="AQ173" s="21"/>
      <c r="AR173" s="21"/>
      <c r="AS173" s="21"/>
      <c r="AT173" s="21"/>
      <c r="AU173" s="21"/>
    </row>
    <row r="174" spans="1:47" x14ac:dyDescent="0.35">
      <c r="A174" s="19" t="s">
        <v>742</v>
      </c>
      <c r="B174" s="19" t="s">
        <v>52</v>
      </c>
      <c r="C174" s="19"/>
      <c r="D174" s="19" t="s">
        <v>53</v>
      </c>
      <c r="E174" s="19" t="s">
        <v>54</v>
      </c>
      <c r="F174" s="20" t="s">
        <v>89</v>
      </c>
      <c r="G174" s="20" t="s">
        <v>738</v>
      </c>
      <c r="H174" s="19" t="s">
        <v>743</v>
      </c>
      <c r="I174" s="20" t="s">
        <v>124</v>
      </c>
      <c r="J174" s="20" t="s">
        <v>740</v>
      </c>
      <c r="K174" s="20" t="s">
        <v>744</v>
      </c>
      <c r="L174" s="19" t="s">
        <v>61</v>
      </c>
      <c r="M174" s="19" t="s">
        <v>62</v>
      </c>
      <c r="N174" s="20" t="s">
        <v>63</v>
      </c>
      <c r="O174" s="19">
        <v>21</v>
      </c>
      <c r="P174" s="19">
        <v>3.73</v>
      </c>
      <c r="Q174" s="19">
        <v>1</v>
      </c>
      <c r="R174" s="20">
        <v>7</v>
      </c>
      <c r="S174" s="19">
        <v>6.6000000000000003E-2</v>
      </c>
      <c r="T174" s="19" t="s">
        <v>64</v>
      </c>
      <c r="U174" s="19" t="s">
        <v>65</v>
      </c>
      <c r="V174" s="19" t="s">
        <v>66</v>
      </c>
      <c r="W174" s="19" t="s">
        <v>67</v>
      </c>
      <c r="X174" s="19" t="s">
        <v>68</v>
      </c>
      <c r="Y174" s="21" t="s">
        <v>69</v>
      </c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2"/>
      <c r="AK174" s="22"/>
      <c r="AL174" s="22"/>
      <c r="AM174" s="21" t="s">
        <v>70</v>
      </c>
      <c r="AN174" s="21" t="s">
        <v>70</v>
      </c>
      <c r="AO174" s="21" t="str">
        <f>_xlfn.XLOOKUP(A:A,[1]TAGS!$A:$A,[1]TAGS!$BG:$BG)</f>
        <v>Não Montado</v>
      </c>
      <c r="AP174" s="21"/>
      <c r="AQ174" s="21"/>
      <c r="AR174" s="21"/>
      <c r="AS174" s="21"/>
      <c r="AT174" s="21"/>
      <c r="AU174" s="21"/>
    </row>
    <row r="175" spans="1:47" x14ac:dyDescent="0.35">
      <c r="A175" s="19" t="s">
        <v>745</v>
      </c>
      <c r="B175" s="19" t="s">
        <v>52</v>
      </c>
      <c r="C175" s="19"/>
      <c r="D175" s="19" t="s">
        <v>53</v>
      </c>
      <c r="E175" s="19" t="s">
        <v>54</v>
      </c>
      <c r="F175" s="20" t="s">
        <v>746</v>
      </c>
      <c r="G175" s="20" t="s">
        <v>747</v>
      </c>
      <c r="H175" s="19" t="s">
        <v>748</v>
      </c>
      <c r="I175" s="20" t="s">
        <v>58</v>
      </c>
      <c r="J175" s="20" t="s">
        <v>749</v>
      </c>
      <c r="K175" s="20" t="s">
        <v>750</v>
      </c>
      <c r="L175" s="19" t="s">
        <v>61</v>
      </c>
      <c r="M175" s="19" t="s">
        <v>62</v>
      </c>
      <c r="N175" s="20" t="s">
        <v>63</v>
      </c>
      <c r="O175" s="19">
        <v>21</v>
      </c>
      <c r="P175" s="19">
        <v>3.73</v>
      </c>
      <c r="Q175" s="19">
        <v>1</v>
      </c>
      <c r="R175" s="20">
        <v>7</v>
      </c>
      <c r="S175" s="19">
        <v>6.6000000000000003E-2</v>
      </c>
      <c r="T175" s="19" t="s">
        <v>64</v>
      </c>
      <c r="U175" s="19" t="s">
        <v>65</v>
      </c>
      <c r="V175" s="19" t="s">
        <v>66</v>
      </c>
      <c r="W175" s="19" t="s">
        <v>67</v>
      </c>
      <c r="X175" s="19" t="s">
        <v>68</v>
      </c>
      <c r="Y175" s="21" t="s">
        <v>69</v>
      </c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2"/>
      <c r="AK175" s="22"/>
      <c r="AL175" s="22"/>
      <c r="AM175" s="21" t="s">
        <v>70</v>
      </c>
      <c r="AN175" s="21" t="s">
        <v>70</v>
      </c>
      <c r="AO175" s="21" t="str">
        <f>_xlfn.XLOOKUP(A:A,[1]TAGS!$A:$A,[1]TAGS!$BG:$BG)</f>
        <v>Montado</v>
      </c>
      <c r="AP175" s="21"/>
      <c r="AQ175" s="21"/>
      <c r="AR175" s="21"/>
      <c r="AS175" s="21"/>
      <c r="AT175" s="21"/>
      <c r="AU175" s="21"/>
    </row>
    <row r="176" spans="1:47" x14ac:dyDescent="0.35">
      <c r="A176" s="19" t="s">
        <v>751</v>
      </c>
      <c r="B176" s="19" t="s">
        <v>52</v>
      </c>
      <c r="C176" s="19"/>
      <c r="D176" s="19" t="s">
        <v>53</v>
      </c>
      <c r="E176" s="19" t="s">
        <v>54</v>
      </c>
      <c r="F176" s="20" t="s">
        <v>746</v>
      </c>
      <c r="G176" s="20" t="s">
        <v>747</v>
      </c>
      <c r="H176" s="19" t="s">
        <v>752</v>
      </c>
      <c r="I176" s="20" t="s">
        <v>58</v>
      </c>
      <c r="J176" s="20" t="s">
        <v>749</v>
      </c>
      <c r="K176" s="20" t="s">
        <v>753</v>
      </c>
      <c r="L176" s="19" t="s">
        <v>61</v>
      </c>
      <c r="M176" s="19" t="s">
        <v>62</v>
      </c>
      <c r="N176" s="20" t="s">
        <v>63</v>
      </c>
      <c r="O176" s="19">
        <v>21</v>
      </c>
      <c r="P176" s="19">
        <v>3.73</v>
      </c>
      <c r="Q176" s="19">
        <v>1</v>
      </c>
      <c r="R176" s="20">
        <v>7</v>
      </c>
      <c r="S176" s="19">
        <v>6.6000000000000003E-2</v>
      </c>
      <c r="T176" s="19" t="s">
        <v>64</v>
      </c>
      <c r="U176" s="19" t="s">
        <v>65</v>
      </c>
      <c r="V176" s="19" t="s">
        <v>66</v>
      </c>
      <c r="W176" s="19" t="s">
        <v>67</v>
      </c>
      <c r="X176" s="19" t="s">
        <v>68</v>
      </c>
      <c r="Y176" s="21" t="s">
        <v>69</v>
      </c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2"/>
      <c r="AK176" s="22"/>
      <c r="AL176" s="22"/>
      <c r="AM176" s="21" t="s">
        <v>70</v>
      </c>
      <c r="AN176" s="21" t="s">
        <v>70</v>
      </c>
      <c r="AO176" s="21" t="str">
        <f>_xlfn.XLOOKUP(A:A,[1]TAGS!$A:$A,[1]TAGS!$BG:$BG)</f>
        <v>Programar</v>
      </c>
      <c r="AP176" s="21"/>
      <c r="AQ176" s="21"/>
      <c r="AR176" s="21"/>
      <c r="AS176" s="21"/>
      <c r="AT176" s="21"/>
      <c r="AU176" s="21"/>
    </row>
    <row r="177" spans="1:47" x14ac:dyDescent="0.35">
      <c r="A177" s="19" t="s">
        <v>754</v>
      </c>
      <c r="B177" s="19" t="s">
        <v>52</v>
      </c>
      <c r="C177" s="19"/>
      <c r="D177" s="19" t="s">
        <v>53</v>
      </c>
      <c r="E177" s="19" t="s">
        <v>54</v>
      </c>
      <c r="F177" s="20" t="s">
        <v>664</v>
      </c>
      <c r="G177" s="20" t="s">
        <v>665</v>
      </c>
      <c r="H177" s="19" t="s">
        <v>755</v>
      </c>
      <c r="I177" s="20" t="s">
        <v>58</v>
      </c>
      <c r="J177" s="20" t="s">
        <v>667</v>
      </c>
      <c r="K177" s="20" t="s">
        <v>756</v>
      </c>
      <c r="L177" s="19" t="s">
        <v>61</v>
      </c>
      <c r="M177" s="19" t="s">
        <v>62</v>
      </c>
      <c r="N177" s="20" t="s">
        <v>63</v>
      </c>
      <c r="O177" s="19">
        <v>21</v>
      </c>
      <c r="P177" s="19">
        <v>3.73</v>
      </c>
      <c r="Q177" s="19">
        <v>1</v>
      </c>
      <c r="R177" s="20">
        <v>7</v>
      </c>
      <c r="S177" s="19">
        <v>6.6000000000000003E-2</v>
      </c>
      <c r="T177" s="19" t="s">
        <v>64</v>
      </c>
      <c r="U177" s="19" t="s">
        <v>65</v>
      </c>
      <c r="V177" s="19" t="s">
        <v>66</v>
      </c>
      <c r="W177" s="19" t="s">
        <v>67</v>
      </c>
      <c r="X177" s="19" t="s">
        <v>68</v>
      </c>
      <c r="Y177" s="21" t="s">
        <v>69</v>
      </c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2"/>
      <c r="AK177" s="22"/>
      <c r="AL177" s="22"/>
      <c r="AM177" s="21" t="s">
        <v>70</v>
      </c>
      <c r="AN177" s="21" t="s">
        <v>70</v>
      </c>
      <c r="AO177" s="21" t="str">
        <f>_xlfn.XLOOKUP(A:A,[1]TAGS!$A:$A,[1]TAGS!$BG:$BG)</f>
        <v>Não Montado</v>
      </c>
      <c r="AP177" s="21"/>
      <c r="AQ177" s="21"/>
      <c r="AR177" s="21"/>
      <c r="AS177" s="21"/>
      <c r="AT177" s="21"/>
      <c r="AU177" s="21"/>
    </row>
    <row r="178" spans="1:47" x14ac:dyDescent="0.35">
      <c r="A178" s="19" t="s">
        <v>757</v>
      </c>
      <c r="B178" s="19" t="s">
        <v>52</v>
      </c>
      <c r="C178" s="19"/>
      <c r="D178" s="19" t="s">
        <v>53</v>
      </c>
      <c r="E178" s="19" t="s">
        <v>54</v>
      </c>
      <c r="F178" s="20" t="s">
        <v>664</v>
      </c>
      <c r="G178" s="20" t="s">
        <v>665</v>
      </c>
      <c r="H178" s="19" t="s">
        <v>758</v>
      </c>
      <c r="I178" s="20" t="s">
        <v>58</v>
      </c>
      <c r="J178" s="20" t="s">
        <v>667</v>
      </c>
      <c r="K178" s="20" t="s">
        <v>759</v>
      </c>
      <c r="L178" s="19" t="s">
        <v>61</v>
      </c>
      <c r="M178" s="19" t="s">
        <v>62</v>
      </c>
      <c r="N178" s="20" t="s">
        <v>63</v>
      </c>
      <c r="O178" s="19">
        <v>21</v>
      </c>
      <c r="P178" s="19">
        <v>3.73</v>
      </c>
      <c r="Q178" s="19">
        <v>1</v>
      </c>
      <c r="R178" s="20">
        <v>7</v>
      </c>
      <c r="S178" s="19">
        <v>6.6000000000000003E-2</v>
      </c>
      <c r="T178" s="19" t="s">
        <v>64</v>
      </c>
      <c r="U178" s="19" t="s">
        <v>65</v>
      </c>
      <c r="V178" s="19" t="s">
        <v>66</v>
      </c>
      <c r="W178" s="19" t="s">
        <v>67</v>
      </c>
      <c r="X178" s="19" t="s">
        <v>68</v>
      </c>
      <c r="Y178" s="21" t="s">
        <v>69</v>
      </c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2"/>
      <c r="AK178" s="22"/>
      <c r="AL178" s="22"/>
      <c r="AM178" s="21" t="s">
        <v>70</v>
      </c>
      <c r="AN178" s="21" t="s">
        <v>70</v>
      </c>
      <c r="AO178" s="21" t="str">
        <f>_xlfn.XLOOKUP(A:A,[1]TAGS!$A:$A,[1]TAGS!$BG:$BG)</f>
        <v>Não Montado</v>
      </c>
      <c r="AP178" s="21"/>
      <c r="AQ178" s="21"/>
      <c r="AR178" s="21"/>
      <c r="AS178" s="21"/>
      <c r="AT178" s="21"/>
      <c r="AU178" s="21"/>
    </row>
    <row r="179" spans="1:47" x14ac:dyDescent="0.35">
      <c r="A179" s="19" t="s">
        <v>760</v>
      </c>
      <c r="B179" s="19" t="s">
        <v>52</v>
      </c>
      <c r="C179" s="19"/>
      <c r="D179" s="19" t="s">
        <v>53</v>
      </c>
      <c r="E179" s="19" t="s">
        <v>54</v>
      </c>
      <c r="F179" s="20" t="s">
        <v>664</v>
      </c>
      <c r="G179" s="20" t="s">
        <v>665</v>
      </c>
      <c r="H179" s="19" t="s">
        <v>761</v>
      </c>
      <c r="I179" s="20" t="s">
        <v>58</v>
      </c>
      <c r="J179" s="20" t="s">
        <v>667</v>
      </c>
      <c r="K179" s="20" t="s">
        <v>762</v>
      </c>
      <c r="L179" s="19" t="s">
        <v>61</v>
      </c>
      <c r="M179" s="19" t="s">
        <v>62</v>
      </c>
      <c r="N179" s="20" t="s">
        <v>63</v>
      </c>
      <c r="O179" s="19">
        <v>21</v>
      </c>
      <c r="P179" s="19">
        <v>3.73</v>
      </c>
      <c r="Q179" s="19">
        <v>1</v>
      </c>
      <c r="R179" s="20">
        <v>7</v>
      </c>
      <c r="S179" s="19">
        <v>6.6000000000000003E-2</v>
      </c>
      <c r="T179" s="19" t="s">
        <v>64</v>
      </c>
      <c r="U179" s="19" t="s">
        <v>65</v>
      </c>
      <c r="V179" s="19" t="s">
        <v>66</v>
      </c>
      <c r="W179" s="19" t="s">
        <v>67</v>
      </c>
      <c r="X179" s="19" t="s">
        <v>68</v>
      </c>
      <c r="Y179" s="21" t="s">
        <v>69</v>
      </c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2"/>
      <c r="AK179" s="22"/>
      <c r="AL179" s="22"/>
      <c r="AM179" s="21" t="s">
        <v>70</v>
      </c>
      <c r="AN179" s="21" t="s">
        <v>70</v>
      </c>
      <c r="AO179" s="21" t="str">
        <f>_xlfn.XLOOKUP(A:A,[1]TAGS!$A:$A,[1]TAGS!$BG:$BG)</f>
        <v>Não Montado</v>
      </c>
      <c r="AP179" s="21"/>
      <c r="AQ179" s="21"/>
      <c r="AR179" s="21"/>
      <c r="AS179" s="21"/>
      <c r="AT179" s="21"/>
      <c r="AU179" s="21"/>
    </row>
    <row r="180" spans="1:47" x14ac:dyDescent="0.35">
      <c r="A180" s="19" t="s">
        <v>763</v>
      </c>
      <c r="B180" s="19" t="s">
        <v>52</v>
      </c>
      <c r="C180" s="19"/>
      <c r="D180" s="19" t="s">
        <v>53</v>
      </c>
      <c r="E180" s="19" t="s">
        <v>54</v>
      </c>
      <c r="F180" s="20" t="s">
        <v>664</v>
      </c>
      <c r="G180" s="20" t="s">
        <v>665</v>
      </c>
      <c r="H180" s="19" t="s">
        <v>764</v>
      </c>
      <c r="I180" s="20" t="s">
        <v>58</v>
      </c>
      <c r="J180" s="20" t="s">
        <v>667</v>
      </c>
      <c r="K180" s="20" t="s">
        <v>765</v>
      </c>
      <c r="L180" s="19" t="s">
        <v>61</v>
      </c>
      <c r="M180" s="19" t="s">
        <v>62</v>
      </c>
      <c r="N180" s="20" t="s">
        <v>63</v>
      </c>
      <c r="O180" s="19">
        <v>21</v>
      </c>
      <c r="P180" s="19">
        <v>3.73</v>
      </c>
      <c r="Q180" s="19">
        <v>1</v>
      </c>
      <c r="R180" s="20">
        <v>7</v>
      </c>
      <c r="S180" s="19">
        <v>6.6000000000000003E-2</v>
      </c>
      <c r="T180" s="19" t="s">
        <v>64</v>
      </c>
      <c r="U180" s="19" t="s">
        <v>65</v>
      </c>
      <c r="V180" s="19" t="s">
        <v>66</v>
      </c>
      <c r="W180" s="19" t="s">
        <v>67</v>
      </c>
      <c r="X180" s="19" t="s">
        <v>68</v>
      </c>
      <c r="Y180" s="21" t="s">
        <v>69</v>
      </c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2"/>
      <c r="AK180" s="22"/>
      <c r="AL180" s="22"/>
      <c r="AM180" s="21" t="s">
        <v>70</v>
      </c>
      <c r="AN180" s="21" t="s">
        <v>70</v>
      </c>
      <c r="AO180" s="21" t="str">
        <f>_xlfn.XLOOKUP(A:A,[1]TAGS!$A:$A,[1]TAGS!$BG:$BG)</f>
        <v>Não Montado</v>
      </c>
      <c r="AP180" s="21"/>
      <c r="AQ180" s="21"/>
      <c r="AR180" s="21"/>
      <c r="AS180" s="21"/>
      <c r="AT180" s="21"/>
      <c r="AU180" s="21"/>
    </row>
    <row r="181" spans="1:47" x14ac:dyDescent="0.35">
      <c r="A181" s="19" t="s">
        <v>766</v>
      </c>
      <c r="B181" s="19" t="s">
        <v>52</v>
      </c>
      <c r="C181" s="19"/>
      <c r="D181" s="19" t="s">
        <v>53</v>
      </c>
      <c r="E181" s="19" t="s">
        <v>54</v>
      </c>
      <c r="F181" s="20" t="s">
        <v>664</v>
      </c>
      <c r="G181" s="20" t="s">
        <v>665</v>
      </c>
      <c r="H181" s="19" t="s">
        <v>767</v>
      </c>
      <c r="I181" s="20" t="s">
        <v>58</v>
      </c>
      <c r="J181" s="20" t="s">
        <v>667</v>
      </c>
      <c r="K181" s="20" t="s">
        <v>768</v>
      </c>
      <c r="L181" s="19" t="s">
        <v>61</v>
      </c>
      <c r="M181" s="19" t="s">
        <v>62</v>
      </c>
      <c r="N181" s="20" t="s">
        <v>63</v>
      </c>
      <c r="O181" s="19">
        <v>21</v>
      </c>
      <c r="P181" s="19">
        <v>3.73</v>
      </c>
      <c r="Q181" s="19">
        <v>1</v>
      </c>
      <c r="R181" s="20">
        <v>7</v>
      </c>
      <c r="S181" s="19">
        <v>6.6000000000000003E-2</v>
      </c>
      <c r="T181" s="19" t="s">
        <v>64</v>
      </c>
      <c r="U181" s="19" t="s">
        <v>65</v>
      </c>
      <c r="V181" s="19" t="s">
        <v>66</v>
      </c>
      <c r="W181" s="19" t="s">
        <v>67</v>
      </c>
      <c r="X181" s="19" t="s">
        <v>68</v>
      </c>
      <c r="Y181" s="21" t="s">
        <v>69</v>
      </c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2"/>
      <c r="AK181" s="22"/>
      <c r="AL181" s="22"/>
      <c r="AM181" s="21" t="s">
        <v>70</v>
      </c>
      <c r="AN181" s="21" t="s">
        <v>70</v>
      </c>
      <c r="AO181" s="21" t="str">
        <f>_xlfn.XLOOKUP(A:A,[1]TAGS!$A:$A,[1]TAGS!$BG:$BG)</f>
        <v>Não Montado</v>
      </c>
      <c r="AP181" s="21"/>
      <c r="AQ181" s="21"/>
      <c r="AR181" s="21"/>
      <c r="AS181" s="21"/>
      <c r="AT181" s="21"/>
      <c r="AU181" s="21"/>
    </row>
    <row r="182" spans="1:47" x14ac:dyDescent="0.35">
      <c r="A182" s="19" t="s">
        <v>769</v>
      </c>
      <c r="B182" s="19" t="s">
        <v>52</v>
      </c>
      <c r="C182" s="19"/>
      <c r="D182" s="19" t="s">
        <v>53</v>
      </c>
      <c r="E182" s="19" t="s">
        <v>54</v>
      </c>
      <c r="F182" s="20" t="s">
        <v>664</v>
      </c>
      <c r="G182" s="20" t="s">
        <v>665</v>
      </c>
      <c r="H182" s="19" t="s">
        <v>770</v>
      </c>
      <c r="I182" s="20" t="s">
        <v>58</v>
      </c>
      <c r="J182" s="20" t="s">
        <v>667</v>
      </c>
      <c r="K182" s="20" t="s">
        <v>771</v>
      </c>
      <c r="L182" s="19" t="s">
        <v>61</v>
      </c>
      <c r="M182" s="19" t="s">
        <v>62</v>
      </c>
      <c r="N182" s="20" t="s">
        <v>63</v>
      </c>
      <c r="O182" s="19">
        <v>21</v>
      </c>
      <c r="P182" s="19">
        <v>3.73</v>
      </c>
      <c r="Q182" s="19">
        <v>1</v>
      </c>
      <c r="R182" s="20">
        <v>7</v>
      </c>
      <c r="S182" s="19">
        <v>6.6000000000000003E-2</v>
      </c>
      <c r="T182" s="19" t="s">
        <v>64</v>
      </c>
      <c r="U182" s="19" t="s">
        <v>65</v>
      </c>
      <c r="V182" s="19" t="s">
        <v>66</v>
      </c>
      <c r="W182" s="19" t="s">
        <v>67</v>
      </c>
      <c r="X182" s="19" t="s">
        <v>68</v>
      </c>
      <c r="Y182" s="21" t="s">
        <v>69</v>
      </c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2"/>
      <c r="AK182" s="22"/>
      <c r="AL182" s="22"/>
      <c r="AM182" s="21" t="s">
        <v>70</v>
      </c>
      <c r="AN182" s="21" t="s">
        <v>70</v>
      </c>
      <c r="AO182" s="21" t="str">
        <f>_xlfn.XLOOKUP(A:A,[1]TAGS!$A:$A,[1]TAGS!$BG:$BG)</f>
        <v>Não Montado</v>
      </c>
      <c r="AP182" s="21"/>
      <c r="AQ182" s="21"/>
      <c r="AR182" s="21"/>
      <c r="AS182" s="21"/>
      <c r="AT182" s="21"/>
      <c r="AU182" s="21"/>
    </row>
    <row r="183" spans="1:47" x14ac:dyDescent="0.35">
      <c r="A183" s="19" t="s">
        <v>772</v>
      </c>
      <c r="B183" s="19" t="s">
        <v>52</v>
      </c>
      <c r="C183" s="19"/>
      <c r="D183" s="19" t="s">
        <v>53</v>
      </c>
      <c r="E183" s="19" t="s">
        <v>54</v>
      </c>
      <c r="F183" s="20" t="s">
        <v>664</v>
      </c>
      <c r="G183" s="20" t="s">
        <v>665</v>
      </c>
      <c r="H183" s="19" t="s">
        <v>773</v>
      </c>
      <c r="I183" s="20" t="s">
        <v>58</v>
      </c>
      <c r="J183" s="20" t="s">
        <v>667</v>
      </c>
      <c r="K183" s="20" t="s">
        <v>774</v>
      </c>
      <c r="L183" s="19" t="s">
        <v>61</v>
      </c>
      <c r="M183" s="19" t="s">
        <v>62</v>
      </c>
      <c r="N183" s="20" t="s">
        <v>63</v>
      </c>
      <c r="O183" s="19">
        <v>21</v>
      </c>
      <c r="P183" s="19">
        <v>3.73</v>
      </c>
      <c r="Q183" s="19">
        <v>1</v>
      </c>
      <c r="R183" s="20">
        <v>7</v>
      </c>
      <c r="S183" s="19">
        <v>6.6000000000000003E-2</v>
      </c>
      <c r="T183" s="19" t="s">
        <v>64</v>
      </c>
      <c r="U183" s="19" t="s">
        <v>65</v>
      </c>
      <c r="V183" s="19" t="s">
        <v>66</v>
      </c>
      <c r="W183" s="19" t="s">
        <v>67</v>
      </c>
      <c r="X183" s="19" t="s">
        <v>68</v>
      </c>
      <c r="Y183" s="21" t="s">
        <v>69</v>
      </c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2"/>
      <c r="AK183" s="22"/>
      <c r="AL183" s="22"/>
      <c r="AM183" s="21" t="s">
        <v>70</v>
      </c>
      <c r="AN183" s="21" t="s">
        <v>70</v>
      </c>
      <c r="AO183" s="21" t="str">
        <f>_xlfn.XLOOKUP(A:A,[1]TAGS!$A:$A,[1]TAGS!$BG:$BG)</f>
        <v>Não Montado</v>
      </c>
      <c r="AP183" s="21"/>
      <c r="AQ183" s="21"/>
      <c r="AR183" s="21"/>
      <c r="AS183" s="21"/>
      <c r="AT183" s="21"/>
      <c r="AU183" s="21"/>
    </row>
    <row r="184" spans="1:47" x14ac:dyDescent="0.35">
      <c r="A184" s="19" t="s">
        <v>775</v>
      </c>
      <c r="B184" s="19" t="s">
        <v>52</v>
      </c>
      <c r="C184" s="19"/>
      <c r="D184" s="19" t="s">
        <v>53</v>
      </c>
      <c r="E184" s="19" t="s">
        <v>54</v>
      </c>
      <c r="F184" s="20" t="s">
        <v>89</v>
      </c>
      <c r="G184" s="20" t="s">
        <v>90</v>
      </c>
      <c r="H184" s="19" t="s">
        <v>776</v>
      </c>
      <c r="I184" s="20" t="s">
        <v>58</v>
      </c>
      <c r="J184" s="20" t="s">
        <v>92</v>
      </c>
      <c r="K184" s="20" t="s">
        <v>777</v>
      </c>
      <c r="L184" s="19" t="s">
        <v>61</v>
      </c>
      <c r="M184" s="19" t="s">
        <v>62</v>
      </c>
      <c r="N184" s="20" t="s">
        <v>63</v>
      </c>
      <c r="O184" s="19">
        <v>21</v>
      </c>
      <c r="P184" s="19">
        <v>3.73</v>
      </c>
      <c r="Q184" s="19">
        <v>1</v>
      </c>
      <c r="R184" s="20">
        <v>7</v>
      </c>
      <c r="S184" s="19">
        <v>6.6000000000000003E-2</v>
      </c>
      <c r="T184" s="19" t="s">
        <v>64</v>
      </c>
      <c r="U184" s="19" t="s">
        <v>65</v>
      </c>
      <c r="V184" s="19" t="s">
        <v>66</v>
      </c>
      <c r="W184" s="19" t="s">
        <v>67</v>
      </c>
      <c r="X184" s="19" t="s">
        <v>68</v>
      </c>
      <c r="Y184" s="21" t="s">
        <v>69</v>
      </c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2"/>
      <c r="AK184" s="22"/>
      <c r="AL184" s="22"/>
      <c r="AM184" s="21" t="s">
        <v>70</v>
      </c>
      <c r="AN184" s="21" t="s">
        <v>70</v>
      </c>
      <c r="AO184" s="21" t="str">
        <f>_xlfn.XLOOKUP(A:A,[1]TAGS!$A:$A,[1]TAGS!$BG:$BG)</f>
        <v>Não Montado</v>
      </c>
      <c r="AP184" s="21"/>
      <c r="AQ184" s="21"/>
      <c r="AR184" s="21"/>
      <c r="AS184" s="21"/>
      <c r="AT184" s="21"/>
      <c r="AU184" s="21"/>
    </row>
    <row r="185" spans="1:47" x14ac:dyDescent="0.35">
      <c r="A185" s="19" t="s">
        <v>778</v>
      </c>
      <c r="B185" s="19" t="s">
        <v>52</v>
      </c>
      <c r="C185" s="19"/>
      <c r="D185" s="19" t="s">
        <v>53</v>
      </c>
      <c r="E185" s="19" t="s">
        <v>54</v>
      </c>
      <c r="F185" s="20" t="s">
        <v>306</v>
      </c>
      <c r="G185" s="20" t="s">
        <v>779</v>
      </c>
      <c r="H185" s="19" t="s">
        <v>780</v>
      </c>
      <c r="I185" s="20" t="s">
        <v>124</v>
      </c>
      <c r="J185" s="20" t="s">
        <v>781</v>
      </c>
      <c r="K185" s="20" t="s">
        <v>782</v>
      </c>
      <c r="L185" s="19" t="s">
        <v>61</v>
      </c>
      <c r="M185" s="19" t="s">
        <v>62</v>
      </c>
      <c r="N185" s="20" t="s">
        <v>63</v>
      </c>
      <c r="O185" s="19">
        <v>21</v>
      </c>
      <c r="P185" s="19">
        <v>3.73</v>
      </c>
      <c r="Q185" s="19">
        <v>1</v>
      </c>
      <c r="R185" s="20">
        <v>7</v>
      </c>
      <c r="S185" s="19">
        <v>6.6000000000000003E-2</v>
      </c>
      <c r="T185" s="19" t="s">
        <v>64</v>
      </c>
      <c r="U185" s="19" t="s">
        <v>65</v>
      </c>
      <c r="V185" s="19" t="s">
        <v>66</v>
      </c>
      <c r="W185" s="19" t="s">
        <v>67</v>
      </c>
      <c r="X185" s="19" t="s">
        <v>68</v>
      </c>
      <c r="Y185" s="21" t="s">
        <v>69</v>
      </c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2"/>
      <c r="AK185" s="22"/>
      <c r="AL185" s="22"/>
      <c r="AM185" s="21" t="s">
        <v>70</v>
      </c>
      <c r="AN185" s="21" t="s">
        <v>70</v>
      </c>
      <c r="AO185" s="21" t="str">
        <f>_xlfn.XLOOKUP(A:A,[1]TAGS!$A:$A,[1]TAGS!$BG:$BG)</f>
        <v>Não Montado</v>
      </c>
      <c r="AP185" s="21"/>
      <c r="AQ185" s="21"/>
      <c r="AR185" s="21"/>
      <c r="AS185" s="21"/>
      <c r="AT185" s="21"/>
      <c r="AU185" s="21"/>
    </row>
    <row r="186" spans="1:47" x14ac:dyDescent="0.35">
      <c r="A186" s="19" t="s">
        <v>783</v>
      </c>
      <c r="B186" s="19" t="s">
        <v>52</v>
      </c>
      <c r="C186" s="19"/>
      <c r="D186" s="19" t="s">
        <v>53</v>
      </c>
      <c r="E186" s="19" t="s">
        <v>54</v>
      </c>
      <c r="F186" s="20" t="s">
        <v>306</v>
      </c>
      <c r="G186" s="20" t="s">
        <v>779</v>
      </c>
      <c r="H186" s="19" t="s">
        <v>784</v>
      </c>
      <c r="I186" s="20" t="s">
        <v>124</v>
      </c>
      <c r="J186" s="20" t="s">
        <v>781</v>
      </c>
      <c r="K186" s="20" t="s">
        <v>785</v>
      </c>
      <c r="L186" s="19" t="s">
        <v>61</v>
      </c>
      <c r="M186" s="19" t="s">
        <v>62</v>
      </c>
      <c r="N186" s="20" t="s">
        <v>63</v>
      </c>
      <c r="O186" s="19">
        <v>21</v>
      </c>
      <c r="P186" s="19">
        <v>3.73</v>
      </c>
      <c r="Q186" s="19">
        <v>1</v>
      </c>
      <c r="R186" s="20">
        <v>7</v>
      </c>
      <c r="S186" s="19">
        <v>6.6000000000000003E-2</v>
      </c>
      <c r="T186" s="19" t="s">
        <v>64</v>
      </c>
      <c r="U186" s="19" t="s">
        <v>65</v>
      </c>
      <c r="V186" s="19" t="s">
        <v>66</v>
      </c>
      <c r="W186" s="19" t="s">
        <v>67</v>
      </c>
      <c r="X186" s="19" t="s">
        <v>68</v>
      </c>
      <c r="Y186" s="21" t="s">
        <v>69</v>
      </c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2"/>
      <c r="AK186" s="22"/>
      <c r="AL186" s="22"/>
      <c r="AM186" s="21" t="s">
        <v>70</v>
      </c>
      <c r="AN186" s="21" t="s">
        <v>70</v>
      </c>
      <c r="AO186" s="21" t="str">
        <f>_xlfn.XLOOKUP(A:A,[1]TAGS!$A:$A,[1]TAGS!$BG:$BG)</f>
        <v>Não Montado</v>
      </c>
      <c r="AP186" s="21"/>
      <c r="AQ186" s="21"/>
      <c r="AR186" s="21"/>
      <c r="AS186" s="21"/>
      <c r="AT186" s="21"/>
      <c r="AU186" s="21"/>
    </row>
    <row r="187" spans="1:47" x14ac:dyDescent="0.35">
      <c r="A187" s="19" t="s">
        <v>786</v>
      </c>
      <c r="B187" s="19" t="s">
        <v>52</v>
      </c>
      <c r="C187" s="19"/>
      <c r="D187" s="19" t="s">
        <v>53</v>
      </c>
      <c r="E187" s="19" t="s">
        <v>54</v>
      </c>
      <c r="F187" s="20" t="s">
        <v>578</v>
      </c>
      <c r="G187" s="20" t="s">
        <v>787</v>
      </c>
      <c r="H187" s="19" t="s">
        <v>788</v>
      </c>
      <c r="I187" s="20" t="s">
        <v>58</v>
      </c>
      <c r="J187" s="20" t="s">
        <v>789</v>
      </c>
      <c r="K187" s="20" t="s">
        <v>790</v>
      </c>
      <c r="L187" s="19" t="s">
        <v>61</v>
      </c>
      <c r="M187" s="19" t="s">
        <v>62</v>
      </c>
      <c r="N187" s="20" t="s">
        <v>63</v>
      </c>
      <c r="O187" s="19">
        <v>21</v>
      </c>
      <c r="P187" s="19">
        <v>3.73</v>
      </c>
      <c r="Q187" s="19">
        <v>1</v>
      </c>
      <c r="R187" s="20">
        <v>7</v>
      </c>
      <c r="S187" s="19">
        <v>6.6000000000000003E-2</v>
      </c>
      <c r="T187" s="19" t="s">
        <v>64</v>
      </c>
      <c r="U187" s="19" t="s">
        <v>65</v>
      </c>
      <c r="V187" s="19" t="s">
        <v>66</v>
      </c>
      <c r="W187" s="19" t="s">
        <v>67</v>
      </c>
      <c r="X187" s="19" t="s">
        <v>68</v>
      </c>
      <c r="Y187" s="21" t="s">
        <v>69</v>
      </c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2"/>
      <c r="AK187" s="22"/>
      <c r="AL187" s="22"/>
      <c r="AM187" s="21" t="s">
        <v>70</v>
      </c>
      <c r="AN187" s="21" t="s">
        <v>70</v>
      </c>
      <c r="AO187" s="21" t="str">
        <f>_xlfn.XLOOKUP(A:A,[1]TAGS!$A:$A,[1]TAGS!$BG:$BG)</f>
        <v>Montado</v>
      </c>
      <c r="AP187" s="21"/>
      <c r="AQ187" s="21"/>
      <c r="AR187" s="21"/>
      <c r="AS187" s="21"/>
      <c r="AT187" s="21"/>
      <c r="AU187" s="21"/>
    </row>
    <row r="188" spans="1:47" x14ac:dyDescent="0.35">
      <c r="A188" s="19" t="s">
        <v>791</v>
      </c>
      <c r="B188" s="19" t="s">
        <v>52</v>
      </c>
      <c r="C188" s="19"/>
      <c r="D188" s="19" t="s">
        <v>53</v>
      </c>
      <c r="E188" s="19" t="s">
        <v>54</v>
      </c>
      <c r="F188" s="20" t="s">
        <v>233</v>
      </c>
      <c r="G188" s="20" t="s">
        <v>234</v>
      </c>
      <c r="H188" s="19" t="s">
        <v>792</v>
      </c>
      <c r="I188" s="20" t="s">
        <v>58</v>
      </c>
      <c r="J188" s="20" t="s">
        <v>236</v>
      </c>
      <c r="K188" s="20" t="s">
        <v>793</v>
      </c>
      <c r="L188" s="19" t="s">
        <v>61</v>
      </c>
      <c r="M188" s="19" t="s">
        <v>62</v>
      </c>
      <c r="N188" s="20" t="s">
        <v>63</v>
      </c>
      <c r="O188" s="19">
        <v>21</v>
      </c>
      <c r="P188" s="19">
        <v>3.73</v>
      </c>
      <c r="Q188" s="19">
        <v>1</v>
      </c>
      <c r="R188" s="20">
        <v>7</v>
      </c>
      <c r="S188" s="19">
        <v>6.6000000000000003E-2</v>
      </c>
      <c r="T188" s="19" t="s">
        <v>64</v>
      </c>
      <c r="U188" s="19" t="s">
        <v>65</v>
      </c>
      <c r="V188" s="19" t="s">
        <v>66</v>
      </c>
      <c r="W188" s="19" t="s">
        <v>67</v>
      </c>
      <c r="X188" s="19" t="s">
        <v>68</v>
      </c>
      <c r="Y188" s="21" t="s">
        <v>69</v>
      </c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2"/>
      <c r="AK188" s="22"/>
      <c r="AL188" s="22"/>
      <c r="AM188" s="21" t="s">
        <v>70</v>
      </c>
      <c r="AN188" s="21" t="s">
        <v>70</v>
      </c>
      <c r="AO188" s="21" t="str">
        <f>_xlfn.XLOOKUP(A:A,[1]TAGS!$A:$A,[1]TAGS!$BG:$BG)</f>
        <v>Montado</v>
      </c>
      <c r="AP188" s="21"/>
      <c r="AQ188" s="21"/>
      <c r="AR188" s="21"/>
      <c r="AS188" s="21"/>
      <c r="AT188" s="21"/>
      <c r="AU188" s="21"/>
    </row>
    <row r="189" spans="1:47" x14ac:dyDescent="0.35">
      <c r="A189" s="19" t="s">
        <v>794</v>
      </c>
      <c r="B189" s="19" t="s">
        <v>52</v>
      </c>
      <c r="C189" s="19"/>
      <c r="D189" s="19" t="s">
        <v>53</v>
      </c>
      <c r="E189" s="19" t="s">
        <v>54</v>
      </c>
      <c r="F189" s="20" t="s">
        <v>263</v>
      </c>
      <c r="G189" s="20" t="s">
        <v>264</v>
      </c>
      <c r="H189" s="19" t="s">
        <v>795</v>
      </c>
      <c r="I189" s="20" t="s">
        <v>58</v>
      </c>
      <c r="J189" s="20" t="s">
        <v>266</v>
      </c>
      <c r="K189" s="20" t="s">
        <v>796</v>
      </c>
      <c r="L189" s="19" t="s">
        <v>61</v>
      </c>
      <c r="M189" s="19" t="s">
        <v>62</v>
      </c>
      <c r="N189" s="20" t="s">
        <v>63</v>
      </c>
      <c r="O189" s="19">
        <v>21</v>
      </c>
      <c r="P189" s="19">
        <v>3.73</v>
      </c>
      <c r="Q189" s="19">
        <v>1</v>
      </c>
      <c r="R189" s="20">
        <v>7</v>
      </c>
      <c r="S189" s="19">
        <v>6.6000000000000003E-2</v>
      </c>
      <c r="T189" s="19" t="s">
        <v>64</v>
      </c>
      <c r="U189" s="19" t="s">
        <v>65</v>
      </c>
      <c r="V189" s="19" t="s">
        <v>66</v>
      </c>
      <c r="W189" s="19" t="s">
        <v>67</v>
      </c>
      <c r="X189" s="19" t="s">
        <v>68</v>
      </c>
      <c r="Y189" s="21" t="s">
        <v>69</v>
      </c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2"/>
      <c r="AK189" s="22"/>
      <c r="AL189" s="22"/>
      <c r="AM189" s="21" t="s">
        <v>70</v>
      </c>
      <c r="AN189" s="21" t="s">
        <v>70</v>
      </c>
      <c r="AO189" s="21" t="str">
        <f>_xlfn.XLOOKUP(A:A,[1]TAGS!$A:$A,[1]TAGS!$BG:$BG)</f>
        <v>Programar</v>
      </c>
      <c r="AP189" s="21"/>
      <c r="AQ189" s="21"/>
      <c r="AR189" s="21"/>
      <c r="AS189" s="21"/>
      <c r="AT189" s="21"/>
      <c r="AU189" s="21"/>
    </row>
    <row r="190" spans="1:47" x14ac:dyDescent="0.35">
      <c r="A190" s="19" t="s">
        <v>797</v>
      </c>
      <c r="B190" s="19" t="s">
        <v>52</v>
      </c>
      <c r="C190" s="19"/>
      <c r="D190" s="19" t="s">
        <v>53</v>
      </c>
      <c r="E190" s="19" t="s">
        <v>54</v>
      </c>
      <c r="F190" s="20" t="s">
        <v>798</v>
      </c>
      <c r="G190" s="20" t="s">
        <v>799</v>
      </c>
      <c r="H190" s="19" t="s">
        <v>800</v>
      </c>
      <c r="I190" s="20" t="s">
        <v>58</v>
      </c>
      <c r="J190" s="20" t="s">
        <v>801</v>
      </c>
      <c r="K190" s="20" t="s">
        <v>802</v>
      </c>
      <c r="L190" s="19" t="s">
        <v>61</v>
      </c>
      <c r="M190" s="19" t="s">
        <v>62</v>
      </c>
      <c r="N190" s="20" t="s">
        <v>63</v>
      </c>
      <c r="O190" s="19">
        <v>21</v>
      </c>
      <c r="P190" s="19">
        <v>3.73</v>
      </c>
      <c r="Q190" s="19">
        <v>1</v>
      </c>
      <c r="R190" s="20">
        <v>7</v>
      </c>
      <c r="S190" s="19">
        <v>6.6000000000000003E-2</v>
      </c>
      <c r="T190" s="19" t="s">
        <v>64</v>
      </c>
      <c r="U190" s="19" t="s">
        <v>65</v>
      </c>
      <c r="V190" s="19" t="s">
        <v>66</v>
      </c>
      <c r="W190" s="19" t="s">
        <v>67</v>
      </c>
      <c r="X190" s="19" t="s">
        <v>68</v>
      </c>
      <c r="Y190" s="21" t="s">
        <v>69</v>
      </c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2"/>
      <c r="AK190" s="22"/>
      <c r="AL190" s="22"/>
      <c r="AM190" s="21" t="s">
        <v>70</v>
      </c>
      <c r="AN190" s="21" t="s">
        <v>70</v>
      </c>
      <c r="AO190" s="21" t="str">
        <f>_xlfn.XLOOKUP(A:A,[1]TAGS!$A:$A,[1]TAGS!$BG:$BG)</f>
        <v>Montado</v>
      </c>
      <c r="AP190" s="21"/>
      <c r="AQ190" s="21"/>
      <c r="AR190" s="21"/>
      <c r="AS190" s="21"/>
      <c r="AT190" s="21"/>
      <c r="AU190" s="21"/>
    </row>
    <row r="191" spans="1:47" x14ac:dyDescent="0.35">
      <c r="A191" s="19" t="s">
        <v>803</v>
      </c>
      <c r="B191" s="19" t="s">
        <v>52</v>
      </c>
      <c r="C191" s="19"/>
      <c r="D191" s="19" t="s">
        <v>53</v>
      </c>
      <c r="E191" s="19" t="s">
        <v>54</v>
      </c>
      <c r="F191" s="20" t="s">
        <v>248</v>
      </c>
      <c r="G191" s="20" t="s">
        <v>249</v>
      </c>
      <c r="H191" s="19" t="s">
        <v>804</v>
      </c>
      <c r="I191" s="20" t="s">
        <v>58</v>
      </c>
      <c r="J191" s="20" t="s">
        <v>251</v>
      </c>
      <c r="K191" s="20" t="s">
        <v>805</v>
      </c>
      <c r="L191" s="19" t="s">
        <v>61</v>
      </c>
      <c r="M191" s="19" t="s">
        <v>62</v>
      </c>
      <c r="N191" s="20" t="s">
        <v>63</v>
      </c>
      <c r="O191" s="19">
        <v>21</v>
      </c>
      <c r="P191" s="19">
        <v>3.73</v>
      </c>
      <c r="Q191" s="19">
        <v>1</v>
      </c>
      <c r="R191" s="20">
        <v>7</v>
      </c>
      <c r="S191" s="19">
        <v>6.6000000000000003E-2</v>
      </c>
      <c r="T191" s="19" t="s">
        <v>64</v>
      </c>
      <c r="U191" s="19" t="s">
        <v>65</v>
      </c>
      <c r="V191" s="19" t="s">
        <v>66</v>
      </c>
      <c r="W191" s="19" t="s">
        <v>67</v>
      </c>
      <c r="X191" s="19" t="s">
        <v>68</v>
      </c>
      <c r="Y191" s="21" t="s">
        <v>69</v>
      </c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2"/>
      <c r="AK191" s="22"/>
      <c r="AL191" s="22"/>
      <c r="AM191" s="21" t="s">
        <v>70</v>
      </c>
      <c r="AN191" s="21" t="s">
        <v>70</v>
      </c>
      <c r="AO191" s="21" t="str">
        <f>_xlfn.XLOOKUP(A:A,[1]TAGS!$A:$A,[1]TAGS!$BG:$BG)</f>
        <v>Montado</v>
      </c>
      <c r="AP191" s="21"/>
      <c r="AQ191" s="21"/>
      <c r="AR191" s="21"/>
      <c r="AS191" s="21"/>
      <c r="AT191" s="21"/>
      <c r="AU191" s="21"/>
    </row>
    <row r="192" spans="1:47" x14ac:dyDescent="0.35">
      <c r="A192" s="19" t="s">
        <v>806</v>
      </c>
      <c r="B192" s="19" t="s">
        <v>52</v>
      </c>
      <c r="C192" s="19"/>
      <c r="D192" s="19" t="s">
        <v>53</v>
      </c>
      <c r="E192" s="19" t="s">
        <v>54</v>
      </c>
      <c r="F192" s="20" t="s">
        <v>480</v>
      </c>
      <c r="G192" s="20" t="s">
        <v>481</v>
      </c>
      <c r="H192" s="19" t="s">
        <v>807</v>
      </c>
      <c r="I192" s="20" t="s">
        <v>58</v>
      </c>
      <c r="J192" s="20" t="s">
        <v>483</v>
      </c>
      <c r="K192" s="20" t="s">
        <v>808</v>
      </c>
      <c r="L192" s="19" t="s">
        <v>61</v>
      </c>
      <c r="M192" s="19" t="s">
        <v>62</v>
      </c>
      <c r="N192" s="20" t="s">
        <v>63</v>
      </c>
      <c r="O192" s="19">
        <v>21</v>
      </c>
      <c r="P192" s="19">
        <v>3.73</v>
      </c>
      <c r="Q192" s="19">
        <v>1</v>
      </c>
      <c r="R192" s="20">
        <v>7</v>
      </c>
      <c r="S192" s="19">
        <v>6.6000000000000003E-2</v>
      </c>
      <c r="T192" s="19" t="s">
        <v>64</v>
      </c>
      <c r="U192" s="19" t="s">
        <v>65</v>
      </c>
      <c r="V192" s="19" t="s">
        <v>66</v>
      </c>
      <c r="W192" s="19" t="s">
        <v>67</v>
      </c>
      <c r="X192" s="19" t="s">
        <v>68</v>
      </c>
      <c r="Y192" s="21" t="s">
        <v>69</v>
      </c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2"/>
      <c r="AK192" s="22"/>
      <c r="AL192" s="22"/>
      <c r="AM192" s="21" t="s">
        <v>70</v>
      </c>
      <c r="AN192" s="21" t="s">
        <v>70</v>
      </c>
      <c r="AO192" s="21" t="str">
        <f>_xlfn.XLOOKUP(A:A,[1]TAGS!$A:$A,[1]TAGS!$BG:$BG)</f>
        <v>Montado</v>
      </c>
      <c r="AP192" s="21"/>
      <c r="AQ192" s="21"/>
      <c r="AR192" s="21"/>
      <c r="AS192" s="21"/>
      <c r="AT192" s="21"/>
      <c r="AU192" s="21"/>
    </row>
    <row r="193" spans="1:47" x14ac:dyDescent="0.35">
      <c r="A193" s="19" t="s">
        <v>809</v>
      </c>
      <c r="B193" s="19" t="s">
        <v>52</v>
      </c>
      <c r="C193" s="19"/>
      <c r="D193" s="19" t="s">
        <v>53</v>
      </c>
      <c r="E193" s="19" t="s">
        <v>54</v>
      </c>
      <c r="F193" s="20" t="s">
        <v>391</v>
      </c>
      <c r="G193" s="20" t="s">
        <v>392</v>
      </c>
      <c r="H193" s="19" t="s">
        <v>810</v>
      </c>
      <c r="I193" s="20" t="s">
        <v>124</v>
      </c>
      <c r="J193" s="20" t="s">
        <v>394</v>
      </c>
      <c r="K193" s="20" t="s">
        <v>811</v>
      </c>
      <c r="L193" s="19" t="s">
        <v>61</v>
      </c>
      <c r="M193" s="19" t="s">
        <v>62</v>
      </c>
      <c r="N193" s="20" t="s">
        <v>63</v>
      </c>
      <c r="O193" s="19">
        <v>21</v>
      </c>
      <c r="P193" s="19">
        <v>3.73</v>
      </c>
      <c r="Q193" s="19">
        <v>1</v>
      </c>
      <c r="R193" s="20">
        <v>7</v>
      </c>
      <c r="S193" s="19">
        <v>6.6000000000000003E-2</v>
      </c>
      <c r="T193" s="19" t="s">
        <v>64</v>
      </c>
      <c r="U193" s="19" t="s">
        <v>65</v>
      </c>
      <c r="V193" s="19" t="s">
        <v>66</v>
      </c>
      <c r="W193" s="19" t="s">
        <v>67</v>
      </c>
      <c r="X193" s="19" t="s">
        <v>68</v>
      </c>
      <c r="Y193" s="21" t="s">
        <v>69</v>
      </c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2"/>
      <c r="AK193" s="22"/>
      <c r="AL193" s="22"/>
      <c r="AM193" s="21" t="s">
        <v>70</v>
      </c>
      <c r="AN193" s="21" t="s">
        <v>70</v>
      </c>
      <c r="AO193" s="21" t="str">
        <f>_xlfn.XLOOKUP(A:A,[1]TAGS!$A:$A,[1]TAGS!$BG:$BG)</f>
        <v>Montado</v>
      </c>
      <c r="AP193" s="21"/>
      <c r="AQ193" s="21"/>
      <c r="AR193" s="21"/>
      <c r="AS193" s="21"/>
      <c r="AT193" s="21"/>
      <c r="AU193" s="21"/>
    </row>
    <row r="194" spans="1:47" x14ac:dyDescent="0.35">
      <c r="A194" s="19" t="s">
        <v>812</v>
      </c>
      <c r="B194" s="19" t="s">
        <v>52</v>
      </c>
      <c r="C194" s="19"/>
      <c r="D194" s="19" t="s">
        <v>53</v>
      </c>
      <c r="E194" s="19" t="s">
        <v>54</v>
      </c>
      <c r="F194" s="20" t="s">
        <v>391</v>
      </c>
      <c r="G194" s="20" t="s">
        <v>392</v>
      </c>
      <c r="H194" s="19" t="s">
        <v>813</v>
      </c>
      <c r="I194" s="20" t="s">
        <v>124</v>
      </c>
      <c r="J194" s="20" t="s">
        <v>394</v>
      </c>
      <c r="K194" s="20" t="s">
        <v>814</v>
      </c>
      <c r="L194" s="19" t="s">
        <v>61</v>
      </c>
      <c r="M194" s="19" t="s">
        <v>62</v>
      </c>
      <c r="N194" s="20" t="s">
        <v>63</v>
      </c>
      <c r="O194" s="19">
        <v>21</v>
      </c>
      <c r="P194" s="19">
        <v>3.73</v>
      </c>
      <c r="Q194" s="19">
        <v>1</v>
      </c>
      <c r="R194" s="20">
        <v>7</v>
      </c>
      <c r="S194" s="19">
        <v>6.6000000000000003E-2</v>
      </c>
      <c r="T194" s="19" t="s">
        <v>64</v>
      </c>
      <c r="U194" s="19" t="s">
        <v>65</v>
      </c>
      <c r="V194" s="19" t="s">
        <v>66</v>
      </c>
      <c r="W194" s="19" t="s">
        <v>67</v>
      </c>
      <c r="X194" s="19" t="s">
        <v>68</v>
      </c>
      <c r="Y194" s="21" t="s">
        <v>69</v>
      </c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2"/>
      <c r="AK194" s="22"/>
      <c r="AL194" s="22"/>
      <c r="AM194" s="21" t="s">
        <v>70</v>
      </c>
      <c r="AN194" s="21" t="s">
        <v>70</v>
      </c>
      <c r="AO194" s="21" t="str">
        <f>_xlfn.XLOOKUP(A:A,[1]TAGS!$A:$A,[1]TAGS!$BG:$BG)</f>
        <v>Montado</v>
      </c>
      <c r="AP194" s="21"/>
      <c r="AQ194" s="21"/>
      <c r="AR194" s="21"/>
      <c r="AS194" s="21"/>
      <c r="AT194" s="21"/>
      <c r="AU194" s="21"/>
    </row>
    <row r="195" spans="1:47" x14ac:dyDescent="0.35">
      <c r="A195" s="19" t="s">
        <v>815</v>
      </c>
      <c r="B195" s="19" t="s">
        <v>52</v>
      </c>
      <c r="C195" s="19"/>
      <c r="D195" s="19" t="s">
        <v>53</v>
      </c>
      <c r="E195" s="19" t="s">
        <v>54</v>
      </c>
      <c r="F195" s="20" t="s">
        <v>816</v>
      </c>
      <c r="G195" s="20" t="s">
        <v>817</v>
      </c>
      <c r="H195" s="19" t="s">
        <v>818</v>
      </c>
      <c r="I195" s="20" t="s">
        <v>58</v>
      </c>
      <c r="J195" s="20" t="s">
        <v>819</v>
      </c>
      <c r="K195" s="20" t="s">
        <v>820</v>
      </c>
      <c r="L195" s="19" t="s">
        <v>61</v>
      </c>
      <c r="M195" s="19" t="s">
        <v>62</v>
      </c>
      <c r="N195" s="20" t="s">
        <v>63</v>
      </c>
      <c r="O195" s="19">
        <v>21</v>
      </c>
      <c r="P195" s="19">
        <v>3.73</v>
      </c>
      <c r="Q195" s="19">
        <v>1</v>
      </c>
      <c r="R195" s="20">
        <v>7</v>
      </c>
      <c r="S195" s="19">
        <v>6.6000000000000003E-2</v>
      </c>
      <c r="T195" s="19" t="s">
        <v>64</v>
      </c>
      <c r="U195" s="19" t="s">
        <v>65</v>
      </c>
      <c r="V195" s="19" t="s">
        <v>66</v>
      </c>
      <c r="W195" s="19" t="s">
        <v>67</v>
      </c>
      <c r="X195" s="19" t="s">
        <v>68</v>
      </c>
      <c r="Y195" s="21" t="s">
        <v>69</v>
      </c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2"/>
      <c r="AK195" s="22"/>
      <c r="AL195" s="22"/>
      <c r="AM195" s="21" t="s">
        <v>70</v>
      </c>
      <c r="AN195" s="21" t="s">
        <v>70</v>
      </c>
      <c r="AO195" s="21" t="str">
        <f>_xlfn.XLOOKUP(A:A,[1]TAGS!$A:$A,[1]TAGS!$BG:$BG)</f>
        <v>Montado</v>
      </c>
      <c r="AP195" s="21"/>
      <c r="AQ195" s="21"/>
      <c r="AR195" s="21"/>
      <c r="AS195" s="21"/>
      <c r="AT195" s="21"/>
      <c r="AU195" s="21"/>
    </row>
    <row r="196" spans="1:47" x14ac:dyDescent="0.35">
      <c r="A196" s="19" t="s">
        <v>821</v>
      </c>
      <c r="B196" s="19" t="s">
        <v>52</v>
      </c>
      <c r="C196" s="19"/>
      <c r="D196" s="19" t="s">
        <v>53</v>
      </c>
      <c r="E196" s="19" t="s">
        <v>54</v>
      </c>
      <c r="F196" s="20" t="s">
        <v>816</v>
      </c>
      <c r="G196" s="20" t="s">
        <v>817</v>
      </c>
      <c r="H196" s="19" t="s">
        <v>822</v>
      </c>
      <c r="I196" s="20" t="s">
        <v>58</v>
      </c>
      <c r="J196" s="20" t="s">
        <v>819</v>
      </c>
      <c r="K196" s="20" t="s">
        <v>823</v>
      </c>
      <c r="L196" s="19" t="s">
        <v>61</v>
      </c>
      <c r="M196" s="19" t="s">
        <v>62</v>
      </c>
      <c r="N196" s="20" t="s">
        <v>63</v>
      </c>
      <c r="O196" s="19">
        <v>21</v>
      </c>
      <c r="P196" s="19">
        <v>3.73</v>
      </c>
      <c r="Q196" s="19">
        <v>1</v>
      </c>
      <c r="R196" s="20">
        <v>7</v>
      </c>
      <c r="S196" s="19">
        <v>6.6000000000000003E-2</v>
      </c>
      <c r="T196" s="19" t="s">
        <v>64</v>
      </c>
      <c r="U196" s="19" t="s">
        <v>65</v>
      </c>
      <c r="V196" s="19" t="s">
        <v>66</v>
      </c>
      <c r="W196" s="19" t="s">
        <v>67</v>
      </c>
      <c r="X196" s="19" t="s">
        <v>68</v>
      </c>
      <c r="Y196" s="21" t="s">
        <v>69</v>
      </c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2"/>
      <c r="AK196" s="22"/>
      <c r="AL196" s="22"/>
      <c r="AM196" s="21" t="s">
        <v>70</v>
      </c>
      <c r="AN196" s="21" t="s">
        <v>70</v>
      </c>
      <c r="AO196" s="21" t="str">
        <f>_xlfn.XLOOKUP(A:A,[1]TAGS!$A:$A,[1]TAGS!$BG:$BG)</f>
        <v>Montado</v>
      </c>
      <c r="AP196" s="21"/>
      <c r="AQ196" s="21"/>
      <c r="AR196" s="21"/>
      <c r="AS196" s="21"/>
      <c r="AT196" s="21"/>
      <c r="AU196" s="21"/>
    </row>
    <row r="197" spans="1:47" x14ac:dyDescent="0.35">
      <c r="A197" s="19" t="s">
        <v>824</v>
      </c>
      <c r="B197" s="19" t="s">
        <v>52</v>
      </c>
      <c r="C197" s="19"/>
      <c r="D197" s="19" t="s">
        <v>53</v>
      </c>
      <c r="E197" s="19" t="s">
        <v>54</v>
      </c>
      <c r="F197" s="20" t="s">
        <v>370</v>
      </c>
      <c r="G197" s="20" t="s">
        <v>371</v>
      </c>
      <c r="H197" s="19" t="s">
        <v>825</v>
      </c>
      <c r="I197" s="20" t="s">
        <v>58</v>
      </c>
      <c r="J197" s="20" t="s">
        <v>373</v>
      </c>
      <c r="K197" s="20" t="s">
        <v>826</v>
      </c>
      <c r="L197" s="19" t="s">
        <v>61</v>
      </c>
      <c r="M197" s="19" t="s">
        <v>62</v>
      </c>
      <c r="N197" s="20" t="s">
        <v>63</v>
      </c>
      <c r="O197" s="19">
        <v>21</v>
      </c>
      <c r="P197" s="19">
        <v>3.73</v>
      </c>
      <c r="Q197" s="19">
        <v>1</v>
      </c>
      <c r="R197" s="20">
        <v>7</v>
      </c>
      <c r="S197" s="19">
        <v>6.6000000000000003E-2</v>
      </c>
      <c r="T197" s="19" t="s">
        <v>64</v>
      </c>
      <c r="U197" s="19" t="s">
        <v>65</v>
      </c>
      <c r="V197" s="19" t="s">
        <v>66</v>
      </c>
      <c r="W197" s="19" t="s">
        <v>67</v>
      </c>
      <c r="X197" s="19" t="s">
        <v>68</v>
      </c>
      <c r="Y197" s="21" t="s">
        <v>69</v>
      </c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2"/>
      <c r="AK197" s="22"/>
      <c r="AL197" s="22"/>
      <c r="AM197" s="21" t="s">
        <v>70</v>
      </c>
      <c r="AN197" s="21" t="s">
        <v>70</v>
      </c>
      <c r="AO197" s="21" t="str">
        <f>_xlfn.XLOOKUP(A:A,[1]TAGS!$A:$A,[1]TAGS!$BG:$BG)</f>
        <v>Não Montado</v>
      </c>
      <c r="AP197" s="21"/>
      <c r="AQ197" s="21"/>
      <c r="AR197" s="21"/>
      <c r="AS197" s="21"/>
      <c r="AT197" s="21"/>
      <c r="AU197" s="21"/>
    </row>
    <row r="198" spans="1:47" x14ac:dyDescent="0.35">
      <c r="A198" s="19" t="s">
        <v>827</v>
      </c>
      <c r="B198" s="19" t="s">
        <v>52</v>
      </c>
      <c r="C198" s="19"/>
      <c r="D198" s="19" t="s">
        <v>53</v>
      </c>
      <c r="E198" s="19" t="s">
        <v>54</v>
      </c>
      <c r="F198" s="20" t="s">
        <v>370</v>
      </c>
      <c r="G198" s="20" t="s">
        <v>371</v>
      </c>
      <c r="H198" s="19" t="s">
        <v>828</v>
      </c>
      <c r="I198" s="20" t="s">
        <v>58</v>
      </c>
      <c r="J198" s="20" t="s">
        <v>373</v>
      </c>
      <c r="K198" s="20" t="s">
        <v>829</v>
      </c>
      <c r="L198" s="19" t="s">
        <v>61</v>
      </c>
      <c r="M198" s="19" t="s">
        <v>62</v>
      </c>
      <c r="N198" s="20" t="s">
        <v>63</v>
      </c>
      <c r="O198" s="19">
        <v>21</v>
      </c>
      <c r="P198" s="19">
        <v>3.73</v>
      </c>
      <c r="Q198" s="19">
        <v>1</v>
      </c>
      <c r="R198" s="20">
        <v>7</v>
      </c>
      <c r="S198" s="19">
        <v>6.6000000000000003E-2</v>
      </c>
      <c r="T198" s="19" t="s">
        <v>64</v>
      </c>
      <c r="U198" s="19" t="s">
        <v>65</v>
      </c>
      <c r="V198" s="19" t="s">
        <v>66</v>
      </c>
      <c r="W198" s="19" t="s">
        <v>67</v>
      </c>
      <c r="X198" s="19" t="s">
        <v>68</v>
      </c>
      <c r="Y198" s="21" t="s">
        <v>69</v>
      </c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2"/>
      <c r="AK198" s="22"/>
      <c r="AL198" s="22"/>
      <c r="AM198" s="21" t="s">
        <v>70</v>
      </c>
      <c r="AN198" s="21" t="s">
        <v>70</v>
      </c>
      <c r="AO198" s="21" t="str">
        <f>_xlfn.XLOOKUP(A:A,[1]TAGS!$A:$A,[1]TAGS!$BG:$BG)</f>
        <v>Não Montado</v>
      </c>
      <c r="AP198" s="21"/>
      <c r="AQ198" s="21"/>
      <c r="AR198" s="21"/>
      <c r="AS198" s="21"/>
      <c r="AT198" s="21"/>
      <c r="AU198" s="21"/>
    </row>
    <row r="199" spans="1:47" x14ac:dyDescent="0.35">
      <c r="A199" s="19" t="s">
        <v>830</v>
      </c>
      <c r="B199" s="19" t="s">
        <v>52</v>
      </c>
      <c r="C199" s="19"/>
      <c r="D199" s="19" t="s">
        <v>53</v>
      </c>
      <c r="E199" s="19" t="s">
        <v>54</v>
      </c>
      <c r="F199" s="20" t="s">
        <v>370</v>
      </c>
      <c r="G199" s="20" t="s">
        <v>371</v>
      </c>
      <c r="H199" s="19" t="s">
        <v>831</v>
      </c>
      <c r="I199" s="20" t="s">
        <v>58</v>
      </c>
      <c r="J199" s="20" t="s">
        <v>373</v>
      </c>
      <c r="K199" s="20" t="s">
        <v>832</v>
      </c>
      <c r="L199" s="19" t="s">
        <v>61</v>
      </c>
      <c r="M199" s="19" t="s">
        <v>62</v>
      </c>
      <c r="N199" s="20" t="s">
        <v>63</v>
      </c>
      <c r="O199" s="19">
        <v>21</v>
      </c>
      <c r="P199" s="19">
        <v>3.73</v>
      </c>
      <c r="Q199" s="19">
        <v>1</v>
      </c>
      <c r="R199" s="20">
        <v>7</v>
      </c>
      <c r="S199" s="19">
        <v>6.6000000000000003E-2</v>
      </c>
      <c r="T199" s="19" t="s">
        <v>64</v>
      </c>
      <c r="U199" s="19" t="s">
        <v>65</v>
      </c>
      <c r="V199" s="19" t="s">
        <v>66</v>
      </c>
      <c r="W199" s="19" t="s">
        <v>67</v>
      </c>
      <c r="X199" s="19" t="s">
        <v>68</v>
      </c>
      <c r="Y199" s="21" t="s">
        <v>69</v>
      </c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2"/>
      <c r="AK199" s="22"/>
      <c r="AL199" s="22"/>
      <c r="AM199" s="21" t="s">
        <v>70</v>
      </c>
      <c r="AN199" s="21" t="s">
        <v>70</v>
      </c>
      <c r="AO199" s="21" t="str">
        <f>_xlfn.XLOOKUP(A:A,[1]TAGS!$A:$A,[1]TAGS!$BG:$BG)</f>
        <v>Não Montado</v>
      </c>
      <c r="AP199" s="21"/>
      <c r="AQ199" s="21"/>
      <c r="AR199" s="21"/>
      <c r="AS199" s="21"/>
      <c r="AT199" s="21"/>
      <c r="AU199" s="21"/>
    </row>
    <row r="200" spans="1:47" x14ac:dyDescent="0.35">
      <c r="A200" s="19" t="s">
        <v>833</v>
      </c>
      <c r="B200" s="19" t="s">
        <v>52</v>
      </c>
      <c r="C200" s="19"/>
      <c r="D200" s="19" t="s">
        <v>53</v>
      </c>
      <c r="E200" s="19" t="s">
        <v>54</v>
      </c>
      <c r="F200" s="20" t="s">
        <v>370</v>
      </c>
      <c r="G200" s="20" t="s">
        <v>371</v>
      </c>
      <c r="H200" s="19" t="s">
        <v>834</v>
      </c>
      <c r="I200" s="20" t="s">
        <v>58</v>
      </c>
      <c r="J200" s="20" t="s">
        <v>373</v>
      </c>
      <c r="K200" s="20" t="s">
        <v>835</v>
      </c>
      <c r="L200" s="19" t="s">
        <v>61</v>
      </c>
      <c r="M200" s="19" t="s">
        <v>62</v>
      </c>
      <c r="N200" s="20" t="s">
        <v>63</v>
      </c>
      <c r="O200" s="19">
        <v>21</v>
      </c>
      <c r="P200" s="19">
        <v>3.73</v>
      </c>
      <c r="Q200" s="19">
        <v>1</v>
      </c>
      <c r="R200" s="20">
        <v>7</v>
      </c>
      <c r="S200" s="19">
        <v>6.6000000000000003E-2</v>
      </c>
      <c r="T200" s="19" t="s">
        <v>64</v>
      </c>
      <c r="U200" s="19" t="s">
        <v>65</v>
      </c>
      <c r="V200" s="19" t="s">
        <v>66</v>
      </c>
      <c r="W200" s="19" t="s">
        <v>67</v>
      </c>
      <c r="X200" s="19" t="s">
        <v>68</v>
      </c>
      <c r="Y200" s="21" t="s">
        <v>69</v>
      </c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2"/>
      <c r="AK200" s="22"/>
      <c r="AL200" s="22"/>
      <c r="AM200" s="21" t="s">
        <v>70</v>
      </c>
      <c r="AN200" s="21" t="s">
        <v>70</v>
      </c>
      <c r="AO200" s="21" t="str">
        <f>_xlfn.XLOOKUP(A:A,[1]TAGS!$A:$A,[1]TAGS!$BG:$BG)</f>
        <v>Montado</v>
      </c>
      <c r="AP200" s="21"/>
      <c r="AQ200" s="21"/>
      <c r="AR200" s="21"/>
      <c r="AS200" s="21"/>
      <c r="AT200" s="21"/>
      <c r="AU200" s="21"/>
    </row>
    <row r="201" spans="1:47" x14ac:dyDescent="0.35">
      <c r="A201" s="19" t="s">
        <v>836</v>
      </c>
      <c r="B201" s="19" t="s">
        <v>52</v>
      </c>
      <c r="C201" s="19"/>
      <c r="D201" s="19" t="s">
        <v>53</v>
      </c>
      <c r="E201" s="19" t="s">
        <v>54</v>
      </c>
      <c r="F201" s="20" t="s">
        <v>370</v>
      </c>
      <c r="G201" s="20" t="s">
        <v>371</v>
      </c>
      <c r="H201" s="19" t="s">
        <v>837</v>
      </c>
      <c r="I201" s="20" t="s">
        <v>58</v>
      </c>
      <c r="J201" s="20" t="s">
        <v>373</v>
      </c>
      <c r="K201" s="20" t="s">
        <v>838</v>
      </c>
      <c r="L201" s="19" t="s">
        <v>61</v>
      </c>
      <c r="M201" s="19" t="s">
        <v>62</v>
      </c>
      <c r="N201" s="20" t="s">
        <v>63</v>
      </c>
      <c r="O201" s="19">
        <v>21</v>
      </c>
      <c r="P201" s="19">
        <v>3.73</v>
      </c>
      <c r="Q201" s="19">
        <v>1</v>
      </c>
      <c r="R201" s="20">
        <v>7</v>
      </c>
      <c r="S201" s="19">
        <v>6.6000000000000003E-2</v>
      </c>
      <c r="T201" s="19" t="s">
        <v>64</v>
      </c>
      <c r="U201" s="19" t="s">
        <v>65</v>
      </c>
      <c r="V201" s="19" t="s">
        <v>66</v>
      </c>
      <c r="W201" s="19" t="s">
        <v>67</v>
      </c>
      <c r="X201" s="19" t="s">
        <v>68</v>
      </c>
      <c r="Y201" s="21" t="s">
        <v>69</v>
      </c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2"/>
      <c r="AK201" s="22"/>
      <c r="AL201" s="22"/>
      <c r="AM201" s="21" t="s">
        <v>70</v>
      </c>
      <c r="AN201" s="21" t="s">
        <v>70</v>
      </c>
      <c r="AO201" s="21" t="str">
        <f>_xlfn.XLOOKUP(A:A,[1]TAGS!$A:$A,[1]TAGS!$BG:$BG)</f>
        <v>Montado</v>
      </c>
      <c r="AP201" s="21"/>
      <c r="AQ201" s="21"/>
      <c r="AR201" s="21"/>
      <c r="AS201" s="21"/>
      <c r="AT201" s="21"/>
      <c r="AU201" s="21"/>
    </row>
    <row r="202" spans="1:47" x14ac:dyDescent="0.35">
      <c r="A202" s="19" t="s">
        <v>839</v>
      </c>
      <c r="B202" s="19" t="s">
        <v>52</v>
      </c>
      <c r="C202" s="19"/>
      <c r="D202" s="19" t="s">
        <v>53</v>
      </c>
      <c r="E202" s="19" t="s">
        <v>54</v>
      </c>
      <c r="F202" s="20" t="s">
        <v>370</v>
      </c>
      <c r="G202" s="20" t="s">
        <v>371</v>
      </c>
      <c r="H202" s="19" t="s">
        <v>840</v>
      </c>
      <c r="I202" s="20" t="s">
        <v>58</v>
      </c>
      <c r="J202" s="20" t="s">
        <v>373</v>
      </c>
      <c r="K202" s="20" t="s">
        <v>841</v>
      </c>
      <c r="L202" s="19" t="s">
        <v>61</v>
      </c>
      <c r="M202" s="19" t="s">
        <v>62</v>
      </c>
      <c r="N202" s="20" t="s">
        <v>63</v>
      </c>
      <c r="O202" s="19">
        <v>21</v>
      </c>
      <c r="P202" s="19">
        <v>3.73</v>
      </c>
      <c r="Q202" s="19">
        <v>1</v>
      </c>
      <c r="R202" s="20">
        <v>7</v>
      </c>
      <c r="S202" s="19">
        <v>6.6000000000000003E-2</v>
      </c>
      <c r="T202" s="19" t="s">
        <v>64</v>
      </c>
      <c r="U202" s="19" t="s">
        <v>65</v>
      </c>
      <c r="V202" s="19" t="s">
        <v>66</v>
      </c>
      <c r="W202" s="19" t="s">
        <v>67</v>
      </c>
      <c r="X202" s="19" t="s">
        <v>68</v>
      </c>
      <c r="Y202" s="21" t="s">
        <v>69</v>
      </c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2"/>
      <c r="AK202" s="22"/>
      <c r="AL202" s="22"/>
      <c r="AM202" s="21" t="s">
        <v>70</v>
      </c>
      <c r="AN202" s="21" t="s">
        <v>70</v>
      </c>
      <c r="AO202" s="21" t="str">
        <f>_xlfn.XLOOKUP(A:A,[1]TAGS!$A:$A,[1]TAGS!$BG:$BG)</f>
        <v>Não Montado</v>
      </c>
      <c r="AP202" s="21"/>
      <c r="AQ202" s="21"/>
      <c r="AR202" s="21"/>
      <c r="AS202" s="21"/>
      <c r="AT202" s="21"/>
      <c r="AU202" s="21"/>
    </row>
    <row r="203" spans="1:47" x14ac:dyDescent="0.35">
      <c r="A203" s="19" t="s">
        <v>842</v>
      </c>
      <c r="B203" s="19" t="s">
        <v>52</v>
      </c>
      <c r="C203" s="19"/>
      <c r="D203" s="19" t="s">
        <v>53</v>
      </c>
      <c r="E203" s="19" t="s">
        <v>54</v>
      </c>
      <c r="F203" s="20" t="s">
        <v>306</v>
      </c>
      <c r="G203" s="20" t="s">
        <v>843</v>
      </c>
      <c r="H203" s="19" t="s">
        <v>844</v>
      </c>
      <c r="I203" s="20" t="s">
        <v>124</v>
      </c>
      <c r="J203" s="20" t="s">
        <v>845</v>
      </c>
      <c r="K203" s="20" t="s">
        <v>846</v>
      </c>
      <c r="L203" s="19" t="s">
        <v>61</v>
      </c>
      <c r="M203" s="19" t="s">
        <v>62</v>
      </c>
      <c r="N203" s="20" t="s">
        <v>63</v>
      </c>
      <c r="O203" s="19">
        <v>21</v>
      </c>
      <c r="P203" s="19">
        <v>3.73</v>
      </c>
      <c r="Q203" s="19">
        <v>1</v>
      </c>
      <c r="R203" s="20">
        <v>7</v>
      </c>
      <c r="S203" s="19">
        <v>6.6000000000000003E-2</v>
      </c>
      <c r="T203" s="19" t="s">
        <v>64</v>
      </c>
      <c r="U203" s="19" t="s">
        <v>65</v>
      </c>
      <c r="V203" s="19" t="s">
        <v>66</v>
      </c>
      <c r="W203" s="19" t="s">
        <v>67</v>
      </c>
      <c r="X203" s="19" t="s">
        <v>68</v>
      </c>
      <c r="Y203" s="21" t="s">
        <v>69</v>
      </c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2"/>
      <c r="AK203" s="22"/>
      <c r="AL203" s="22"/>
      <c r="AM203" s="21" t="s">
        <v>70</v>
      </c>
      <c r="AN203" s="21" t="s">
        <v>70</v>
      </c>
      <c r="AO203" s="21" t="str">
        <f>_xlfn.XLOOKUP(A:A,[1]TAGS!$A:$A,[1]TAGS!$BG:$BG)</f>
        <v>Programar</v>
      </c>
      <c r="AP203" s="21"/>
      <c r="AQ203" s="21"/>
      <c r="AR203" s="21"/>
      <c r="AS203" s="21"/>
      <c r="AT203" s="21"/>
      <c r="AU203" s="21"/>
    </row>
    <row r="204" spans="1:47" x14ac:dyDescent="0.35">
      <c r="A204" s="19" t="s">
        <v>847</v>
      </c>
      <c r="B204" s="19" t="s">
        <v>52</v>
      </c>
      <c r="C204" s="19"/>
      <c r="D204" s="19" t="s">
        <v>53</v>
      </c>
      <c r="E204" s="19" t="s">
        <v>54</v>
      </c>
      <c r="F204" s="20" t="s">
        <v>306</v>
      </c>
      <c r="G204" s="20" t="s">
        <v>843</v>
      </c>
      <c r="H204" s="19" t="s">
        <v>848</v>
      </c>
      <c r="I204" s="20" t="s">
        <v>124</v>
      </c>
      <c r="J204" s="20" t="s">
        <v>845</v>
      </c>
      <c r="K204" s="20" t="s">
        <v>849</v>
      </c>
      <c r="L204" s="19" t="s">
        <v>61</v>
      </c>
      <c r="M204" s="19" t="s">
        <v>62</v>
      </c>
      <c r="N204" s="20" t="s">
        <v>63</v>
      </c>
      <c r="O204" s="19">
        <v>21</v>
      </c>
      <c r="P204" s="19">
        <v>3.73</v>
      </c>
      <c r="Q204" s="19">
        <v>1</v>
      </c>
      <c r="R204" s="20">
        <v>7</v>
      </c>
      <c r="S204" s="19">
        <v>6.6000000000000003E-2</v>
      </c>
      <c r="T204" s="19" t="s">
        <v>64</v>
      </c>
      <c r="U204" s="19" t="s">
        <v>65</v>
      </c>
      <c r="V204" s="19" t="s">
        <v>66</v>
      </c>
      <c r="W204" s="19" t="s">
        <v>67</v>
      </c>
      <c r="X204" s="19" t="s">
        <v>68</v>
      </c>
      <c r="Y204" s="21" t="s">
        <v>69</v>
      </c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2"/>
      <c r="AK204" s="22"/>
      <c r="AL204" s="22"/>
      <c r="AM204" s="21" t="s">
        <v>70</v>
      </c>
      <c r="AN204" s="21" t="s">
        <v>70</v>
      </c>
      <c r="AO204" s="21" t="str">
        <f>_xlfn.XLOOKUP(A:A,[1]TAGS!$A:$A,[1]TAGS!$BG:$BG)</f>
        <v>Programar</v>
      </c>
      <c r="AP204" s="21"/>
      <c r="AQ204" s="21"/>
      <c r="AR204" s="21"/>
      <c r="AS204" s="21"/>
      <c r="AT204" s="21"/>
      <c r="AU204" s="21"/>
    </row>
    <row r="205" spans="1:47" x14ac:dyDescent="0.35">
      <c r="A205" s="19" t="s">
        <v>850</v>
      </c>
      <c r="B205" s="19" t="s">
        <v>52</v>
      </c>
      <c r="C205" s="19"/>
      <c r="D205" s="19" t="s">
        <v>53</v>
      </c>
      <c r="E205" s="19" t="s">
        <v>54</v>
      </c>
      <c r="F205" s="20" t="s">
        <v>306</v>
      </c>
      <c r="G205" s="20" t="s">
        <v>843</v>
      </c>
      <c r="H205" s="19" t="s">
        <v>851</v>
      </c>
      <c r="I205" s="20" t="s">
        <v>124</v>
      </c>
      <c r="J205" s="20" t="s">
        <v>845</v>
      </c>
      <c r="K205" s="20" t="s">
        <v>852</v>
      </c>
      <c r="L205" s="19" t="s">
        <v>61</v>
      </c>
      <c r="M205" s="19" t="s">
        <v>62</v>
      </c>
      <c r="N205" s="20" t="s">
        <v>63</v>
      </c>
      <c r="O205" s="19">
        <v>21</v>
      </c>
      <c r="P205" s="19">
        <v>3.73</v>
      </c>
      <c r="Q205" s="19">
        <v>1</v>
      </c>
      <c r="R205" s="20">
        <v>7</v>
      </c>
      <c r="S205" s="19">
        <v>6.6000000000000003E-2</v>
      </c>
      <c r="T205" s="19" t="s">
        <v>64</v>
      </c>
      <c r="U205" s="19" t="s">
        <v>65</v>
      </c>
      <c r="V205" s="19" t="s">
        <v>66</v>
      </c>
      <c r="W205" s="19" t="s">
        <v>67</v>
      </c>
      <c r="X205" s="19" t="s">
        <v>68</v>
      </c>
      <c r="Y205" s="21" t="s">
        <v>69</v>
      </c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2"/>
      <c r="AK205" s="22"/>
      <c r="AL205" s="22"/>
      <c r="AM205" s="21" t="s">
        <v>70</v>
      </c>
      <c r="AN205" s="21" t="s">
        <v>70</v>
      </c>
      <c r="AO205" s="21" t="str">
        <f>_xlfn.XLOOKUP(A:A,[1]TAGS!$A:$A,[1]TAGS!$BG:$BG)</f>
        <v>Programar</v>
      </c>
      <c r="AP205" s="21"/>
      <c r="AQ205" s="21"/>
      <c r="AR205" s="21"/>
      <c r="AS205" s="21"/>
      <c r="AT205" s="21"/>
      <c r="AU205" s="21"/>
    </row>
    <row r="206" spans="1:47" x14ac:dyDescent="0.35">
      <c r="A206" s="19" t="s">
        <v>853</v>
      </c>
      <c r="B206" s="19" t="s">
        <v>52</v>
      </c>
      <c r="C206" s="19"/>
      <c r="D206" s="19" t="s">
        <v>53</v>
      </c>
      <c r="E206" s="19" t="s">
        <v>54</v>
      </c>
      <c r="F206" s="20" t="s">
        <v>306</v>
      </c>
      <c r="G206" s="20" t="s">
        <v>307</v>
      </c>
      <c r="H206" s="19" t="s">
        <v>854</v>
      </c>
      <c r="I206" s="20" t="s">
        <v>124</v>
      </c>
      <c r="J206" s="20" t="s">
        <v>309</v>
      </c>
      <c r="K206" s="20" t="s">
        <v>855</v>
      </c>
      <c r="L206" s="19" t="s">
        <v>61</v>
      </c>
      <c r="M206" s="19" t="s">
        <v>62</v>
      </c>
      <c r="N206" s="20" t="s">
        <v>63</v>
      </c>
      <c r="O206" s="19">
        <v>21</v>
      </c>
      <c r="P206" s="19">
        <v>3.73</v>
      </c>
      <c r="Q206" s="19">
        <v>1</v>
      </c>
      <c r="R206" s="20">
        <v>7</v>
      </c>
      <c r="S206" s="19">
        <v>6.6000000000000003E-2</v>
      </c>
      <c r="T206" s="19" t="s">
        <v>64</v>
      </c>
      <c r="U206" s="19" t="s">
        <v>65</v>
      </c>
      <c r="V206" s="19" t="s">
        <v>66</v>
      </c>
      <c r="W206" s="19" t="s">
        <v>67</v>
      </c>
      <c r="X206" s="19" t="s">
        <v>68</v>
      </c>
      <c r="Y206" s="21" t="s">
        <v>69</v>
      </c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2"/>
      <c r="AK206" s="22"/>
      <c r="AL206" s="22"/>
      <c r="AM206" s="21" t="s">
        <v>70</v>
      </c>
      <c r="AN206" s="21" t="s">
        <v>70</v>
      </c>
      <c r="AO206" s="21" t="str">
        <f>_xlfn.XLOOKUP(A:A,[1]TAGS!$A:$A,[1]TAGS!$BG:$BG)</f>
        <v>Programar</v>
      </c>
      <c r="AP206" s="21"/>
      <c r="AQ206" s="21"/>
      <c r="AR206" s="21"/>
      <c r="AS206" s="21"/>
      <c r="AT206" s="21"/>
      <c r="AU206" s="21"/>
    </row>
    <row r="207" spans="1:47" x14ac:dyDescent="0.35">
      <c r="A207" s="19" t="s">
        <v>856</v>
      </c>
      <c r="B207" s="19" t="s">
        <v>52</v>
      </c>
      <c r="C207" s="19"/>
      <c r="D207" s="19" t="s">
        <v>53</v>
      </c>
      <c r="E207" s="19" t="s">
        <v>54</v>
      </c>
      <c r="F207" s="20" t="s">
        <v>306</v>
      </c>
      <c r="G207" s="20" t="s">
        <v>307</v>
      </c>
      <c r="H207" s="19" t="s">
        <v>857</v>
      </c>
      <c r="I207" s="20" t="s">
        <v>124</v>
      </c>
      <c r="J207" s="20" t="s">
        <v>309</v>
      </c>
      <c r="K207" s="20" t="s">
        <v>858</v>
      </c>
      <c r="L207" s="19" t="s">
        <v>61</v>
      </c>
      <c r="M207" s="19" t="s">
        <v>62</v>
      </c>
      <c r="N207" s="20" t="s">
        <v>63</v>
      </c>
      <c r="O207" s="19">
        <v>21</v>
      </c>
      <c r="P207" s="19">
        <v>3.73</v>
      </c>
      <c r="Q207" s="19">
        <v>1</v>
      </c>
      <c r="R207" s="20">
        <v>7</v>
      </c>
      <c r="S207" s="19">
        <v>6.6000000000000003E-2</v>
      </c>
      <c r="T207" s="19" t="s">
        <v>64</v>
      </c>
      <c r="U207" s="19" t="s">
        <v>65</v>
      </c>
      <c r="V207" s="19" t="s">
        <v>66</v>
      </c>
      <c r="W207" s="19" t="s">
        <v>67</v>
      </c>
      <c r="X207" s="19" t="s">
        <v>68</v>
      </c>
      <c r="Y207" s="21" t="s">
        <v>69</v>
      </c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2"/>
      <c r="AK207" s="22"/>
      <c r="AL207" s="22"/>
      <c r="AM207" s="21" t="s">
        <v>70</v>
      </c>
      <c r="AN207" s="21" t="s">
        <v>70</v>
      </c>
      <c r="AO207" s="21" t="str">
        <f>_xlfn.XLOOKUP(A:A,[1]TAGS!$A:$A,[1]TAGS!$BG:$BG)</f>
        <v>Programar</v>
      </c>
      <c r="AP207" s="21"/>
      <c r="AQ207" s="21"/>
      <c r="AR207" s="21"/>
      <c r="AS207" s="21"/>
      <c r="AT207" s="21"/>
      <c r="AU207" s="21"/>
    </row>
    <row r="208" spans="1:47" x14ac:dyDescent="0.35">
      <c r="A208" s="19" t="s">
        <v>859</v>
      </c>
      <c r="B208" s="19" t="s">
        <v>52</v>
      </c>
      <c r="C208" s="19"/>
      <c r="D208" s="19" t="s">
        <v>53</v>
      </c>
      <c r="E208" s="19" t="s">
        <v>54</v>
      </c>
      <c r="F208" s="20" t="s">
        <v>306</v>
      </c>
      <c r="G208" s="20" t="s">
        <v>307</v>
      </c>
      <c r="H208" s="19" t="s">
        <v>860</v>
      </c>
      <c r="I208" s="20" t="s">
        <v>124</v>
      </c>
      <c r="J208" s="20" t="s">
        <v>309</v>
      </c>
      <c r="K208" s="20" t="s">
        <v>861</v>
      </c>
      <c r="L208" s="19" t="s">
        <v>61</v>
      </c>
      <c r="M208" s="19" t="s">
        <v>62</v>
      </c>
      <c r="N208" s="20" t="s">
        <v>63</v>
      </c>
      <c r="O208" s="19">
        <v>21</v>
      </c>
      <c r="P208" s="19">
        <v>3.73</v>
      </c>
      <c r="Q208" s="19">
        <v>1</v>
      </c>
      <c r="R208" s="20">
        <v>7</v>
      </c>
      <c r="S208" s="19">
        <v>6.6000000000000003E-2</v>
      </c>
      <c r="T208" s="19" t="s">
        <v>64</v>
      </c>
      <c r="U208" s="19" t="s">
        <v>65</v>
      </c>
      <c r="V208" s="19" t="s">
        <v>66</v>
      </c>
      <c r="W208" s="19" t="s">
        <v>67</v>
      </c>
      <c r="X208" s="19" t="s">
        <v>68</v>
      </c>
      <c r="Y208" s="21" t="s">
        <v>69</v>
      </c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2"/>
      <c r="AK208" s="22"/>
      <c r="AL208" s="22"/>
      <c r="AM208" s="21" t="s">
        <v>70</v>
      </c>
      <c r="AN208" s="21" t="s">
        <v>70</v>
      </c>
      <c r="AO208" s="21" t="str">
        <f>_xlfn.XLOOKUP(A:A,[1]TAGS!$A:$A,[1]TAGS!$BG:$BG)</f>
        <v>Programar</v>
      </c>
      <c r="AP208" s="21"/>
      <c r="AQ208" s="21"/>
      <c r="AR208" s="21"/>
      <c r="AS208" s="21"/>
      <c r="AT208" s="21"/>
      <c r="AU208" s="21"/>
    </row>
    <row r="209" spans="1:47" x14ac:dyDescent="0.35">
      <c r="A209" s="19" t="s">
        <v>862</v>
      </c>
      <c r="B209" s="19" t="s">
        <v>52</v>
      </c>
      <c r="C209" s="19"/>
      <c r="D209" s="19" t="s">
        <v>53</v>
      </c>
      <c r="E209" s="19" t="s">
        <v>460</v>
      </c>
      <c r="F209" s="20" t="s">
        <v>116</v>
      </c>
      <c r="G209" s="20" t="s">
        <v>117</v>
      </c>
      <c r="H209" s="19" t="s">
        <v>863</v>
      </c>
      <c r="I209" s="20" t="s">
        <v>58</v>
      </c>
      <c r="J209" s="20" t="s">
        <v>119</v>
      </c>
      <c r="K209" s="20" t="s">
        <v>864</v>
      </c>
      <c r="L209" s="19" t="s">
        <v>61</v>
      </c>
      <c r="M209" s="19" t="s">
        <v>62</v>
      </c>
      <c r="N209" s="20" t="s">
        <v>63</v>
      </c>
      <c r="O209" s="19">
        <v>21</v>
      </c>
      <c r="P209" s="19">
        <v>3.73</v>
      </c>
      <c r="Q209" s="19">
        <v>1</v>
      </c>
      <c r="R209" s="20">
        <v>11</v>
      </c>
      <c r="S209" s="19">
        <v>6.6000000000000003E-2</v>
      </c>
      <c r="T209" s="19" t="s">
        <v>64</v>
      </c>
      <c r="U209" s="19" t="s">
        <v>65</v>
      </c>
      <c r="V209" s="19" t="s">
        <v>66</v>
      </c>
      <c r="W209" s="19" t="s">
        <v>67</v>
      </c>
      <c r="X209" s="19" t="s">
        <v>68</v>
      </c>
      <c r="Y209" s="21" t="s">
        <v>463</v>
      </c>
      <c r="Z209" s="21" t="s">
        <v>488</v>
      </c>
      <c r="AA209" s="21"/>
      <c r="AB209" s="21">
        <v>5</v>
      </c>
      <c r="AC209" s="21">
        <v>28</v>
      </c>
      <c r="AD209" s="21">
        <v>8714167</v>
      </c>
      <c r="AE209" s="21">
        <v>11877070</v>
      </c>
      <c r="AF209" s="21">
        <v>101966</v>
      </c>
      <c r="AG209" s="21" t="s">
        <v>862</v>
      </c>
      <c r="AH209" s="21"/>
      <c r="AI209" s="21"/>
      <c r="AJ209" s="22"/>
      <c r="AK209" s="22"/>
      <c r="AL209" s="21" t="str">
        <f>_xlfn.XLOOKUP(A:A,[1]TAGS!$A:$A,[1]TAGS!$BG:$BG)</f>
        <v>Não Montado</v>
      </c>
      <c r="AM209" s="21" t="s">
        <v>70</v>
      </c>
      <c r="AN209" s="21" t="s">
        <v>70</v>
      </c>
      <c r="AO209" s="22"/>
      <c r="AP209" s="21"/>
      <c r="AQ209" s="21"/>
      <c r="AR209" s="21"/>
      <c r="AS209" s="21"/>
      <c r="AT209" s="21"/>
      <c r="AU209" s="21"/>
    </row>
    <row r="210" spans="1:47" x14ac:dyDescent="0.35">
      <c r="A210" s="19" t="s">
        <v>865</v>
      </c>
      <c r="B210" s="19" t="s">
        <v>52</v>
      </c>
      <c r="C210" s="19"/>
      <c r="D210" s="19" t="s">
        <v>53</v>
      </c>
      <c r="E210" s="19" t="s">
        <v>460</v>
      </c>
      <c r="F210" s="20" t="s">
        <v>341</v>
      </c>
      <c r="G210" s="20" t="s">
        <v>866</v>
      </c>
      <c r="H210" s="19" t="s">
        <v>867</v>
      </c>
      <c r="I210" s="20" t="s">
        <v>124</v>
      </c>
      <c r="J210" s="20" t="s">
        <v>868</v>
      </c>
      <c r="K210" s="20" t="s">
        <v>869</v>
      </c>
      <c r="L210" s="19" t="s">
        <v>61</v>
      </c>
      <c r="M210" s="19" t="s">
        <v>62</v>
      </c>
      <c r="N210" s="20" t="s">
        <v>63</v>
      </c>
      <c r="O210" s="19">
        <v>21</v>
      </c>
      <c r="P210" s="19">
        <v>3.73</v>
      </c>
      <c r="Q210" s="19">
        <v>1</v>
      </c>
      <c r="R210" s="20">
        <v>11</v>
      </c>
      <c r="S210" s="19">
        <v>6.6000000000000003E-2</v>
      </c>
      <c r="T210" s="19" t="s">
        <v>64</v>
      </c>
      <c r="U210" s="19" t="s">
        <v>65</v>
      </c>
      <c r="V210" s="19" t="s">
        <v>66</v>
      </c>
      <c r="W210" s="19" t="s">
        <v>67</v>
      </c>
      <c r="X210" s="19" t="s">
        <v>68</v>
      </c>
      <c r="Y210" s="21" t="s">
        <v>463</v>
      </c>
      <c r="Z210" s="21" t="s">
        <v>498</v>
      </c>
      <c r="AA210" s="21"/>
      <c r="AB210" s="21">
        <v>5</v>
      </c>
      <c r="AC210" s="21">
        <v>23</v>
      </c>
      <c r="AD210" s="21">
        <v>8601168</v>
      </c>
      <c r="AE210" s="21">
        <v>11855550</v>
      </c>
      <c r="AF210" s="21">
        <v>101924</v>
      </c>
      <c r="AG210" s="21" t="s">
        <v>865</v>
      </c>
      <c r="AH210" s="21"/>
      <c r="AI210" s="21"/>
      <c r="AJ210" s="22"/>
      <c r="AK210" s="22"/>
      <c r="AL210" s="21" t="str">
        <f>_xlfn.XLOOKUP(A:A,[1]TAGS!$A:$A,[1]TAGS!$BG:$BG)</f>
        <v>Não Montado</v>
      </c>
      <c r="AM210" s="21" t="s">
        <v>70</v>
      </c>
      <c r="AN210" s="21" t="s">
        <v>70</v>
      </c>
      <c r="AO210" s="22"/>
      <c r="AP210" s="21"/>
      <c r="AQ210" s="21"/>
      <c r="AR210" s="21"/>
      <c r="AS210" s="21"/>
      <c r="AT210" s="21"/>
      <c r="AU210" s="21"/>
    </row>
    <row r="211" spans="1:47" x14ac:dyDescent="0.35">
      <c r="A211" s="19" t="s">
        <v>870</v>
      </c>
      <c r="B211" s="19" t="s">
        <v>52</v>
      </c>
      <c r="C211" s="19"/>
      <c r="D211" s="19" t="s">
        <v>53</v>
      </c>
      <c r="E211" s="19" t="s">
        <v>460</v>
      </c>
      <c r="F211" s="20" t="s">
        <v>116</v>
      </c>
      <c r="G211" s="20" t="s">
        <v>284</v>
      </c>
      <c r="H211" s="19" t="s">
        <v>871</v>
      </c>
      <c r="I211" s="20" t="s">
        <v>58</v>
      </c>
      <c r="J211" s="20" t="s">
        <v>286</v>
      </c>
      <c r="K211" s="20" t="s">
        <v>872</v>
      </c>
      <c r="L211" s="19" t="s">
        <v>61</v>
      </c>
      <c r="M211" s="19" t="s">
        <v>62</v>
      </c>
      <c r="N211" s="20" t="s">
        <v>63</v>
      </c>
      <c r="O211" s="19">
        <v>21</v>
      </c>
      <c r="P211" s="19">
        <v>3.73</v>
      </c>
      <c r="Q211" s="19">
        <v>1</v>
      </c>
      <c r="R211" s="20">
        <v>16</v>
      </c>
      <c r="S211" s="19">
        <v>6.6000000000000003E-2</v>
      </c>
      <c r="T211" s="19" t="s">
        <v>64</v>
      </c>
      <c r="U211" s="19" t="s">
        <v>65</v>
      </c>
      <c r="V211" s="19" t="s">
        <v>66</v>
      </c>
      <c r="W211" s="19" t="s">
        <v>67</v>
      </c>
      <c r="X211" s="19" t="s">
        <v>68</v>
      </c>
      <c r="Y211" s="21" t="s">
        <v>463</v>
      </c>
      <c r="Z211" s="21" t="s">
        <v>488</v>
      </c>
      <c r="AA211" s="21"/>
      <c r="AB211" s="21">
        <v>4</v>
      </c>
      <c r="AC211" s="21">
        <v>27</v>
      </c>
      <c r="AD211" s="21">
        <v>8712264</v>
      </c>
      <c r="AE211" s="21">
        <v>11874320</v>
      </c>
      <c r="AF211" s="21">
        <v>101959</v>
      </c>
      <c r="AG211" s="21" t="s">
        <v>870</v>
      </c>
      <c r="AH211" s="21"/>
      <c r="AI211" s="21"/>
      <c r="AJ211" s="22"/>
      <c r="AK211" s="22"/>
      <c r="AL211" s="21" t="str">
        <f>_xlfn.XLOOKUP(A:A,[1]TAGS!$A:$A,[1]TAGS!$BG:$BG)</f>
        <v>Não Montado</v>
      </c>
      <c r="AM211" s="21" t="s">
        <v>70</v>
      </c>
      <c r="AN211" s="21" t="s">
        <v>70</v>
      </c>
      <c r="AO211" s="22"/>
      <c r="AP211" s="21"/>
      <c r="AQ211" s="21"/>
      <c r="AR211" s="21"/>
      <c r="AS211" s="21"/>
      <c r="AT211" s="21"/>
      <c r="AU211" s="21"/>
    </row>
    <row r="212" spans="1:47" x14ac:dyDescent="0.35">
      <c r="A212" s="19" t="s">
        <v>873</v>
      </c>
      <c r="B212" s="19" t="s">
        <v>52</v>
      </c>
      <c r="C212" s="19"/>
      <c r="D212" s="19" t="s">
        <v>53</v>
      </c>
      <c r="E212" s="19" t="s">
        <v>460</v>
      </c>
      <c r="F212" s="20" t="s">
        <v>116</v>
      </c>
      <c r="G212" s="20" t="s">
        <v>284</v>
      </c>
      <c r="H212" s="19" t="s">
        <v>874</v>
      </c>
      <c r="I212" s="20" t="s">
        <v>58</v>
      </c>
      <c r="J212" s="20" t="s">
        <v>286</v>
      </c>
      <c r="K212" s="20" t="s">
        <v>875</v>
      </c>
      <c r="L212" s="19" t="s">
        <v>61</v>
      </c>
      <c r="M212" s="19" t="s">
        <v>62</v>
      </c>
      <c r="N212" s="20" t="s">
        <v>63</v>
      </c>
      <c r="O212" s="19">
        <v>21</v>
      </c>
      <c r="P212" s="19">
        <v>3.73</v>
      </c>
      <c r="Q212" s="19">
        <v>1</v>
      </c>
      <c r="R212" s="20">
        <v>13</v>
      </c>
      <c r="S212" s="19">
        <v>6.6000000000000003E-2</v>
      </c>
      <c r="T212" s="19" t="s">
        <v>64</v>
      </c>
      <c r="U212" s="19" t="s">
        <v>65</v>
      </c>
      <c r="V212" s="19" t="s">
        <v>66</v>
      </c>
      <c r="W212" s="19" t="s">
        <v>67</v>
      </c>
      <c r="X212" s="19" t="s">
        <v>68</v>
      </c>
      <c r="Y212" s="21" t="s">
        <v>463</v>
      </c>
      <c r="Z212" s="21" t="s">
        <v>506</v>
      </c>
      <c r="AA212" s="21"/>
      <c r="AB212" s="21">
        <v>6</v>
      </c>
      <c r="AC212" s="21">
        <v>32</v>
      </c>
      <c r="AD212" s="21">
        <v>8599264</v>
      </c>
      <c r="AE212" s="21">
        <v>11865320</v>
      </c>
      <c r="AF212" s="21">
        <v>101959</v>
      </c>
      <c r="AG212" s="21" t="s">
        <v>873</v>
      </c>
      <c r="AH212" s="21"/>
      <c r="AI212" s="21"/>
      <c r="AJ212" s="22"/>
      <c r="AK212" s="22"/>
      <c r="AL212" s="21" t="str">
        <f>_xlfn.XLOOKUP(A:A,[1]TAGS!$A:$A,[1]TAGS!$BG:$BG)</f>
        <v>Não Montado</v>
      </c>
      <c r="AM212" s="21" t="s">
        <v>70</v>
      </c>
      <c r="AN212" s="21" t="s">
        <v>70</v>
      </c>
      <c r="AO212" s="22"/>
      <c r="AP212" s="21"/>
      <c r="AQ212" s="21"/>
      <c r="AR212" s="21"/>
      <c r="AS212" s="21"/>
      <c r="AT212" s="21"/>
      <c r="AU212" s="21"/>
    </row>
    <row r="213" spans="1:47" x14ac:dyDescent="0.35">
      <c r="A213" s="19" t="s">
        <v>876</v>
      </c>
      <c r="B213" s="19" t="s">
        <v>52</v>
      </c>
      <c r="C213" s="19"/>
      <c r="D213" s="19" t="s">
        <v>53</v>
      </c>
      <c r="E213" s="19" t="s">
        <v>460</v>
      </c>
      <c r="F213" s="20" t="s">
        <v>263</v>
      </c>
      <c r="G213" s="20" t="s">
        <v>264</v>
      </c>
      <c r="H213" s="19" t="s">
        <v>877</v>
      </c>
      <c r="I213" s="20" t="s">
        <v>58</v>
      </c>
      <c r="J213" s="20" t="s">
        <v>266</v>
      </c>
      <c r="K213" s="20" t="s">
        <v>878</v>
      </c>
      <c r="L213" s="19" t="s">
        <v>61</v>
      </c>
      <c r="M213" s="19" t="s">
        <v>62</v>
      </c>
      <c r="N213" s="20" t="s">
        <v>63</v>
      </c>
      <c r="O213" s="19">
        <v>21</v>
      </c>
      <c r="P213" s="19">
        <v>3.73</v>
      </c>
      <c r="Q213" s="19">
        <v>1</v>
      </c>
      <c r="R213" s="20">
        <v>7</v>
      </c>
      <c r="S213" s="19">
        <v>6.6000000000000003E-2</v>
      </c>
      <c r="T213" s="19" t="s">
        <v>64</v>
      </c>
      <c r="U213" s="19" t="s">
        <v>65</v>
      </c>
      <c r="V213" s="19" t="s">
        <v>66</v>
      </c>
      <c r="W213" s="19" t="s">
        <v>67</v>
      </c>
      <c r="X213" s="19" t="s">
        <v>68</v>
      </c>
      <c r="Y213" s="21" t="s">
        <v>463</v>
      </c>
      <c r="Z213" s="21" t="s">
        <v>573</v>
      </c>
      <c r="AA213" s="21"/>
      <c r="AB213" s="21">
        <v>2</v>
      </c>
      <c r="AC213" s="21">
        <v>58</v>
      </c>
      <c r="AD213" s="21">
        <v>8567989</v>
      </c>
      <c r="AE213" s="21">
        <v>11765970</v>
      </c>
      <c r="AF213" s="21">
        <v>100507</v>
      </c>
      <c r="AG213" s="21" t="s">
        <v>876</v>
      </c>
      <c r="AH213" s="21"/>
      <c r="AI213" s="21"/>
      <c r="AJ213" s="22"/>
      <c r="AK213" s="22"/>
      <c r="AL213" s="21" t="str">
        <f>_xlfn.XLOOKUP(A:A,[1]TAGS!$A:$A,[1]TAGS!$BG:$BG)</f>
        <v>Não Montado</v>
      </c>
      <c r="AM213" s="21" t="s">
        <v>70</v>
      </c>
      <c r="AN213" s="21" t="s">
        <v>70</v>
      </c>
      <c r="AO213" s="22"/>
      <c r="AP213" s="21"/>
      <c r="AQ213" s="21"/>
      <c r="AR213" s="21"/>
      <c r="AS213" s="21"/>
      <c r="AT213" s="21"/>
      <c r="AU213" s="21"/>
    </row>
    <row r="214" spans="1:47" x14ac:dyDescent="0.35">
      <c r="A214" s="19" t="s">
        <v>879</v>
      </c>
      <c r="B214" s="19" t="s">
        <v>52</v>
      </c>
      <c r="C214" s="19"/>
      <c r="D214" s="19" t="s">
        <v>53</v>
      </c>
      <c r="E214" s="19" t="s">
        <v>460</v>
      </c>
      <c r="F214" s="20" t="s">
        <v>89</v>
      </c>
      <c r="G214" s="20" t="s">
        <v>90</v>
      </c>
      <c r="H214" s="19" t="s">
        <v>880</v>
      </c>
      <c r="I214" s="20" t="s">
        <v>58</v>
      </c>
      <c r="J214" s="20" t="s">
        <v>92</v>
      </c>
      <c r="K214" s="20" t="s">
        <v>881</v>
      </c>
      <c r="L214" s="19" t="s">
        <v>61</v>
      </c>
      <c r="M214" s="19" t="s">
        <v>62</v>
      </c>
      <c r="N214" s="20" t="s">
        <v>63</v>
      </c>
      <c r="O214" s="19">
        <v>21</v>
      </c>
      <c r="P214" s="19">
        <v>3.73</v>
      </c>
      <c r="Q214" s="19">
        <v>1</v>
      </c>
      <c r="R214" s="20">
        <v>8</v>
      </c>
      <c r="S214" s="19">
        <v>6.6000000000000003E-2</v>
      </c>
      <c r="T214" s="19" t="s">
        <v>64</v>
      </c>
      <c r="U214" s="19" t="s">
        <v>65</v>
      </c>
      <c r="V214" s="19" t="s">
        <v>66</v>
      </c>
      <c r="W214" s="19" t="s">
        <v>67</v>
      </c>
      <c r="X214" s="19" t="s">
        <v>68</v>
      </c>
      <c r="Y214" s="21" t="s">
        <v>463</v>
      </c>
      <c r="Z214" s="21" t="s">
        <v>563</v>
      </c>
      <c r="AA214" s="21"/>
      <c r="AB214" s="21">
        <v>1</v>
      </c>
      <c r="AC214" s="21">
        <v>59</v>
      </c>
      <c r="AD214" s="21">
        <v>8569404</v>
      </c>
      <c r="AE214" s="21">
        <v>11746500</v>
      </c>
      <c r="AF214" s="21">
        <v>100568</v>
      </c>
      <c r="AG214" s="21" t="s">
        <v>879</v>
      </c>
      <c r="AH214" s="21"/>
      <c r="AI214" s="21"/>
      <c r="AJ214" s="22"/>
      <c r="AK214" s="22"/>
      <c r="AL214" s="21" t="str">
        <f>_xlfn.XLOOKUP(A:A,[1]TAGS!$A:$A,[1]TAGS!$BG:$BG)</f>
        <v>Não Montado</v>
      </c>
      <c r="AM214" s="21" t="s">
        <v>70</v>
      </c>
      <c r="AN214" s="21" t="s">
        <v>70</v>
      </c>
      <c r="AO214" s="22"/>
      <c r="AP214" s="21"/>
      <c r="AQ214" s="21"/>
      <c r="AR214" s="21"/>
      <c r="AS214" s="21"/>
      <c r="AT214" s="21"/>
      <c r="AU214" s="21"/>
    </row>
    <row r="215" spans="1:47" x14ac:dyDescent="0.35">
      <c r="A215" s="19" t="s">
        <v>882</v>
      </c>
      <c r="B215" s="19" t="s">
        <v>52</v>
      </c>
      <c r="C215" s="19"/>
      <c r="D215" s="19" t="s">
        <v>53</v>
      </c>
      <c r="E215" s="19" t="s">
        <v>460</v>
      </c>
      <c r="F215" s="20" t="s">
        <v>263</v>
      </c>
      <c r="G215" s="20" t="s">
        <v>264</v>
      </c>
      <c r="H215" s="19" t="s">
        <v>883</v>
      </c>
      <c r="I215" s="20" t="s">
        <v>58</v>
      </c>
      <c r="J215" s="20" t="s">
        <v>266</v>
      </c>
      <c r="K215" s="20" t="s">
        <v>884</v>
      </c>
      <c r="L215" s="19" t="s">
        <v>61</v>
      </c>
      <c r="M215" s="19" t="s">
        <v>62</v>
      </c>
      <c r="N215" s="20" t="s">
        <v>63</v>
      </c>
      <c r="O215" s="19">
        <v>21</v>
      </c>
      <c r="P215" s="19">
        <v>3.73</v>
      </c>
      <c r="Q215" s="19">
        <v>1</v>
      </c>
      <c r="R215" s="20">
        <v>11</v>
      </c>
      <c r="S215" s="19">
        <v>6.6000000000000003E-2</v>
      </c>
      <c r="T215" s="19" t="s">
        <v>64</v>
      </c>
      <c r="U215" s="19" t="s">
        <v>65</v>
      </c>
      <c r="V215" s="19" t="s">
        <v>66</v>
      </c>
      <c r="W215" s="19" t="s">
        <v>67</v>
      </c>
      <c r="X215" s="19" t="s">
        <v>68</v>
      </c>
      <c r="Y215" s="21" t="s">
        <v>463</v>
      </c>
      <c r="Z215" s="21" t="s">
        <v>563</v>
      </c>
      <c r="AA215" s="21"/>
      <c r="AB215" s="21">
        <v>3</v>
      </c>
      <c r="AC215" s="21">
        <v>56</v>
      </c>
      <c r="AD215" s="21">
        <v>8570825</v>
      </c>
      <c r="AE215" s="21">
        <v>11732600</v>
      </c>
      <c r="AF215" s="21">
        <v>100875</v>
      </c>
      <c r="AG215" s="21" t="s">
        <v>882</v>
      </c>
      <c r="AH215" s="21"/>
      <c r="AI215" s="21"/>
      <c r="AJ215" s="22"/>
      <c r="AK215" s="22"/>
      <c r="AL215" s="21" t="str">
        <f>_xlfn.XLOOKUP(A:A,[1]TAGS!$A:$A,[1]TAGS!$BG:$BG)</f>
        <v>Não Montado</v>
      </c>
      <c r="AM215" s="21" t="s">
        <v>70</v>
      </c>
      <c r="AN215" s="21" t="s">
        <v>70</v>
      </c>
      <c r="AO215" s="22"/>
      <c r="AP215" s="21"/>
      <c r="AQ215" s="21"/>
      <c r="AR215" s="21"/>
      <c r="AS215" s="21"/>
      <c r="AT215" s="21"/>
      <c r="AU215" s="21"/>
    </row>
    <row r="216" spans="1:47" x14ac:dyDescent="0.35">
      <c r="A216" s="19" t="s">
        <v>885</v>
      </c>
      <c r="B216" s="19" t="s">
        <v>52</v>
      </c>
      <c r="C216" s="19"/>
      <c r="D216" s="19" t="s">
        <v>53</v>
      </c>
      <c r="E216" s="19" t="s">
        <v>460</v>
      </c>
      <c r="F216" s="20" t="s">
        <v>798</v>
      </c>
      <c r="G216" s="20" t="s">
        <v>799</v>
      </c>
      <c r="H216" s="19" t="s">
        <v>886</v>
      </c>
      <c r="I216" s="20" t="s">
        <v>58</v>
      </c>
      <c r="J216" s="20" t="s">
        <v>801</v>
      </c>
      <c r="K216" s="20" t="s">
        <v>887</v>
      </c>
      <c r="L216" s="19" t="s">
        <v>61</v>
      </c>
      <c r="M216" s="19" t="s">
        <v>62</v>
      </c>
      <c r="N216" s="20" t="s">
        <v>63</v>
      </c>
      <c r="O216" s="19">
        <v>21</v>
      </c>
      <c r="P216" s="19">
        <v>3.73</v>
      </c>
      <c r="Q216" s="19">
        <v>1</v>
      </c>
      <c r="R216" s="20">
        <v>8</v>
      </c>
      <c r="S216" s="19">
        <v>6.6000000000000003E-2</v>
      </c>
      <c r="T216" s="19" t="s">
        <v>64</v>
      </c>
      <c r="U216" s="19" t="s">
        <v>65</v>
      </c>
      <c r="V216" s="19" t="s">
        <v>66</v>
      </c>
      <c r="W216" s="19" t="s">
        <v>67</v>
      </c>
      <c r="X216" s="19" t="s">
        <v>68</v>
      </c>
      <c r="Y216" s="21" t="s">
        <v>463</v>
      </c>
      <c r="Z216" s="21" t="s">
        <v>559</v>
      </c>
      <c r="AA216" s="21"/>
      <c r="AB216" s="21">
        <v>6</v>
      </c>
      <c r="AC216" s="21">
        <v>218</v>
      </c>
      <c r="AD216" s="21">
        <v>8575913</v>
      </c>
      <c r="AE216" s="21">
        <v>11821640</v>
      </c>
      <c r="AF216" s="21">
        <v>117011</v>
      </c>
      <c r="AG216" s="21" t="s">
        <v>885</v>
      </c>
      <c r="AH216" s="21"/>
      <c r="AI216" s="21"/>
      <c r="AJ216" s="22"/>
      <c r="AK216" s="22"/>
      <c r="AL216" s="21" t="str">
        <f>_xlfn.XLOOKUP(A:A,[1]TAGS!$A:$A,[1]TAGS!$BG:$BG)</f>
        <v>Não Montado</v>
      </c>
      <c r="AM216" s="21" t="s">
        <v>70</v>
      </c>
      <c r="AN216" s="21" t="s">
        <v>70</v>
      </c>
      <c r="AO216" s="22"/>
      <c r="AP216" s="21"/>
      <c r="AQ216" s="21"/>
      <c r="AR216" s="21"/>
      <c r="AS216" s="21"/>
      <c r="AT216" s="21"/>
      <c r="AU216" s="21"/>
    </row>
    <row r="217" spans="1:47" x14ac:dyDescent="0.35">
      <c r="A217" s="19" t="s">
        <v>2851</v>
      </c>
      <c r="B217" s="19" t="s">
        <v>52</v>
      </c>
      <c r="C217" s="19"/>
      <c r="D217" s="19" t="s">
        <v>53</v>
      </c>
      <c r="E217" s="19" t="s">
        <v>460</v>
      </c>
      <c r="F217" s="20"/>
      <c r="G217" s="20"/>
      <c r="H217" s="19" t="s">
        <v>888</v>
      </c>
      <c r="I217" s="20"/>
      <c r="J217" s="20"/>
      <c r="K217" s="20" t="s">
        <v>889</v>
      </c>
      <c r="L217" s="19" t="s">
        <v>61</v>
      </c>
      <c r="M217" s="19" t="s">
        <v>62</v>
      </c>
      <c r="N217" s="20" t="s">
        <v>63</v>
      </c>
      <c r="O217" s="19">
        <v>21</v>
      </c>
      <c r="P217" s="19">
        <v>3.73</v>
      </c>
      <c r="Q217" s="19">
        <v>1</v>
      </c>
      <c r="R217" s="20">
        <v>8</v>
      </c>
      <c r="S217" s="19">
        <v>6.6000000000000003E-2</v>
      </c>
      <c r="T217" s="19" t="s">
        <v>64</v>
      </c>
      <c r="U217" s="19" t="s">
        <v>65</v>
      </c>
      <c r="V217" s="19" t="s">
        <v>66</v>
      </c>
      <c r="W217" s="19" t="s">
        <v>67</v>
      </c>
      <c r="X217" s="19" t="s">
        <v>68</v>
      </c>
      <c r="Y217" s="21" t="s">
        <v>711</v>
      </c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2"/>
      <c r="AK217" s="22"/>
      <c r="AL217" s="21" t="str">
        <f>_xlfn.XLOOKUP(A:A,[1]TAGS!$A:$A,[1]TAGS!$BG:$BG)</f>
        <v>Não Montado</v>
      </c>
      <c r="AM217" s="21" t="s">
        <v>70</v>
      </c>
      <c r="AN217" s="21" t="s">
        <v>70</v>
      </c>
      <c r="AO217" s="22"/>
      <c r="AP217" s="21"/>
      <c r="AQ217" s="21"/>
      <c r="AR217" s="21"/>
      <c r="AS217" s="21"/>
      <c r="AT217" s="21"/>
      <c r="AU217" s="21" t="s">
        <v>890</v>
      </c>
    </row>
    <row r="218" spans="1:47" x14ac:dyDescent="0.35">
      <c r="A218" s="19" t="s">
        <v>891</v>
      </c>
      <c r="B218" s="19" t="s">
        <v>52</v>
      </c>
      <c r="C218" s="19"/>
      <c r="D218" s="19" t="s">
        <v>53</v>
      </c>
      <c r="E218" s="19" t="s">
        <v>460</v>
      </c>
      <c r="F218" s="20" t="s">
        <v>892</v>
      </c>
      <c r="G218" s="20" t="s">
        <v>893</v>
      </c>
      <c r="H218" s="19" t="s">
        <v>894</v>
      </c>
      <c r="I218" s="20" t="s">
        <v>124</v>
      </c>
      <c r="J218" s="20" t="s">
        <v>895</v>
      </c>
      <c r="K218" s="20" t="s">
        <v>896</v>
      </c>
      <c r="L218" s="19" t="s">
        <v>61</v>
      </c>
      <c r="M218" s="19" t="s">
        <v>62</v>
      </c>
      <c r="N218" s="20" t="s">
        <v>63</v>
      </c>
      <c r="O218" s="19">
        <v>21</v>
      </c>
      <c r="P218" s="19">
        <v>3.73</v>
      </c>
      <c r="Q218" s="19">
        <v>1</v>
      </c>
      <c r="R218" s="20">
        <v>13</v>
      </c>
      <c r="S218" s="19">
        <v>6.6000000000000003E-2</v>
      </c>
      <c r="T218" s="19" t="s">
        <v>64</v>
      </c>
      <c r="U218" s="19" t="s">
        <v>65</v>
      </c>
      <c r="V218" s="19" t="s">
        <v>66</v>
      </c>
      <c r="W218" s="19" t="s">
        <v>67</v>
      </c>
      <c r="X218" s="19" t="s">
        <v>68</v>
      </c>
      <c r="Y218" s="21" t="s">
        <v>463</v>
      </c>
      <c r="Z218" s="21" t="s">
        <v>897</v>
      </c>
      <c r="AA218" s="21"/>
      <c r="AB218" s="21">
        <v>1</v>
      </c>
      <c r="AC218" s="21">
        <v>1</v>
      </c>
      <c r="AD218" s="21">
        <v>8624443</v>
      </c>
      <c r="AE218" s="21">
        <v>11887570</v>
      </c>
      <c r="AF218" s="21">
        <v>100487</v>
      </c>
      <c r="AG218" s="21" t="s">
        <v>891</v>
      </c>
      <c r="AH218" s="21"/>
      <c r="AI218" s="21"/>
      <c r="AJ218" s="22"/>
      <c r="AK218" s="22"/>
      <c r="AL218" s="21" t="str">
        <f>_xlfn.XLOOKUP(A:A,[1]TAGS!$A:$A,[1]TAGS!$BG:$BG)</f>
        <v>Não Montado</v>
      </c>
      <c r="AM218" s="21" t="s">
        <v>70</v>
      </c>
      <c r="AN218" s="21" t="s">
        <v>70</v>
      </c>
      <c r="AO218" s="22"/>
      <c r="AP218" s="21"/>
      <c r="AQ218" s="21"/>
      <c r="AR218" s="21"/>
      <c r="AS218" s="21"/>
      <c r="AT218" s="21"/>
      <c r="AU218" s="21"/>
    </row>
    <row r="219" spans="1:47" x14ac:dyDescent="0.35">
      <c r="A219" s="19" t="s">
        <v>898</v>
      </c>
      <c r="B219" s="19" t="s">
        <v>52</v>
      </c>
      <c r="C219" s="19"/>
      <c r="D219" s="19" t="s">
        <v>53</v>
      </c>
      <c r="E219" s="19" t="s">
        <v>460</v>
      </c>
      <c r="F219" s="20" t="s">
        <v>391</v>
      </c>
      <c r="G219" s="20" t="s">
        <v>392</v>
      </c>
      <c r="H219" s="19" t="s">
        <v>899</v>
      </c>
      <c r="I219" s="20" t="s">
        <v>124</v>
      </c>
      <c r="J219" s="20" t="s">
        <v>394</v>
      </c>
      <c r="K219" s="20" t="s">
        <v>900</v>
      </c>
      <c r="L219" s="19" t="s">
        <v>61</v>
      </c>
      <c r="M219" s="19" t="s">
        <v>62</v>
      </c>
      <c r="N219" s="20" t="s">
        <v>63</v>
      </c>
      <c r="O219" s="19">
        <v>21</v>
      </c>
      <c r="P219" s="19">
        <v>3.73</v>
      </c>
      <c r="Q219" s="19">
        <v>1</v>
      </c>
      <c r="R219" s="20">
        <v>17</v>
      </c>
      <c r="S219" s="19">
        <v>6.6000000000000003E-2</v>
      </c>
      <c r="T219" s="19" t="s">
        <v>64</v>
      </c>
      <c r="U219" s="19" t="s">
        <v>65</v>
      </c>
      <c r="V219" s="19" t="s">
        <v>66</v>
      </c>
      <c r="W219" s="19" t="s">
        <v>67</v>
      </c>
      <c r="X219" s="19" t="s">
        <v>68</v>
      </c>
      <c r="Y219" s="21" t="s">
        <v>463</v>
      </c>
      <c r="Z219" s="21" t="s">
        <v>897</v>
      </c>
      <c r="AA219" s="21"/>
      <c r="AB219" s="21">
        <v>3</v>
      </c>
      <c r="AC219" s="21">
        <v>3</v>
      </c>
      <c r="AD219" s="21">
        <v>8623067</v>
      </c>
      <c r="AE219" s="21">
        <v>11888250</v>
      </c>
      <c r="AF219" s="21">
        <v>100450</v>
      </c>
      <c r="AG219" s="21" t="s">
        <v>898</v>
      </c>
      <c r="AH219" s="21"/>
      <c r="AI219" s="21"/>
      <c r="AJ219" s="22"/>
      <c r="AK219" s="22"/>
      <c r="AL219" s="21" t="str">
        <f>_xlfn.XLOOKUP(A:A,[1]TAGS!$A:$A,[1]TAGS!$BG:$BG)</f>
        <v>Não Montado</v>
      </c>
      <c r="AM219" s="21" t="s">
        <v>70</v>
      </c>
      <c r="AN219" s="21" t="s">
        <v>70</v>
      </c>
      <c r="AO219" s="22"/>
      <c r="AP219" s="21"/>
      <c r="AQ219" s="21"/>
      <c r="AR219" s="21"/>
      <c r="AS219" s="21"/>
      <c r="AT219" s="21"/>
      <c r="AU219" s="21"/>
    </row>
    <row r="220" spans="1:47" x14ac:dyDescent="0.35">
      <c r="A220" s="19" t="s">
        <v>901</v>
      </c>
      <c r="B220" s="19" t="s">
        <v>52</v>
      </c>
      <c r="C220" s="19"/>
      <c r="D220" s="19" t="s">
        <v>53</v>
      </c>
      <c r="E220" s="19" t="s">
        <v>460</v>
      </c>
      <c r="F220" s="20" t="s">
        <v>370</v>
      </c>
      <c r="G220" s="20" t="s">
        <v>371</v>
      </c>
      <c r="H220" s="19" t="s">
        <v>902</v>
      </c>
      <c r="I220" s="20" t="s">
        <v>58</v>
      </c>
      <c r="J220" s="20" t="s">
        <v>373</v>
      </c>
      <c r="K220" s="20" t="s">
        <v>903</v>
      </c>
      <c r="L220" s="19" t="s">
        <v>61</v>
      </c>
      <c r="M220" s="19" t="s">
        <v>62</v>
      </c>
      <c r="N220" s="19" t="s">
        <v>683</v>
      </c>
      <c r="O220" s="19">
        <v>21</v>
      </c>
      <c r="P220" s="19">
        <v>3.73</v>
      </c>
      <c r="Q220" s="19">
        <v>1</v>
      </c>
      <c r="R220" s="20">
        <v>8</v>
      </c>
      <c r="S220" s="19">
        <v>6.6000000000000003E-2</v>
      </c>
      <c r="T220" s="19" t="s">
        <v>64</v>
      </c>
      <c r="U220" s="19" t="s">
        <v>65</v>
      </c>
      <c r="V220" s="19" t="s">
        <v>66</v>
      </c>
      <c r="W220" s="19" t="s">
        <v>67</v>
      </c>
      <c r="X220" s="19" t="s">
        <v>68</v>
      </c>
      <c r="Y220" s="21" t="s">
        <v>711</v>
      </c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2"/>
      <c r="AK220" s="22"/>
      <c r="AL220" s="21" t="str">
        <f>_xlfn.XLOOKUP(A:A,[1]TAGS!$A:$A,[1]TAGS!$BG:$BG)</f>
        <v>Não Montado</v>
      </c>
      <c r="AM220" s="21" t="s">
        <v>70</v>
      </c>
      <c r="AN220" s="21" t="s">
        <v>70</v>
      </c>
      <c r="AO220" s="22"/>
      <c r="AP220" s="21"/>
      <c r="AQ220" s="21"/>
      <c r="AR220" s="21"/>
      <c r="AS220" s="21"/>
      <c r="AT220" s="21"/>
      <c r="AU220" s="21"/>
    </row>
    <row r="221" spans="1:47" x14ac:dyDescent="0.35">
      <c r="A221" s="19" t="s">
        <v>904</v>
      </c>
      <c r="B221" s="19" t="s">
        <v>52</v>
      </c>
      <c r="C221" s="19"/>
      <c r="D221" s="19" t="s">
        <v>53</v>
      </c>
      <c r="E221" s="19" t="s">
        <v>460</v>
      </c>
      <c r="F221" s="20" t="s">
        <v>370</v>
      </c>
      <c r="G221" s="20" t="s">
        <v>371</v>
      </c>
      <c r="H221" s="19" t="s">
        <v>905</v>
      </c>
      <c r="I221" s="20" t="s">
        <v>58</v>
      </c>
      <c r="J221" s="20" t="s">
        <v>373</v>
      </c>
      <c r="K221" s="20" t="s">
        <v>906</v>
      </c>
      <c r="L221" s="19" t="s">
        <v>61</v>
      </c>
      <c r="M221" s="19" t="s">
        <v>62</v>
      </c>
      <c r="N221" s="19" t="s">
        <v>683</v>
      </c>
      <c r="O221" s="19">
        <v>21</v>
      </c>
      <c r="P221" s="19">
        <v>3.73</v>
      </c>
      <c r="Q221" s="19">
        <v>1</v>
      </c>
      <c r="R221" s="20">
        <v>8</v>
      </c>
      <c r="S221" s="19">
        <v>6.6000000000000003E-2</v>
      </c>
      <c r="T221" s="19" t="s">
        <v>64</v>
      </c>
      <c r="U221" s="19" t="s">
        <v>65</v>
      </c>
      <c r="V221" s="19" t="s">
        <v>66</v>
      </c>
      <c r="W221" s="19" t="s">
        <v>67</v>
      </c>
      <c r="X221" s="19" t="s">
        <v>68</v>
      </c>
      <c r="Y221" s="21" t="s">
        <v>711</v>
      </c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2"/>
      <c r="AK221" s="22"/>
      <c r="AL221" s="21" t="str">
        <f>_xlfn.XLOOKUP(A:A,[1]TAGS!$A:$A,[1]TAGS!$BG:$BG)</f>
        <v>Não Montado</v>
      </c>
      <c r="AM221" s="21" t="s">
        <v>70</v>
      </c>
      <c r="AN221" s="21" t="s">
        <v>70</v>
      </c>
      <c r="AO221" s="22"/>
      <c r="AP221" s="21"/>
      <c r="AQ221" s="21"/>
      <c r="AR221" s="21"/>
      <c r="AS221" s="21"/>
      <c r="AT221" s="21"/>
      <c r="AU221" s="21"/>
    </row>
    <row r="222" spans="1:47" x14ac:dyDescent="0.35">
      <c r="A222" s="19" t="s">
        <v>907</v>
      </c>
      <c r="B222" s="19" t="s">
        <v>52</v>
      </c>
      <c r="C222" s="19"/>
      <c r="D222" s="19" t="s">
        <v>53</v>
      </c>
      <c r="E222" s="19" t="s">
        <v>460</v>
      </c>
      <c r="F222" s="20" t="s">
        <v>370</v>
      </c>
      <c r="G222" s="20" t="s">
        <v>371</v>
      </c>
      <c r="H222" s="19" t="s">
        <v>908</v>
      </c>
      <c r="I222" s="20" t="s">
        <v>58</v>
      </c>
      <c r="J222" s="20" t="s">
        <v>373</v>
      </c>
      <c r="K222" s="20" t="s">
        <v>909</v>
      </c>
      <c r="L222" s="19" t="s">
        <v>61</v>
      </c>
      <c r="M222" s="19" t="s">
        <v>62</v>
      </c>
      <c r="N222" s="19" t="s">
        <v>683</v>
      </c>
      <c r="O222" s="19">
        <v>21</v>
      </c>
      <c r="P222" s="19">
        <v>3.73</v>
      </c>
      <c r="Q222" s="19">
        <v>1</v>
      </c>
      <c r="R222" s="20">
        <v>8</v>
      </c>
      <c r="S222" s="19">
        <v>6.6000000000000003E-2</v>
      </c>
      <c r="T222" s="19" t="s">
        <v>64</v>
      </c>
      <c r="U222" s="19" t="s">
        <v>65</v>
      </c>
      <c r="V222" s="19" t="s">
        <v>66</v>
      </c>
      <c r="W222" s="19" t="s">
        <v>67</v>
      </c>
      <c r="X222" s="19" t="s">
        <v>68</v>
      </c>
      <c r="Y222" s="21" t="s">
        <v>711</v>
      </c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2"/>
      <c r="AK222" s="22"/>
      <c r="AL222" s="21" t="str">
        <f>_xlfn.XLOOKUP(A:A,[1]TAGS!$A:$A,[1]TAGS!$BG:$BG)</f>
        <v>Não Montado</v>
      </c>
      <c r="AM222" s="21" t="s">
        <v>70</v>
      </c>
      <c r="AN222" s="21" t="s">
        <v>70</v>
      </c>
      <c r="AO222" s="22"/>
      <c r="AP222" s="21"/>
      <c r="AQ222" s="21"/>
      <c r="AR222" s="21"/>
      <c r="AS222" s="21"/>
      <c r="AT222" s="21"/>
      <c r="AU222" s="21"/>
    </row>
    <row r="223" spans="1:47" x14ac:dyDescent="0.35">
      <c r="A223" s="19" t="s">
        <v>910</v>
      </c>
      <c r="B223" s="19" t="s">
        <v>52</v>
      </c>
      <c r="C223" s="19"/>
      <c r="D223" s="19" t="s">
        <v>53</v>
      </c>
      <c r="E223" s="19" t="s">
        <v>460</v>
      </c>
      <c r="F223" s="20" t="s">
        <v>248</v>
      </c>
      <c r="G223" s="20" t="s">
        <v>911</v>
      </c>
      <c r="H223" s="19" t="s">
        <v>912</v>
      </c>
      <c r="I223" s="20" t="s">
        <v>58</v>
      </c>
      <c r="J223" s="20" t="s">
        <v>913</v>
      </c>
      <c r="K223" s="20" t="s">
        <v>914</v>
      </c>
      <c r="L223" s="19" t="s">
        <v>61</v>
      </c>
      <c r="M223" s="19" t="s">
        <v>62</v>
      </c>
      <c r="N223" s="20" t="s">
        <v>63</v>
      </c>
      <c r="O223" s="19">
        <v>21</v>
      </c>
      <c r="P223" s="19">
        <v>3.73</v>
      </c>
      <c r="Q223" s="19">
        <v>1</v>
      </c>
      <c r="R223" s="20">
        <v>8</v>
      </c>
      <c r="S223" s="19">
        <v>6.6000000000000003E-2</v>
      </c>
      <c r="T223" s="19" t="s">
        <v>64</v>
      </c>
      <c r="U223" s="19" t="s">
        <v>65</v>
      </c>
      <c r="V223" s="19" t="s">
        <v>66</v>
      </c>
      <c r="W223" s="19" t="s">
        <v>67</v>
      </c>
      <c r="X223" s="19" t="s">
        <v>68</v>
      </c>
      <c r="Y223" s="21" t="s">
        <v>711</v>
      </c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2"/>
      <c r="AK223" s="22"/>
      <c r="AL223" s="21" t="str">
        <f>_xlfn.XLOOKUP(A:A,[1]TAGS!$A:$A,[1]TAGS!$BG:$BG)</f>
        <v>Não Montado</v>
      </c>
      <c r="AM223" s="21" t="s">
        <v>70</v>
      </c>
      <c r="AN223" s="21" t="s">
        <v>70</v>
      </c>
      <c r="AO223" s="22"/>
      <c r="AP223" s="21"/>
      <c r="AQ223" s="21"/>
      <c r="AR223" s="21"/>
      <c r="AS223" s="21"/>
      <c r="AT223" s="21"/>
      <c r="AU223" s="21"/>
    </row>
    <row r="224" spans="1:47" x14ac:dyDescent="0.35">
      <c r="A224" s="19" t="s">
        <v>915</v>
      </c>
      <c r="B224" s="19" t="s">
        <v>52</v>
      </c>
      <c r="C224" s="19"/>
      <c r="D224" s="19" t="s">
        <v>53</v>
      </c>
      <c r="E224" s="19" t="s">
        <v>460</v>
      </c>
      <c r="F224" s="20" t="s">
        <v>248</v>
      </c>
      <c r="G224" s="20" t="s">
        <v>911</v>
      </c>
      <c r="H224" s="19" t="s">
        <v>916</v>
      </c>
      <c r="I224" s="20" t="s">
        <v>58</v>
      </c>
      <c r="J224" s="20" t="s">
        <v>913</v>
      </c>
      <c r="K224" s="20" t="s">
        <v>917</v>
      </c>
      <c r="L224" s="19" t="s">
        <v>61</v>
      </c>
      <c r="M224" s="19" t="s">
        <v>62</v>
      </c>
      <c r="N224" s="20" t="s">
        <v>63</v>
      </c>
      <c r="O224" s="19">
        <v>21</v>
      </c>
      <c r="P224" s="19">
        <v>3.73</v>
      </c>
      <c r="Q224" s="19">
        <v>1</v>
      </c>
      <c r="R224" s="20">
        <v>8</v>
      </c>
      <c r="S224" s="19">
        <v>6.6000000000000003E-2</v>
      </c>
      <c r="T224" s="19" t="s">
        <v>64</v>
      </c>
      <c r="U224" s="19" t="s">
        <v>65</v>
      </c>
      <c r="V224" s="19" t="s">
        <v>66</v>
      </c>
      <c r="W224" s="19" t="s">
        <v>67</v>
      </c>
      <c r="X224" s="19" t="s">
        <v>68</v>
      </c>
      <c r="Y224" s="21" t="s">
        <v>711</v>
      </c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2"/>
      <c r="AK224" s="22"/>
      <c r="AL224" s="21" t="str">
        <f>_xlfn.XLOOKUP(A:A,[1]TAGS!$A:$A,[1]TAGS!$BG:$BG)</f>
        <v>Não Montado</v>
      </c>
      <c r="AM224" s="21" t="s">
        <v>70</v>
      </c>
      <c r="AN224" s="21" t="s">
        <v>70</v>
      </c>
      <c r="AO224" s="22"/>
      <c r="AP224" s="21"/>
      <c r="AQ224" s="21"/>
      <c r="AR224" s="21"/>
      <c r="AS224" s="21"/>
      <c r="AT224" s="21"/>
      <c r="AU224" s="21"/>
    </row>
    <row r="225" spans="1:47" x14ac:dyDescent="0.35">
      <c r="A225" s="19" t="s">
        <v>918</v>
      </c>
      <c r="B225" s="19" t="s">
        <v>52</v>
      </c>
      <c r="C225" s="19"/>
      <c r="D225" s="19" t="s">
        <v>53</v>
      </c>
      <c r="E225" s="19" t="s">
        <v>460</v>
      </c>
      <c r="F225" s="20" t="s">
        <v>248</v>
      </c>
      <c r="G225" s="20" t="s">
        <v>911</v>
      </c>
      <c r="H225" s="19" t="s">
        <v>919</v>
      </c>
      <c r="I225" s="20" t="s">
        <v>58</v>
      </c>
      <c r="J225" s="20" t="s">
        <v>913</v>
      </c>
      <c r="K225" s="20" t="s">
        <v>920</v>
      </c>
      <c r="L225" s="19" t="s">
        <v>61</v>
      </c>
      <c r="M225" s="19" t="s">
        <v>62</v>
      </c>
      <c r="N225" s="20" t="s">
        <v>63</v>
      </c>
      <c r="O225" s="19">
        <v>21</v>
      </c>
      <c r="P225" s="19">
        <v>3.73</v>
      </c>
      <c r="Q225" s="19">
        <v>1</v>
      </c>
      <c r="R225" s="20">
        <v>8</v>
      </c>
      <c r="S225" s="19">
        <v>6.6000000000000003E-2</v>
      </c>
      <c r="T225" s="19" t="s">
        <v>64</v>
      </c>
      <c r="U225" s="19" t="s">
        <v>65</v>
      </c>
      <c r="V225" s="19" t="s">
        <v>66</v>
      </c>
      <c r="W225" s="19" t="s">
        <v>67</v>
      </c>
      <c r="X225" s="19" t="s">
        <v>68</v>
      </c>
      <c r="Y225" s="21" t="s">
        <v>711</v>
      </c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2"/>
      <c r="AK225" s="22"/>
      <c r="AL225" s="21" t="str">
        <f>_xlfn.XLOOKUP(A:A,[1]TAGS!$A:$A,[1]TAGS!$BG:$BG)</f>
        <v>Não Montado</v>
      </c>
      <c r="AM225" s="21" t="s">
        <v>70</v>
      </c>
      <c r="AN225" s="21" t="s">
        <v>70</v>
      </c>
      <c r="AO225" s="22"/>
      <c r="AP225" s="21"/>
      <c r="AQ225" s="21"/>
      <c r="AR225" s="21"/>
      <c r="AS225" s="21"/>
      <c r="AT225" s="21"/>
      <c r="AU225" s="21"/>
    </row>
    <row r="226" spans="1:47" x14ac:dyDescent="0.35">
      <c r="A226" s="19" t="s">
        <v>921</v>
      </c>
      <c r="B226" s="19" t="s">
        <v>52</v>
      </c>
      <c r="C226" s="19"/>
      <c r="D226" s="19" t="s">
        <v>53</v>
      </c>
      <c r="E226" s="19" t="s">
        <v>54</v>
      </c>
      <c r="F226" s="20" t="s">
        <v>248</v>
      </c>
      <c r="G226" s="20" t="s">
        <v>911</v>
      </c>
      <c r="H226" s="19" t="s">
        <v>922</v>
      </c>
      <c r="I226" s="20" t="s">
        <v>58</v>
      </c>
      <c r="J226" s="20" t="s">
        <v>913</v>
      </c>
      <c r="K226" s="20" t="s">
        <v>923</v>
      </c>
      <c r="L226" s="19" t="s">
        <v>61</v>
      </c>
      <c r="M226" s="19" t="s">
        <v>62</v>
      </c>
      <c r="N226" s="20" t="s">
        <v>63</v>
      </c>
      <c r="O226" s="19">
        <v>21</v>
      </c>
      <c r="P226" s="19">
        <v>3.73</v>
      </c>
      <c r="Q226" s="19">
        <v>1</v>
      </c>
      <c r="R226" s="20">
        <v>7</v>
      </c>
      <c r="S226" s="19">
        <v>6.6000000000000003E-2</v>
      </c>
      <c r="T226" s="19" t="s">
        <v>64</v>
      </c>
      <c r="U226" s="19" t="s">
        <v>65</v>
      </c>
      <c r="V226" s="19" t="s">
        <v>66</v>
      </c>
      <c r="W226" s="19" t="s">
        <v>67</v>
      </c>
      <c r="X226" s="19" t="s">
        <v>68</v>
      </c>
      <c r="Y226" s="21" t="s">
        <v>69</v>
      </c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2"/>
      <c r="AK226" s="22"/>
      <c r="AL226" s="22"/>
      <c r="AM226" s="21" t="s">
        <v>70</v>
      </c>
      <c r="AN226" s="21" t="s">
        <v>70</v>
      </c>
      <c r="AO226" s="21" t="str">
        <f>_xlfn.XLOOKUP(A:A,[1]TAGS!$A:$A,[1]TAGS!$BG:$BG)</f>
        <v>Não Montado</v>
      </c>
      <c r="AP226" s="21"/>
      <c r="AQ226" s="21"/>
      <c r="AR226" s="21"/>
      <c r="AS226" s="21"/>
      <c r="AT226" s="21"/>
      <c r="AU226" s="21"/>
    </row>
    <row r="227" spans="1:47" x14ac:dyDescent="0.35">
      <c r="A227" s="19" t="s">
        <v>924</v>
      </c>
      <c r="B227" s="19" t="s">
        <v>52</v>
      </c>
      <c r="C227" s="19"/>
      <c r="D227" s="19" t="s">
        <v>53</v>
      </c>
      <c r="E227" s="19" t="s">
        <v>54</v>
      </c>
      <c r="F227" s="20" t="s">
        <v>306</v>
      </c>
      <c r="G227" s="20" t="s">
        <v>843</v>
      </c>
      <c r="H227" s="19" t="s">
        <v>925</v>
      </c>
      <c r="I227" s="20" t="s">
        <v>124</v>
      </c>
      <c r="J227" s="20" t="s">
        <v>845</v>
      </c>
      <c r="K227" s="20" t="s">
        <v>926</v>
      </c>
      <c r="L227" s="19" t="s">
        <v>61</v>
      </c>
      <c r="M227" s="19" t="s">
        <v>62</v>
      </c>
      <c r="N227" s="20" t="s">
        <v>63</v>
      </c>
      <c r="O227" s="19">
        <v>21</v>
      </c>
      <c r="P227" s="19">
        <v>3.73</v>
      </c>
      <c r="Q227" s="19">
        <v>1</v>
      </c>
      <c r="R227" s="20">
        <v>7</v>
      </c>
      <c r="S227" s="19">
        <v>6.6000000000000003E-2</v>
      </c>
      <c r="T227" s="19" t="s">
        <v>64</v>
      </c>
      <c r="U227" s="19" t="s">
        <v>65</v>
      </c>
      <c r="V227" s="19" t="s">
        <v>66</v>
      </c>
      <c r="W227" s="19" t="s">
        <v>67</v>
      </c>
      <c r="X227" s="19" t="s">
        <v>68</v>
      </c>
      <c r="Y227" s="21" t="s">
        <v>69</v>
      </c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2"/>
      <c r="AK227" s="22"/>
      <c r="AL227" s="22"/>
      <c r="AM227" s="21" t="s">
        <v>70</v>
      </c>
      <c r="AN227" s="21" t="s">
        <v>70</v>
      </c>
      <c r="AO227" s="21" t="str">
        <f>_xlfn.XLOOKUP(A:A,[1]TAGS!$A:$A,[1]TAGS!$BG:$BG)</f>
        <v>Não Montado</v>
      </c>
      <c r="AP227" s="21"/>
      <c r="AQ227" s="21"/>
      <c r="AR227" s="21"/>
      <c r="AS227" s="21"/>
      <c r="AT227" s="21"/>
      <c r="AU227" s="21"/>
    </row>
    <row r="228" spans="1:47" x14ac:dyDescent="0.35">
      <c r="A228" s="19" t="s">
        <v>927</v>
      </c>
      <c r="B228" s="19" t="s">
        <v>52</v>
      </c>
      <c r="C228" s="19"/>
      <c r="D228" s="19" t="s">
        <v>53</v>
      </c>
      <c r="E228" s="19" t="s">
        <v>54</v>
      </c>
      <c r="F228" s="20" t="s">
        <v>306</v>
      </c>
      <c r="G228" s="20" t="s">
        <v>843</v>
      </c>
      <c r="H228" s="19" t="s">
        <v>928</v>
      </c>
      <c r="I228" s="20" t="s">
        <v>124</v>
      </c>
      <c r="J228" s="20" t="s">
        <v>845</v>
      </c>
      <c r="K228" s="20" t="s">
        <v>929</v>
      </c>
      <c r="L228" s="19" t="s">
        <v>61</v>
      </c>
      <c r="M228" s="19" t="s">
        <v>62</v>
      </c>
      <c r="N228" s="20" t="s">
        <v>63</v>
      </c>
      <c r="O228" s="19">
        <v>21</v>
      </c>
      <c r="P228" s="19">
        <v>3.73</v>
      </c>
      <c r="Q228" s="19">
        <v>1</v>
      </c>
      <c r="R228" s="20">
        <v>7</v>
      </c>
      <c r="S228" s="19">
        <v>6.6000000000000003E-2</v>
      </c>
      <c r="T228" s="19" t="s">
        <v>64</v>
      </c>
      <c r="U228" s="19" t="s">
        <v>65</v>
      </c>
      <c r="V228" s="19" t="s">
        <v>66</v>
      </c>
      <c r="W228" s="19" t="s">
        <v>67</v>
      </c>
      <c r="X228" s="19" t="s">
        <v>68</v>
      </c>
      <c r="Y228" s="21" t="s">
        <v>69</v>
      </c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2"/>
      <c r="AK228" s="22"/>
      <c r="AL228" s="22"/>
      <c r="AM228" s="21" t="s">
        <v>70</v>
      </c>
      <c r="AN228" s="21" t="s">
        <v>70</v>
      </c>
      <c r="AO228" s="21" t="str">
        <f>_xlfn.XLOOKUP(A:A,[1]TAGS!$A:$A,[1]TAGS!$BG:$BG)</f>
        <v>Não Montado</v>
      </c>
      <c r="AP228" s="21"/>
      <c r="AQ228" s="21"/>
      <c r="AR228" s="21"/>
      <c r="AS228" s="21"/>
      <c r="AT228" s="21"/>
      <c r="AU228" s="21"/>
    </row>
    <row r="229" spans="1:47" x14ac:dyDescent="0.35">
      <c r="A229" s="19" t="s">
        <v>930</v>
      </c>
      <c r="B229" s="19" t="s">
        <v>52</v>
      </c>
      <c r="C229" s="19"/>
      <c r="D229" s="19" t="s">
        <v>53</v>
      </c>
      <c r="E229" s="19" t="s">
        <v>54</v>
      </c>
      <c r="F229" s="20" t="s">
        <v>306</v>
      </c>
      <c r="G229" s="20" t="s">
        <v>307</v>
      </c>
      <c r="H229" s="19" t="s">
        <v>931</v>
      </c>
      <c r="I229" s="20" t="s">
        <v>124</v>
      </c>
      <c r="J229" s="20" t="s">
        <v>309</v>
      </c>
      <c r="K229" s="20" t="s">
        <v>932</v>
      </c>
      <c r="L229" s="19" t="s">
        <v>61</v>
      </c>
      <c r="M229" s="19" t="s">
        <v>62</v>
      </c>
      <c r="N229" s="20" t="s">
        <v>63</v>
      </c>
      <c r="O229" s="19">
        <v>21</v>
      </c>
      <c r="P229" s="19">
        <v>3.73</v>
      </c>
      <c r="Q229" s="19">
        <v>1</v>
      </c>
      <c r="R229" s="20">
        <v>7</v>
      </c>
      <c r="S229" s="19">
        <v>6.6000000000000003E-2</v>
      </c>
      <c r="T229" s="19" t="s">
        <v>64</v>
      </c>
      <c r="U229" s="19" t="s">
        <v>65</v>
      </c>
      <c r="V229" s="19" t="s">
        <v>66</v>
      </c>
      <c r="W229" s="19" t="s">
        <v>67</v>
      </c>
      <c r="X229" s="19" t="s">
        <v>68</v>
      </c>
      <c r="Y229" s="21" t="s">
        <v>69</v>
      </c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2"/>
      <c r="AK229" s="22"/>
      <c r="AL229" s="22"/>
      <c r="AM229" s="21" t="s">
        <v>70</v>
      </c>
      <c r="AN229" s="21" t="s">
        <v>70</v>
      </c>
      <c r="AO229" s="21" t="str">
        <f>_xlfn.XLOOKUP(A:A,[1]TAGS!$A:$A,[1]TAGS!$BG:$BG)</f>
        <v>Não Montado</v>
      </c>
      <c r="AP229" s="21"/>
      <c r="AQ229" s="21"/>
      <c r="AR229" s="21"/>
      <c r="AS229" s="21"/>
      <c r="AT229" s="21"/>
      <c r="AU229" s="21"/>
    </row>
    <row r="230" spans="1:47" x14ac:dyDescent="0.35">
      <c r="A230" s="19" t="s">
        <v>933</v>
      </c>
      <c r="B230" s="19" t="s">
        <v>52</v>
      </c>
      <c r="C230" s="19"/>
      <c r="D230" s="19" t="s">
        <v>53</v>
      </c>
      <c r="E230" s="19" t="s">
        <v>54</v>
      </c>
      <c r="F230" s="20" t="s">
        <v>306</v>
      </c>
      <c r="G230" s="20" t="s">
        <v>307</v>
      </c>
      <c r="H230" s="19" t="s">
        <v>934</v>
      </c>
      <c r="I230" s="20" t="s">
        <v>124</v>
      </c>
      <c r="J230" s="20" t="s">
        <v>309</v>
      </c>
      <c r="K230" s="20" t="s">
        <v>935</v>
      </c>
      <c r="L230" s="19" t="s">
        <v>61</v>
      </c>
      <c r="M230" s="19" t="s">
        <v>62</v>
      </c>
      <c r="N230" s="20" t="s">
        <v>63</v>
      </c>
      <c r="O230" s="19">
        <v>21</v>
      </c>
      <c r="P230" s="19">
        <v>3.73</v>
      </c>
      <c r="Q230" s="19">
        <v>1</v>
      </c>
      <c r="R230" s="20">
        <v>7</v>
      </c>
      <c r="S230" s="19">
        <v>6.6000000000000003E-2</v>
      </c>
      <c r="T230" s="19" t="s">
        <v>64</v>
      </c>
      <c r="U230" s="19" t="s">
        <v>65</v>
      </c>
      <c r="V230" s="19" t="s">
        <v>66</v>
      </c>
      <c r="W230" s="19" t="s">
        <v>67</v>
      </c>
      <c r="X230" s="19" t="s">
        <v>68</v>
      </c>
      <c r="Y230" s="21" t="s">
        <v>69</v>
      </c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2"/>
      <c r="AK230" s="22"/>
      <c r="AL230" s="22"/>
      <c r="AM230" s="21" t="s">
        <v>70</v>
      </c>
      <c r="AN230" s="21" t="s">
        <v>70</v>
      </c>
      <c r="AO230" s="21" t="str">
        <f>_xlfn.XLOOKUP(A:A,[1]TAGS!$A:$A,[1]TAGS!$BG:$BG)</f>
        <v>Não Montado</v>
      </c>
      <c r="AP230" s="21"/>
      <c r="AQ230" s="21"/>
      <c r="AR230" s="21"/>
      <c r="AS230" s="21"/>
      <c r="AT230" s="21"/>
      <c r="AU230" s="21"/>
    </row>
    <row r="231" spans="1:47" x14ac:dyDescent="0.35">
      <c r="A231" s="19" t="s">
        <v>936</v>
      </c>
      <c r="B231" s="19" t="s">
        <v>52</v>
      </c>
      <c r="C231" s="19"/>
      <c r="D231" s="19" t="s">
        <v>53</v>
      </c>
      <c r="E231" s="19" t="s">
        <v>54</v>
      </c>
      <c r="F231" s="20" t="s">
        <v>937</v>
      </c>
      <c r="G231" s="20" t="s">
        <v>938</v>
      </c>
      <c r="H231" s="19" t="s">
        <v>939</v>
      </c>
      <c r="I231" s="20" t="s">
        <v>58</v>
      </c>
      <c r="J231" s="20" t="s">
        <v>940</v>
      </c>
      <c r="K231" s="20" t="s">
        <v>941</v>
      </c>
      <c r="L231" s="19" t="s">
        <v>61</v>
      </c>
      <c r="M231" s="19" t="s">
        <v>62</v>
      </c>
      <c r="N231" s="20" t="s">
        <v>63</v>
      </c>
      <c r="O231" s="19">
        <v>21</v>
      </c>
      <c r="P231" s="19">
        <v>3.73</v>
      </c>
      <c r="Q231" s="19">
        <v>1</v>
      </c>
      <c r="R231" s="20">
        <v>7</v>
      </c>
      <c r="S231" s="19">
        <v>6.6000000000000003E-2</v>
      </c>
      <c r="T231" s="19" t="s">
        <v>64</v>
      </c>
      <c r="U231" s="19" t="s">
        <v>65</v>
      </c>
      <c r="V231" s="19" t="s">
        <v>66</v>
      </c>
      <c r="W231" s="19" t="s">
        <v>67</v>
      </c>
      <c r="X231" s="19" t="s">
        <v>68</v>
      </c>
      <c r="Y231" s="21" t="s">
        <v>69</v>
      </c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2"/>
      <c r="AK231" s="22"/>
      <c r="AL231" s="22"/>
      <c r="AM231" s="21" t="s">
        <v>70</v>
      </c>
      <c r="AN231" s="21" t="s">
        <v>70</v>
      </c>
      <c r="AO231" s="21" t="str">
        <f>_xlfn.XLOOKUP(A:A,[1]TAGS!$A:$A,[1]TAGS!$BG:$BG)</f>
        <v>Montado</v>
      </c>
      <c r="AP231" s="21"/>
      <c r="AQ231" s="21"/>
      <c r="AR231" s="21"/>
      <c r="AS231" s="21"/>
      <c r="AT231" s="21"/>
      <c r="AU231" s="21"/>
    </row>
    <row r="232" spans="1:47" x14ac:dyDescent="0.35">
      <c r="A232" s="19" t="s">
        <v>942</v>
      </c>
      <c r="B232" s="19" t="s">
        <v>52</v>
      </c>
      <c r="C232" s="19"/>
      <c r="D232" s="19" t="s">
        <v>53</v>
      </c>
      <c r="E232" s="19" t="s">
        <v>54</v>
      </c>
      <c r="F232" s="20" t="s">
        <v>269</v>
      </c>
      <c r="G232" s="20" t="s">
        <v>943</v>
      </c>
      <c r="H232" s="19" t="s">
        <v>944</v>
      </c>
      <c r="I232" s="20" t="s">
        <v>58</v>
      </c>
      <c r="J232" s="20" t="s">
        <v>945</v>
      </c>
      <c r="K232" s="20" t="s">
        <v>946</v>
      </c>
      <c r="L232" s="19" t="s">
        <v>61</v>
      </c>
      <c r="M232" s="19" t="s">
        <v>62</v>
      </c>
      <c r="N232" s="20" t="s">
        <v>63</v>
      </c>
      <c r="O232" s="19">
        <v>21</v>
      </c>
      <c r="P232" s="19">
        <v>3.73</v>
      </c>
      <c r="Q232" s="19">
        <v>1</v>
      </c>
      <c r="R232" s="20">
        <v>7</v>
      </c>
      <c r="S232" s="19">
        <v>6.6000000000000003E-2</v>
      </c>
      <c r="T232" s="19" t="s">
        <v>64</v>
      </c>
      <c r="U232" s="19" t="s">
        <v>65</v>
      </c>
      <c r="V232" s="19" t="s">
        <v>66</v>
      </c>
      <c r="W232" s="19" t="s">
        <v>67</v>
      </c>
      <c r="X232" s="19" t="s">
        <v>68</v>
      </c>
      <c r="Y232" s="21" t="s">
        <v>69</v>
      </c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2"/>
      <c r="AK232" s="22"/>
      <c r="AL232" s="22"/>
      <c r="AM232" s="21" t="s">
        <v>70</v>
      </c>
      <c r="AN232" s="21" t="s">
        <v>70</v>
      </c>
      <c r="AO232" s="21" t="str">
        <f>_xlfn.XLOOKUP(A:A,[1]TAGS!$A:$A,[1]TAGS!$BG:$BG)</f>
        <v>Montado</v>
      </c>
      <c r="AP232" s="21"/>
      <c r="AQ232" s="21"/>
      <c r="AR232" s="21"/>
      <c r="AS232" s="21"/>
      <c r="AT232" s="21"/>
      <c r="AU232" s="21"/>
    </row>
    <row r="233" spans="1:47" x14ac:dyDescent="0.35">
      <c r="A233" s="19" t="s">
        <v>947</v>
      </c>
      <c r="B233" s="19" t="s">
        <v>52</v>
      </c>
      <c r="C233" s="19"/>
      <c r="D233" s="19" t="s">
        <v>53</v>
      </c>
      <c r="E233" s="19" t="s">
        <v>54</v>
      </c>
      <c r="F233" s="20" t="s">
        <v>269</v>
      </c>
      <c r="G233" s="20" t="s">
        <v>270</v>
      </c>
      <c r="H233" s="19" t="s">
        <v>948</v>
      </c>
      <c r="I233" s="20" t="s">
        <v>58</v>
      </c>
      <c r="J233" s="20" t="s">
        <v>272</v>
      </c>
      <c r="K233" s="20" t="s">
        <v>949</v>
      </c>
      <c r="L233" s="19" t="s">
        <v>61</v>
      </c>
      <c r="M233" s="19" t="s">
        <v>62</v>
      </c>
      <c r="N233" s="20" t="s">
        <v>63</v>
      </c>
      <c r="O233" s="19">
        <v>21</v>
      </c>
      <c r="P233" s="19">
        <v>3.73</v>
      </c>
      <c r="Q233" s="19">
        <v>1</v>
      </c>
      <c r="R233" s="20">
        <v>7</v>
      </c>
      <c r="S233" s="19">
        <v>6.6000000000000003E-2</v>
      </c>
      <c r="T233" s="19" t="s">
        <v>64</v>
      </c>
      <c r="U233" s="19" t="s">
        <v>65</v>
      </c>
      <c r="V233" s="19" t="s">
        <v>66</v>
      </c>
      <c r="W233" s="19" t="s">
        <v>67</v>
      </c>
      <c r="X233" s="19" t="s">
        <v>68</v>
      </c>
      <c r="Y233" s="21" t="s">
        <v>69</v>
      </c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2"/>
      <c r="AK233" s="22"/>
      <c r="AL233" s="22"/>
      <c r="AM233" s="21" t="s">
        <v>70</v>
      </c>
      <c r="AN233" s="21" t="s">
        <v>70</v>
      </c>
      <c r="AO233" s="21" t="str">
        <f>_xlfn.XLOOKUP(A:A,[1]TAGS!$A:$A,[1]TAGS!$BG:$BG)</f>
        <v>Montado</v>
      </c>
      <c r="AP233" s="21"/>
      <c r="AQ233" s="21"/>
      <c r="AR233" s="21"/>
      <c r="AS233" s="21"/>
      <c r="AT233" s="21"/>
      <c r="AU233" s="21"/>
    </row>
    <row r="234" spans="1:47" x14ac:dyDescent="0.35">
      <c r="A234" s="19" t="s">
        <v>950</v>
      </c>
      <c r="B234" s="19" t="s">
        <v>52</v>
      </c>
      <c r="C234" s="19"/>
      <c r="D234" s="19" t="s">
        <v>53</v>
      </c>
      <c r="E234" s="19" t="s">
        <v>54</v>
      </c>
      <c r="F234" s="20" t="s">
        <v>341</v>
      </c>
      <c r="G234" s="20" t="s">
        <v>342</v>
      </c>
      <c r="H234" s="19" t="s">
        <v>951</v>
      </c>
      <c r="I234" s="20" t="s">
        <v>58</v>
      </c>
      <c r="J234" s="20" t="s">
        <v>344</v>
      </c>
      <c r="K234" s="20" t="s">
        <v>952</v>
      </c>
      <c r="L234" s="19" t="s">
        <v>61</v>
      </c>
      <c r="M234" s="19" t="s">
        <v>62</v>
      </c>
      <c r="N234" s="20" t="s">
        <v>63</v>
      </c>
      <c r="O234" s="19">
        <v>21</v>
      </c>
      <c r="P234" s="19">
        <v>3.73</v>
      </c>
      <c r="Q234" s="19">
        <v>1</v>
      </c>
      <c r="R234" s="20">
        <v>7</v>
      </c>
      <c r="S234" s="19">
        <v>6.6000000000000003E-2</v>
      </c>
      <c r="T234" s="19" t="s">
        <v>64</v>
      </c>
      <c r="U234" s="19" t="s">
        <v>65</v>
      </c>
      <c r="V234" s="19" t="s">
        <v>66</v>
      </c>
      <c r="W234" s="19" t="s">
        <v>67</v>
      </c>
      <c r="X234" s="19" t="s">
        <v>68</v>
      </c>
      <c r="Y234" s="21" t="s">
        <v>69</v>
      </c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2"/>
      <c r="AK234" s="22"/>
      <c r="AL234" s="22"/>
      <c r="AM234" s="21" t="s">
        <v>70</v>
      </c>
      <c r="AN234" s="21" t="s">
        <v>70</v>
      </c>
      <c r="AO234" s="21" t="str">
        <f>_xlfn.XLOOKUP(A:A,[1]TAGS!$A:$A,[1]TAGS!$BG:$BG)</f>
        <v>Montado</v>
      </c>
      <c r="AP234" s="21"/>
      <c r="AQ234" s="21"/>
      <c r="AR234" s="21"/>
      <c r="AS234" s="21"/>
      <c r="AT234" s="21"/>
      <c r="AU234" s="21"/>
    </row>
    <row r="235" spans="1:47" x14ac:dyDescent="0.35">
      <c r="A235" s="19" t="s">
        <v>953</v>
      </c>
      <c r="B235" s="19" t="s">
        <v>52</v>
      </c>
      <c r="C235" s="19"/>
      <c r="D235" s="19" t="s">
        <v>53</v>
      </c>
      <c r="E235" s="19" t="s">
        <v>54</v>
      </c>
      <c r="F235" s="20" t="s">
        <v>269</v>
      </c>
      <c r="G235" s="20" t="s">
        <v>270</v>
      </c>
      <c r="H235" s="19" t="s">
        <v>954</v>
      </c>
      <c r="I235" s="20" t="s">
        <v>58</v>
      </c>
      <c r="J235" s="20" t="s">
        <v>272</v>
      </c>
      <c r="K235" s="20" t="s">
        <v>955</v>
      </c>
      <c r="L235" s="19" t="s">
        <v>61</v>
      </c>
      <c r="M235" s="19" t="s">
        <v>62</v>
      </c>
      <c r="N235" s="20" t="s">
        <v>63</v>
      </c>
      <c r="O235" s="19">
        <v>21</v>
      </c>
      <c r="P235" s="19">
        <v>3.73</v>
      </c>
      <c r="Q235" s="19">
        <v>1</v>
      </c>
      <c r="R235" s="20">
        <v>7</v>
      </c>
      <c r="S235" s="19">
        <v>6.6000000000000003E-2</v>
      </c>
      <c r="T235" s="19" t="s">
        <v>64</v>
      </c>
      <c r="U235" s="19" t="s">
        <v>65</v>
      </c>
      <c r="V235" s="19" t="s">
        <v>66</v>
      </c>
      <c r="W235" s="19" t="s">
        <v>67</v>
      </c>
      <c r="X235" s="19" t="s">
        <v>68</v>
      </c>
      <c r="Y235" s="21" t="s">
        <v>69</v>
      </c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2"/>
      <c r="AK235" s="22"/>
      <c r="AL235" s="22"/>
      <c r="AM235" s="21" t="s">
        <v>70</v>
      </c>
      <c r="AN235" s="21" t="s">
        <v>70</v>
      </c>
      <c r="AO235" s="21" t="str">
        <f>_xlfn.XLOOKUP(A:A,[1]TAGS!$A:$A,[1]TAGS!$BG:$BG)</f>
        <v>Montado</v>
      </c>
      <c r="AP235" s="21"/>
      <c r="AQ235" s="21"/>
      <c r="AR235" s="21"/>
      <c r="AS235" s="21"/>
      <c r="AT235" s="21"/>
      <c r="AU235" s="21"/>
    </row>
    <row r="236" spans="1:47" x14ac:dyDescent="0.35">
      <c r="A236" s="19" t="s">
        <v>956</v>
      </c>
      <c r="B236" s="19" t="s">
        <v>52</v>
      </c>
      <c r="C236" s="19"/>
      <c r="D236" s="19" t="s">
        <v>53</v>
      </c>
      <c r="E236" s="19" t="s">
        <v>54</v>
      </c>
      <c r="F236" s="20" t="s">
        <v>341</v>
      </c>
      <c r="G236" s="20" t="s">
        <v>347</v>
      </c>
      <c r="H236" s="19" t="s">
        <v>957</v>
      </c>
      <c r="I236" s="20" t="s">
        <v>124</v>
      </c>
      <c r="J236" s="20" t="s">
        <v>349</v>
      </c>
      <c r="K236" s="20" t="s">
        <v>958</v>
      </c>
      <c r="L236" s="19" t="s">
        <v>61</v>
      </c>
      <c r="M236" s="19" t="s">
        <v>62</v>
      </c>
      <c r="N236" s="20" t="s">
        <v>63</v>
      </c>
      <c r="O236" s="19">
        <v>21</v>
      </c>
      <c r="P236" s="19">
        <v>3.73</v>
      </c>
      <c r="Q236" s="19">
        <v>1</v>
      </c>
      <c r="R236" s="20">
        <v>7</v>
      </c>
      <c r="S236" s="19">
        <v>6.6000000000000003E-2</v>
      </c>
      <c r="T236" s="19" t="s">
        <v>64</v>
      </c>
      <c r="U236" s="19" t="s">
        <v>65</v>
      </c>
      <c r="V236" s="19" t="s">
        <v>66</v>
      </c>
      <c r="W236" s="19" t="s">
        <v>67</v>
      </c>
      <c r="X236" s="19" t="s">
        <v>68</v>
      </c>
      <c r="Y236" s="21" t="s">
        <v>69</v>
      </c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2"/>
      <c r="AK236" s="22"/>
      <c r="AL236" s="22"/>
      <c r="AM236" s="21" t="s">
        <v>70</v>
      </c>
      <c r="AN236" s="21" t="s">
        <v>70</v>
      </c>
      <c r="AO236" s="21" t="str">
        <f>_xlfn.XLOOKUP(A:A,[1]TAGS!$A:$A,[1]TAGS!$BG:$BG)</f>
        <v>Não Montado</v>
      </c>
      <c r="AP236" s="21"/>
      <c r="AQ236" s="21"/>
      <c r="AR236" s="21"/>
      <c r="AS236" s="21"/>
      <c r="AT236" s="21"/>
      <c r="AU236" s="21"/>
    </row>
    <row r="237" spans="1:47" x14ac:dyDescent="0.35">
      <c r="A237" s="19" t="s">
        <v>959</v>
      </c>
      <c r="B237" s="19" t="s">
        <v>52</v>
      </c>
      <c r="C237" s="19"/>
      <c r="D237" s="19" t="s">
        <v>53</v>
      </c>
      <c r="E237" s="19" t="s">
        <v>54</v>
      </c>
      <c r="F237" s="20" t="s">
        <v>116</v>
      </c>
      <c r="G237" s="20" t="s">
        <v>122</v>
      </c>
      <c r="H237" s="19" t="s">
        <v>960</v>
      </c>
      <c r="I237" s="20" t="s">
        <v>124</v>
      </c>
      <c r="J237" s="20" t="s">
        <v>125</v>
      </c>
      <c r="K237" s="20" t="s">
        <v>961</v>
      </c>
      <c r="L237" s="19" t="s">
        <v>61</v>
      </c>
      <c r="M237" s="19" t="s">
        <v>62</v>
      </c>
      <c r="N237" s="20" t="s">
        <v>63</v>
      </c>
      <c r="O237" s="19">
        <v>21</v>
      </c>
      <c r="P237" s="19">
        <v>3.73</v>
      </c>
      <c r="Q237" s="19">
        <v>1</v>
      </c>
      <c r="R237" s="20">
        <v>7</v>
      </c>
      <c r="S237" s="19">
        <v>6.6000000000000003E-2</v>
      </c>
      <c r="T237" s="19" t="s">
        <v>64</v>
      </c>
      <c r="U237" s="19" t="s">
        <v>65</v>
      </c>
      <c r="V237" s="19" t="s">
        <v>66</v>
      </c>
      <c r="W237" s="19" t="s">
        <v>67</v>
      </c>
      <c r="X237" s="19" t="s">
        <v>68</v>
      </c>
      <c r="Y237" s="21" t="s">
        <v>69</v>
      </c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2"/>
      <c r="AK237" s="22"/>
      <c r="AL237" s="22"/>
      <c r="AM237" s="21" t="s">
        <v>70</v>
      </c>
      <c r="AN237" s="21" t="s">
        <v>70</v>
      </c>
      <c r="AO237" s="21" t="str">
        <f>_xlfn.XLOOKUP(A:A,[1]TAGS!$A:$A,[1]TAGS!$BG:$BG)</f>
        <v>Montado</v>
      </c>
      <c r="AP237" s="21"/>
      <c r="AQ237" s="21"/>
      <c r="AR237" s="21"/>
      <c r="AS237" s="21"/>
      <c r="AT237" s="21"/>
      <c r="AU237" s="21"/>
    </row>
    <row r="238" spans="1:47" x14ac:dyDescent="0.35">
      <c r="A238" s="19" t="s">
        <v>962</v>
      </c>
      <c r="B238" s="19" t="s">
        <v>52</v>
      </c>
      <c r="C238" s="19"/>
      <c r="D238" s="19" t="s">
        <v>53</v>
      </c>
      <c r="E238" s="19" t="s">
        <v>54</v>
      </c>
      <c r="F238" s="20" t="s">
        <v>116</v>
      </c>
      <c r="G238" s="20" t="s">
        <v>122</v>
      </c>
      <c r="H238" s="19" t="s">
        <v>963</v>
      </c>
      <c r="I238" s="20" t="s">
        <v>124</v>
      </c>
      <c r="J238" s="20" t="s">
        <v>125</v>
      </c>
      <c r="K238" s="20" t="s">
        <v>964</v>
      </c>
      <c r="L238" s="19" t="s">
        <v>61</v>
      </c>
      <c r="M238" s="19" t="s">
        <v>62</v>
      </c>
      <c r="N238" s="20" t="s">
        <v>63</v>
      </c>
      <c r="O238" s="19">
        <v>21</v>
      </c>
      <c r="P238" s="19">
        <v>3.73</v>
      </c>
      <c r="Q238" s="19">
        <v>1</v>
      </c>
      <c r="R238" s="20">
        <v>7</v>
      </c>
      <c r="S238" s="19">
        <v>6.6000000000000003E-2</v>
      </c>
      <c r="T238" s="19" t="s">
        <v>64</v>
      </c>
      <c r="U238" s="19" t="s">
        <v>65</v>
      </c>
      <c r="V238" s="19" t="s">
        <v>66</v>
      </c>
      <c r="W238" s="19" t="s">
        <v>67</v>
      </c>
      <c r="X238" s="19" t="s">
        <v>68</v>
      </c>
      <c r="Y238" s="21" t="s">
        <v>69</v>
      </c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2"/>
      <c r="AK238" s="22"/>
      <c r="AL238" s="22"/>
      <c r="AM238" s="21" t="s">
        <v>70</v>
      </c>
      <c r="AN238" s="21" t="s">
        <v>70</v>
      </c>
      <c r="AO238" s="21" t="str">
        <f>_xlfn.XLOOKUP(A:A,[1]TAGS!$A:$A,[1]TAGS!$BG:$BG)</f>
        <v>Montado</v>
      </c>
      <c r="AP238" s="21"/>
      <c r="AQ238" s="21"/>
      <c r="AR238" s="21"/>
      <c r="AS238" s="21"/>
      <c r="AT238" s="21"/>
      <c r="AU238" s="21"/>
    </row>
    <row r="239" spans="1:47" x14ac:dyDescent="0.35">
      <c r="A239" s="19" t="s">
        <v>965</v>
      </c>
      <c r="B239" s="19" t="s">
        <v>52</v>
      </c>
      <c r="C239" s="19"/>
      <c r="D239" s="19" t="s">
        <v>53</v>
      </c>
      <c r="E239" s="19" t="s">
        <v>54</v>
      </c>
      <c r="F239" s="20" t="s">
        <v>116</v>
      </c>
      <c r="G239" s="20" t="s">
        <v>284</v>
      </c>
      <c r="H239" s="19" t="s">
        <v>966</v>
      </c>
      <c r="I239" s="20" t="s">
        <v>58</v>
      </c>
      <c r="J239" s="20" t="s">
        <v>286</v>
      </c>
      <c r="K239" s="20" t="s">
        <v>967</v>
      </c>
      <c r="L239" s="19" t="s">
        <v>61</v>
      </c>
      <c r="M239" s="19" t="s">
        <v>62</v>
      </c>
      <c r="N239" s="20" t="s">
        <v>63</v>
      </c>
      <c r="O239" s="19">
        <v>21</v>
      </c>
      <c r="P239" s="19">
        <v>3.73</v>
      </c>
      <c r="Q239" s="19">
        <v>1</v>
      </c>
      <c r="R239" s="20">
        <v>7</v>
      </c>
      <c r="S239" s="19">
        <v>6.6000000000000003E-2</v>
      </c>
      <c r="T239" s="19" t="s">
        <v>64</v>
      </c>
      <c r="U239" s="19" t="s">
        <v>65</v>
      </c>
      <c r="V239" s="19" t="s">
        <v>66</v>
      </c>
      <c r="W239" s="19" t="s">
        <v>67</v>
      </c>
      <c r="X239" s="19" t="s">
        <v>68</v>
      </c>
      <c r="Y239" s="21" t="s">
        <v>69</v>
      </c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2"/>
      <c r="AK239" s="22"/>
      <c r="AL239" s="22"/>
      <c r="AM239" s="21" t="s">
        <v>70</v>
      </c>
      <c r="AN239" s="21" t="s">
        <v>70</v>
      </c>
      <c r="AO239" s="21" t="str">
        <f>_xlfn.XLOOKUP(A:A,[1]TAGS!$A:$A,[1]TAGS!$BG:$BG)</f>
        <v>Montado</v>
      </c>
      <c r="AP239" s="21"/>
      <c r="AQ239" s="21"/>
      <c r="AR239" s="21"/>
      <c r="AS239" s="21"/>
      <c r="AT239" s="21"/>
      <c r="AU239" s="21"/>
    </row>
    <row r="240" spans="1:47" x14ac:dyDescent="0.35">
      <c r="A240" s="19" t="s">
        <v>968</v>
      </c>
      <c r="B240" s="19" t="s">
        <v>52</v>
      </c>
      <c r="C240" s="19"/>
      <c r="D240" s="19" t="s">
        <v>53</v>
      </c>
      <c r="E240" s="19" t="s">
        <v>54</v>
      </c>
      <c r="F240" s="20" t="s">
        <v>116</v>
      </c>
      <c r="G240" s="20" t="s">
        <v>289</v>
      </c>
      <c r="H240" s="19" t="s">
        <v>969</v>
      </c>
      <c r="I240" s="20" t="s">
        <v>58</v>
      </c>
      <c r="J240" s="20" t="s">
        <v>291</v>
      </c>
      <c r="K240" s="20" t="s">
        <v>970</v>
      </c>
      <c r="L240" s="19" t="s">
        <v>61</v>
      </c>
      <c r="M240" s="19" t="s">
        <v>62</v>
      </c>
      <c r="N240" s="20" t="s">
        <v>63</v>
      </c>
      <c r="O240" s="19">
        <v>21</v>
      </c>
      <c r="P240" s="19">
        <v>3.73</v>
      </c>
      <c r="Q240" s="19">
        <v>1</v>
      </c>
      <c r="R240" s="20">
        <v>7</v>
      </c>
      <c r="S240" s="19">
        <v>6.6000000000000003E-2</v>
      </c>
      <c r="T240" s="19" t="s">
        <v>64</v>
      </c>
      <c r="U240" s="19" t="s">
        <v>65</v>
      </c>
      <c r="V240" s="19" t="s">
        <v>66</v>
      </c>
      <c r="W240" s="19" t="s">
        <v>67</v>
      </c>
      <c r="X240" s="19" t="s">
        <v>68</v>
      </c>
      <c r="Y240" s="21" t="s">
        <v>69</v>
      </c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2"/>
      <c r="AK240" s="22"/>
      <c r="AL240" s="22"/>
      <c r="AM240" s="21" t="s">
        <v>70</v>
      </c>
      <c r="AN240" s="21" t="s">
        <v>70</v>
      </c>
      <c r="AO240" s="21" t="str">
        <f>_xlfn.XLOOKUP(A:A,[1]TAGS!$A:$A,[1]TAGS!$BG:$BG)</f>
        <v>Montado</v>
      </c>
      <c r="AP240" s="21"/>
      <c r="AQ240" s="21"/>
      <c r="AR240" s="21"/>
      <c r="AS240" s="21"/>
      <c r="AT240" s="21"/>
      <c r="AU240" s="21"/>
    </row>
    <row r="241" spans="1:47" x14ac:dyDescent="0.35">
      <c r="A241" s="19" t="s">
        <v>971</v>
      </c>
      <c r="B241" s="19" t="s">
        <v>52</v>
      </c>
      <c r="C241" s="19"/>
      <c r="D241" s="19" t="s">
        <v>53</v>
      </c>
      <c r="E241" s="19" t="s">
        <v>54</v>
      </c>
      <c r="F241" s="20" t="s">
        <v>141</v>
      </c>
      <c r="G241" s="20" t="s">
        <v>142</v>
      </c>
      <c r="H241" s="19" t="s">
        <v>972</v>
      </c>
      <c r="I241" s="20" t="s">
        <v>58</v>
      </c>
      <c r="J241" s="20" t="s">
        <v>144</v>
      </c>
      <c r="K241" s="20" t="s">
        <v>973</v>
      </c>
      <c r="L241" s="19" t="s">
        <v>61</v>
      </c>
      <c r="M241" s="19" t="s">
        <v>62</v>
      </c>
      <c r="N241" s="20" t="s">
        <v>63</v>
      </c>
      <c r="O241" s="19">
        <v>21</v>
      </c>
      <c r="P241" s="19">
        <v>3.73</v>
      </c>
      <c r="Q241" s="19">
        <v>1</v>
      </c>
      <c r="R241" s="20">
        <v>7</v>
      </c>
      <c r="S241" s="19">
        <v>6.6000000000000003E-2</v>
      </c>
      <c r="T241" s="19" t="s">
        <v>64</v>
      </c>
      <c r="U241" s="19" t="s">
        <v>65</v>
      </c>
      <c r="V241" s="19" t="s">
        <v>66</v>
      </c>
      <c r="W241" s="19" t="s">
        <v>67</v>
      </c>
      <c r="X241" s="19" t="s">
        <v>68</v>
      </c>
      <c r="Y241" s="21" t="s">
        <v>69</v>
      </c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2"/>
      <c r="AK241" s="22"/>
      <c r="AL241" s="22"/>
      <c r="AM241" s="21" t="s">
        <v>70</v>
      </c>
      <c r="AN241" s="21" t="s">
        <v>70</v>
      </c>
      <c r="AO241" s="21" t="str">
        <f>_xlfn.XLOOKUP(A:A,[1]TAGS!$A:$A,[1]TAGS!$BG:$BG)</f>
        <v>Montado</v>
      </c>
      <c r="AP241" s="21"/>
      <c r="AQ241" s="21"/>
      <c r="AR241" s="21"/>
      <c r="AS241" s="21"/>
      <c r="AT241" s="21"/>
      <c r="AU241" s="21"/>
    </row>
    <row r="242" spans="1:47" x14ac:dyDescent="0.35">
      <c r="A242" s="19" t="s">
        <v>974</v>
      </c>
      <c r="B242" s="19" t="s">
        <v>52</v>
      </c>
      <c r="C242" s="19"/>
      <c r="D242" s="19" t="s">
        <v>53</v>
      </c>
      <c r="E242" s="19" t="s">
        <v>54</v>
      </c>
      <c r="F242" s="20" t="s">
        <v>664</v>
      </c>
      <c r="G242" s="20" t="s">
        <v>665</v>
      </c>
      <c r="H242" s="19" t="s">
        <v>975</v>
      </c>
      <c r="I242" s="20" t="s">
        <v>58</v>
      </c>
      <c r="J242" s="20" t="s">
        <v>667</v>
      </c>
      <c r="K242" s="20" t="s">
        <v>976</v>
      </c>
      <c r="L242" s="19" t="s">
        <v>61</v>
      </c>
      <c r="M242" s="19" t="s">
        <v>62</v>
      </c>
      <c r="N242" s="20" t="s">
        <v>63</v>
      </c>
      <c r="O242" s="19">
        <v>21</v>
      </c>
      <c r="P242" s="19">
        <v>3.73</v>
      </c>
      <c r="Q242" s="19">
        <v>1</v>
      </c>
      <c r="R242" s="20">
        <v>7</v>
      </c>
      <c r="S242" s="19">
        <v>6.6000000000000003E-2</v>
      </c>
      <c r="T242" s="19" t="s">
        <v>64</v>
      </c>
      <c r="U242" s="19" t="s">
        <v>65</v>
      </c>
      <c r="V242" s="19" t="s">
        <v>66</v>
      </c>
      <c r="W242" s="19" t="s">
        <v>67</v>
      </c>
      <c r="X242" s="19" t="s">
        <v>68</v>
      </c>
      <c r="Y242" s="21" t="s">
        <v>69</v>
      </c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2"/>
      <c r="AK242" s="22"/>
      <c r="AL242" s="22"/>
      <c r="AM242" s="21" t="s">
        <v>70</v>
      </c>
      <c r="AN242" s="21" t="s">
        <v>70</v>
      </c>
      <c r="AO242" s="21" t="str">
        <f>_xlfn.XLOOKUP(A:A,[1]TAGS!$A:$A,[1]TAGS!$BG:$BG)</f>
        <v>Montado</v>
      </c>
      <c r="AP242" s="21"/>
      <c r="AQ242" s="21"/>
      <c r="AR242" s="21"/>
      <c r="AS242" s="21"/>
      <c r="AT242" s="21"/>
      <c r="AU242" s="21"/>
    </row>
    <row r="243" spans="1:47" x14ac:dyDescent="0.35">
      <c r="A243" s="19" t="s">
        <v>977</v>
      </c>
      <c r="B243" s="19" t="s">
        <v>52</v>
      </c>
      <c r="C243" s="19"/>
      <c r="D243" s="19" t="s">
        <v>53</v>
      </c>
      <c r="E243" s="19" t="s">
        <v>54</v>
      </c>
      <c r="F243" s="20" t="s">
        <v>200</v>
      </c>
      <c r="G243" s="20" t="s">
        <v>201</v>
      </c>
      <c r="H243" s="19" t="s">
        <v>978</v>
      </c>
      <c r="I243" s="20" t="s">
        <v>58</v>
      </c>
      <c r="J243" s="20" t="s">
        <v>203</v>
      </c>
      <c r="K243" s="20" t="s">
        <v>979</v>
      </c>
      <c r="L243" s="19" t="s">
        <v>61</v>
      </c>
      <c r="M243" s="19" t="s">
        <v>62</v>
      </c>
      <c r="N243" s="20" t="s">
        <v>63</v>
      </c>
      <c r="O243" s="19">
        <v>21</v>
      </c>
      <c r="P243" s="19">
        <v>3.73</v>
      </c>
      <c r="Q243" s="19">
        <v>1</v>
      </c>
      <c r="R243" s="20">
        <v>7</v>
      </c>
      <c r="S243" s="19">
        <v>6.6000000000000003E-2</v>
      </c>
      <c r="T243" s="19" t="s">
        <v>64</v>
      </c>
      <c r="U243" s="19" t="s">
        <v>65</v>
      </c>
      <c r="V243" s="19" t="s">
        <v>66</v>
      </c>
      <c r="W243" s="19" t="s">
        <v>67</v>
      </c>
      <c r="X243" s="19" t="s">
        <v>68</v>
      </c>
      <c r="Y243" s="21" t="s">
        <v>69</v>
      </c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2"/>
      <c r="AK243" s="22"/>
      <c r="AL243" s="22"/>
      <c r="AM243" s="21" t="s">
        <v>70</v>
      </c>
      <c r="AN243" s="21" t="s">
        <v>70</v>
      </c>
      <c r="AO243" s="21" t="str">
        <f>_xlfn.XLOOKUP(A:A,[1]TAGS!$A:$A,[1]TAGS!$BG:$BG)</f>
        <v>Não Montado</v>
      </c>
      <c r="AP243" s="21"/>
      <c r="AQ243" s="21"/>
      <c r="AR243" s="21"/>
      <c r="AS243" s="21"/>
      <c r="AT243" s="21"/>
      <c r="AU243" s="21"/>
    </row>
    <row r="244" spans="1:47" x14ac:dyDescent="0.35">
      <c r="A244" s="19" t="s">
        <v>980</v>
      </c>
      <c r="B244" s="19" t="s">
        <v>52</v>
      </c>
      <c r="C244" s="19"/>
      <c r="D244" s="19" t="s">
        <v>53</v>
      </c>
      <c r="E244" s="19" t="s">
        <v>54</v>
      </c>
      <c r="F244" s="20" t="s">
        <v>306</v>
      </c>
      <c r="G244" s="20" t="s">
        <v>779</v>
      </c>
      <c r="H244" s="19" t="s">
        <v>981</v>
      </c>
      <c r="I244" s="20" t="s">
        <v>124</v>
      </c>
      <c r="J244" s="20" t="s">
        <v>781</v>
      </c>
      <c r="K244" s="20" t="s">
        <v>982</v>
      </c>
      <c r="L244" s="19" t="s">
        <v>61</v>
      </c>
      <c r="M244" s="19" t="s">
        <v>62</v>
      </c>
      <c r="N244" s="20" t="s">
        <v>63</v>
      </c>
      <c r="O244" s="19">
        <v>21</v>
      </c>
      <c r="P244" s="19">
        <v>3.73</v>
      </c>
      <c r="Q244" s="19">
        <v>1</v>
      </c>
      <c r="R244" s="20">
        <v>7</v>
      </c>
      <c r="S244" s="19">
        <v>6.6000000000000003E-2</v>
      </c>
      <c r="T244" s="19" t="s">
        <v>64</v>
      </c>
      <c r="U244" s="19" t="s">
        <v>65</v>
      </c>
      <c r="V244" s="19" t="s">
        <v>66</v>
      </c>
      <c r="W244" s="19" t="s">
        <v>67</v>
      </c>
      <c r="X244" s="19" t="s">
        <v>68</v>
      </c>
      <c r="Y244" s="21" t="s">
        <v>69</v>
      </c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2"/>
      <c r="AK244" s="22"/>
      <c r="AL244" s="22"/>
      <c r="AM244" s="21" t="s">
        <v>70</v>
      </c>
      <c r="AN244" s="21" t="s">
        <v>70</v>
      </c>
      <c r="AO244" s="21" t="str">
        <f>_xlfn.XLOOKUP(A:A,[1]TAGS!$A:$A,[1]TAGS!$BG:$BG)</f>
        <v>Não Montado</v>
      </c>
      <c r="AP244" s="21"/>
      <c r="AQ244" s="21"/>
      <c r="AR244" s="21"/>
      <c r="AS244" s="21"/>
      <c r="AT244" s="21"/>
      <c r="AU244" s="21"/>
    </row>
    <row r="245" spans="1:47" x14ac:dyDescent="0.35">
      <c r="A245" s="19" t="s">
        <v>983</v>
      </c>
      <c r="B245" s="19" t="s">
        <v>52</v>
      </c>
      <c r="C245" s="19"/>
      <c r="D245" s="19" t="s">
        <v>53</v>
      </c>
      <c r="E245" s="19" t="s">
        <v>54</v>
      </c>
      <c r="F245" s="20" t="s">
        <v>306</v>
      </c>
      <c r="G245" s="20" t="s">
        <v>779</v>
      </c>
      <c r="H245" s="19" t="s">
        <v>984</v>
      </c>
      <c r="I245" s="20" t="s">
        <v>124</v>
      </c>
      <c r="J245" s="20" t="s">
        <v>781</v>
      </c>
      <c r="K245" s="20" t="s">
        <v>985</v>
      </c>
      <c r="L245" s="19" t="s">
        <v>61</v>
      </c>
      <c r="M245" s="19" t="s">
        <v>62</v>
      </c>
      <c r="N245" s="20" t="s">
        <v>63</v>
      </c>
      <c r="O245" s="19">
        <v>21</v>
      </c>
      <c r="P245" s="19">
        <v>3.73</v>
      </c>
      <c r="Q245" s="19">
        <v>1</v>
      </c>
      <c r="R245" s="20">
        <v>7</v>
      </c>
      <c r="S245" s="19">
        <v>6.6000000000000003E-2</v>
      </c>
      <c r="T245" s="19" t="s">
        <v>64</v>
      </c>
      <c r="U245" s="19" t="s">
        <v>65</v>
      </c>
      <c r="V245" s="19" t="s">
        <v>66</v>
      </c>
      <c r="W245" s="19" t="s">
        <v>67</v>
      </c>
      <c r="X245" s="19" t="s">
        <v>68</v>
      </c>
      <c r="Y245" s="21" t="s">
        <v>69</v>
      </c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2"/>
      <c r="AK245" s="22"/>
      <c r="AL245" s="22"/>
      <c r="AM245" s="21" t="s">
        <v>70</v>
      </c>
      <c r="AN245" s="21" t="s">
        <v>70</v>
      </c>
      <c r="AO245" s="21" t="str">
        <f>_xlfn.XLOOKUP(A:A,[1]TAGS!$A:$A,[1]TAGS!$BG:$BG)</f>
        <v>Não Montado</v>
      </c>
      <c r="AP245" s="21"/>
      <c r="AQ245" s="21"/>
      <c r="AR245" s="21"/>
      <c r="AS245" s="21"/>
      <c r="AT245" s="21"/>
      <c r="AU245" s="21"/>
    </row>
    <row r="246" spans="1:47" x14ac:dyDescent="0.35">
      <c r="A246" s="19" t="s">
        <v>986</v>
      </c>
      <c r="B246" s="19" t="s">
        <v>52</v>
      </c>
      <c r="C246" s="19"/>
      <c r="D246" s="19" t="s">
        <v>53</v>
      </c>
      <c r="E246" s="19" t="s">
        <v>54</v>
      </c>
      <c r="F246" s="20" t="s">
        <v>233</v>
      </c>
      <c r="G246" s="20" t="s">
        <v>234</v>
      </c>
      <c r="H246" s="19" t="s">
        <v>987</v>
      </c>
      <c r="I246" s="20" t="s">
        <v>58</v>
      </c>
      <c r="J246" s="20" t="s">
        <v>236</v>
      </c>
      <c r="K246" s="20" t="s">
        <v>988</v>
      </c>
      <c r="L246" s="19" t="s">
        <v>61</v>
      </c>
      <c r="M246" s="19" t="s">
        <v>62</v>
      </c>
      <c r="N246" s="20" t="s">
        <v>63</v>
      </c>
      <c r="O246" s="19">
        <v>21</v>
      </c>
      <c r="P246" s="19">
        <v>3.73</v>
      </c>
      <c r="Q246" s="19">
        <v>1</v>
      </c>
      <c r="R246" s="20">
        <v>7</v>
      </c>
      <c r="S246" s="19">
        <v>6.6000000000000003E-2</v>
      </c>
      <c r="T246" s="19" t="s">
        <v>64</v>
      </c>
      <c r="U246" s="19" t="s">
        <v>65</v>
      </c>
      <c r="V246" s="19" t="s">
        <v>66</v>
      </c>
      <c r="W246" s="19" t="s">
        <v>67</v>
      </c>
      <c r="X246" s="19" t="s">
        <v>68</v>
      </c>
      <c r="Y246" s="21" t="s">
        <v>69</v>
      </c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2"/>
      <c r="AK246" s="22"/>
      <c r="AL246" s="22"/>
      <c r="AM246" s="21" t="s">
        <v>70</v>
      </c>
      <c r="AN246" s="21" t="s">
        <v>70</v>
      </c>
      <c r="AO246" s="21" t="str">
        <f>_xlfn.XLOOKUP(A:A,[1]TAGS!$A:$A,[1]TAGS!$BG:$BG)</f>
        <v>Não Montado</v>
      </c>
      <c r="AP246" s="21"/>
      <c r="AQ246" s="21"/>
      <c r="AR246" s="21"/>
      <c r="AS246" s="21"/>
      <c r="AT246" s="21"/>
      <c r="AU246" s="21"/>
    </row>
    <row r="247" spans="1:47" x14ac:dyDescent="0.35">
      <c r="A247" s="19" t="s">
        <v>989</v>
      </c>
      <c r="B247" s="19" t="s">
        <v>52</v>
      </c>
      <c r="C247" s="19"/>
      <c r="D247" s="19" t="s">
        <v>53</v>
      </c>
      <c r="E247" s="19" t="s">
        <v>54</v>
      </c>
      <c r="F247" s="20" t="s">
        <v>300</v>
      </c>
      <c r="G247" s="20" t="s">
        <v>301</v>
      </c>
      <c r="H247" s="19" t="s">
        <v>990</v>
      </c>
      <c r="I247" s="20" t="s">
        <v>58</v>
      </c>
      <c r="J247" s="20" t="s">
        <v>303</v>
      </c>
      <c r="K247" s="20" t="s">
        <v>991</v>
      </c>
      <c r="L247" s="19" t="s">
        <v>61</v>
      </c>
      <c r="M247" s="19" t="s">
        <v>62</v>
      </c>
      <c r="N247" s="20" t="s">
        <v>63</v>
      </c>
      <c r="O247" s="19">
        <v>21</v>
      </c>
      <c r="P247" s="19">
        <v>3.73</v>
      </c>
      <c r="Q247" s="19">
        <v>1</v>
      </c>
      <c r="R247" s="20">
        <v>7</v>
      </c>
      <c r="S247" s="19">
        <v>6.6000000000000003E-2</v>
      </c>
      <c r="T247" s="19" t="s">
        <v>64</v>
      </c>
      <c r="U247" s="19" t="s">
        <v>65</v>
      </c>
      <c r="V247" s="19" t="s">
        <v>66</v>
      </c>
      <c r="W247" s="19" t="s">
        <v>67</v>
      </c>
      <c r="X247" s="19" t="s">
        <v>68</v>
      </c>
      <c r="Y247" s="21" t="s">
        <v>69</v>
      </c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2"/>
      <c r="AK247" s="22"/>
      <c r="AL247" s="22"/>
      <c r="AM247" s="21" t="s">
        <v>70</v>
      </c>
      <c r="AN247" s="21" t="s">
        <v>70</v>
      </c>
      <c r="AO247" s="21" t="str">
        <f>_xlfn.XLOOKUP(A:A,[1]TAGS!$A:$A,[1]TAGS!$BG:$BG)</f>
        <v>Montado</v>
      </c>
      <c r="AP247" s="21"/>
      <c r="AQ247" s="21"/>
      <c r="AR247" s="21"/>
      <c r="AS247" s="21"/>
      <c r="AT247" s="21"/>
      <c r="AU247" s="21"/>
    </row>
    <row r="248" spans="1:47" x14ac:dyDescent="0.35">
      <c r="A248" s="19" t="s">
        <v>992</v>
      </c>
      <c r="B248" s="19" t="s">
        <v>52</v>
      </c>
      <c r="C248" s="19"/>
      <c r="D248" s="19" t="s">
        <v>53</v>
      </c>
      <c r="E248" s="19" t="s">
        <v>54</v>
      </c>
      <c r="F248" s="20" t="s">
        <v>141</v>
      </c>
      <c r="G248" s="20" t="s">
        <v>142</v>
      </c>
      <c r="H248" s="19" t="s">
        <v>993</v>
      </c>
      <c r="I248" s="20" t="s">
        <v>58</v>
      </c>
      <c r="J248" s="20" t="s">
        <v>144</v>
      </c>
      <c r="K248" s="20" t="s">
        <v>994</v>
      </c>
      <c r="L248" s="19" t="s">
        <v>61</v>
      </c>
      <c r="M248" s="19" t="s">
        <v>62</v>
      </c>
      <c r="N248" s="20" t="s">
        <v>63</v>
      </c>
      <c r="O248" s="19">
        <v>21</v>
      </c>
      <c r="P248" s="19">
        <v>3.73</v>
      </c>
      <c r="Q248" s="19">
        <v>1</v>
      </c>
      <c r="R248" s="20">
        <v>7</v>
      </c>
      <c r="S248" s="19">
        <v>6.6000000000000003E-2</v>
      </c>
      <c r="T248" s="19" t="s">
        <v>64</v>
      </c>
      <c r="U248" s="19" t="s">
        <v>65</v>
      </c>
      <c r="V248" s="19" t="s">
        <v>66</v>
      </c>
      <c r="W248" s="19" t="s">
        <v>67</v>
      </c>
      <c r="X248" s="19" t="s">
        <v>68</v>
      </c>
      <c r="Y248" s="21" t="s">
        <v>69</v>
      </c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2"/>
      <c r="AK248" s="22"/>
      <c r="AL248" s="22"/>
      <c r="AM248" s="21" t="s">
        <v>70</v>
      </c>
      <c r="AN248" s="21" t="s">
        <v>70</v>
      </c>
      <c r="AO248" s="21" t="str">
        <f>_xlfn.XLOOKUP(A:A,[1]TAGS!$A:$A,[1]TAGS!$BG:$BG)</f>
        <v>Montado</v>
      </c>
      <c r="AP248" s="21"/>
      <c r="AQ248" s="21"/>
      <c r="AR248" s="21"/>
      <c r="AS248" s="21"/>
      <c r="AT248" s="21"/>
      <c r="AU248" s="21"/>
    </row>
    <row r="249" spans="1:47" x14ac:dyDescent="0.35">
      <c r="A249" s="19" t="s">
        <v>995</v>
      </c>
      <c r="B249" s="19" t="s">
        <v>52</v>
      </c>
      <c r="C249" s="19"/>
      <c r="D249" s="19" t="s">
        <v>53</v>
      </c>
      <c r="E249" s="19" t="s">
        <v>54</v>
      </c>
      <c r="F249" s="20" t="s">
        <v>664</v>
      </c>
      <c r="G249" s="20" t="s">
        <v>665</v>
      </c>
      <c r="H249" s="19" t="s">
        <v>996</v>
      </c>
      <c r="I249" s="20" t="s">
        <v>58</v>
      </c>
      <c r="J249" s="20" t="s">
        <v>667</v>
      </c>
      <c r="K249" s="20" t="s">
        <v>997</v>
      </c>
      <c r="L249" s="19" t="s">
        <v>61</v>
      </c>
      <c r="M249" s="19" t="s">
        <v>62</v>
      </c>
      <c r="N249" s="20" t="s">
        <v>63</v>
      </c>
      <c r="O249" s="19">
        <v>21</v>
      </c>
      <c r="P249" s="19">
        <v>3.73</v>
      </c>
      <c r="Q249" s="19">
        <v>1</v>
      </c>
      <c r="R249" s="20">
        <v>7</v>
      </c>
      <c r="S249" s="19">
        <v>6.6000000000000003E-2</v>
      </c>
      <c r="T249" s="19" t="s">
        <v>64</v>
      </c>
      <c r="U249" s="19" t="s">
        <v>65</v>
      </c>
      <c r="V249" s="19" t="s">
        <v>66</v>
      </c>
      <c r="W249" s="19" t="s">
        <v>67</v>
      </c>
      <c r="X249" s="19" t="s">
        <v>68</v>
      </c>
      <c r="Y249" s="21" t="s">
        <v>69</v>
      </c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2"/>
      <c r="AK249" s="22"/>
      <c r="AL249" s="22"/>
      <c r="AM249" s="21" t="s">
        <v>70</v>
      </c>
      <c r="AN249" s="21" t="s">
        <v>70</v>
      </c>
      <c r="AO249" s="21" t="str">
        <f>_xlfn.XLOOKUP(A:A,[1]TAGS!$A:$A,[1]TAGS!$BG:$BG)</f>
        <v>Montado</v>
      </c>
      <c r="AP249" s="21"/>
      <c r="AQ249" s="21"/>
      <c r="AR249" s="21"/>
      <c r="AS249" s="21"/>
      <c r="AT249" s="21"/>
      <c r="AU249" s="21"/>
    </row>
    <row r="250" spans="1:47" x14ac:dyDescent="0.35">
      <c r="A250" s="19" t="s">
        <v>998</v>
      </c>
      <c r="B250" s="19" t="s">
        <v>52</v>
      </c>
      <c r="C250" s="19"/>
      <c r="D250" s="19" t="s">
        <v>53</v>
      </c>
      <c r="E250" s="19" t="s">
        <v>54</v>
      </c>
      <c r="F250" s="20" t="s">
        <v>664</v>
      </c>
      <c r="G250" s="20" t="s">
        <v>665</v>
      </c>
      <c r="H250" s="19" t="s">
        <v>999</v>
      </c>
      <c r="I250" s="20" t="s">
        <v>58</v>
      </c>
      <c r="J250" s="20" t="s">
        <v>667</v>
      </c>
      <c r="K250" s="20" t="s">
        <v>1000</v>
      </c>
      <c r="L250" s="19" t="s">
        <v>61</v>
      </c>
      <c r="M250" s="19" t="s">
        <v>62</v>
      </c>
      <c r="N250" s="20" t="s">
        <v>63</v>
      </c>
      <c r="O250" s="19">
        <v>21</v>
      </c>
      <c r="P250" s="19">
        <v>3.73</v>
      </c>
      <c r="Q250" s="19">
        <v>1</v>
      </c>
      <c r="R250" s="20">
        <v>7</v>
      </c>
      <c r="S250" s="19">
        <v>6.6000000000000003E-2</v>
      </c>
      <c r="T250" s="19" t="s">
        <v>64</v>
      </c>
      <c r="U250" s="19" t="s">
        <v>65</v>
      </c>
      <c r="V250" s="19" t="s">
        <v>66</v>
      </c>
      <c r="W250" s="19" t="s">
        <v>67</v>
      </c>
      <c r="X250" s="19" t="s">
        <v>68</v>
      </c>
      <c r="Y250" s="21" t="s">
        <v>69</v>
      </c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2"/>
      <c r="AK250" s="22"/>
      <c r="AL250" s="22"/>
      <c r="AM250" s="21" t="s">
        <v>70</v>
      </c>
      <c r="AN250" s="21" t="s">
        <v>70</v>
      </c>
      <c r="AO250" s="21" t="str">
        <f>_xlfn.XLOOKUP(A:A,[1]TAGS!$A:$A,[1]TAGS!$BG:$BG)</f>
        <v>Montado</v>
      </c>
      <c r="AP250" s="21"/>
      <c r="AQ250" s="21"/>
      <c r="AR250" s="21"/>
      <c r="AS250" s="21"/>
      <c r="AT250" s="21"/>
      <c r="AU250" s="21"/>
    </row>
    <row r="251" spans="1:47" x14ac:dyDescent="0.35">
      <c r="A251" s="19" t="s">
        <v>1001</v>
      </c>
      <c r="B251" s="19" t="s">
        <v>52</v>
      </c>
      <c r="C251" s="19"/>
      <c r="D251" s="19" t="s">
        <v>53</v>
      </c>
      <c r="E251" s="19" t="s">
        <v>54</v>
      </c>
      <c r="F251" s="20" t="s">
        <v>664</v>
      </c>
      <c r="G251" s="20" t="s">
        <v>665</v>
      </c>
      <c r="H251" s="19" t="s">
        <v>1002</v>
      </c>
      <c r="I251" s="20" t="s">
        <v>58</v>
      </c>
      <c r="J251" s="20" t="s">
        <v>667</v>
      </c>
      <c r="K251" s="20" t="s">
        <v>1003</v>
      </c>
      <c r="L251" s="19" t="s">
        <v>61</v>
      </c>
      <c r="M251" s="19" t="s">
        <v>62</v>
      </c>
      <c r="N251" s="20" t="s">
        <v>63</v>
      </c>
      <c r="O251" s="19">
        <v>21</v>
      </c>
      <c r="P251" s="19">
        <v>3.73</v>
      </c>
      <c r="Q251" s="19">
        <v>1</v>
      </c>
      <c r="R251" s="20">
        <v>7</v>
      </c>
      <c r="S251" s="19">
        <v>6.6000000000000003E-2</v>
      </c>
      <c r="T251" s="19" t="s">
        <v>64</v>
      </c>
      <c r="U251" s="19" t="s">
        <v>65</v>
      </c>
      <c r="V251" s="19" t="s">
        <v>66</v>
      </c>
      <c r="W251" s="19" t="s">
        <v>67</v>
      </c>
      <c r="X251" s="19" t="s">
        <v>68</v>
      </c>
      <c r="Y251" s="21" t="s">
        <v>69</v>
      </c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2"/>
      <c r="AK251" s="22"/>
      <c r="AL251" s="22"/>
      <c r="AM251" s="21" t="s">
        <v>70</v>
      </c>
      <c r="AN251" s="21" t="s">
        <v>70</v>
      </c>
      <c r="AO251" s="21" t="str">
        <f>_xlfn.XLOOKUP(A:A,[1]TAGS!$A:$A,[1]TAGS!$BG:$BG)</f>
        <v>Não Montado</v>
      </c>
      <c r="AP251" s="21"/>
      <c r="AQ251" s="21"/>
      <c r="AR251" s="21"/>
      <c r="AS251" s="21"/>
      <c r="AT251" s="21"/>
      <c r="AU251" s="21"/>
    </row>
    <row r="252" spans="1:47" x14ac:dyDescent="0.35">
      <c r="A252" s="19" t="s">
        <v>1004</v>
      </c>
      <c r="B252" s="19" t="s">
        <v>52</v>
      </c>
      <c r="C252" s="19"/>
      <c r="D252" s="19" t="s">
        <v>53</v>
      </c>
      <c r="E252" s="19" t="s">
        <v>54</v>
      </c>
      <c r="F252" s="20" t="s">
        <v>664</v>
      </c>
      <c r="G252" s="20" t="s">
        <v>665</v>
      </c>
      <c r="H252" s="19" t="s">
        <v>1005</v>
      </c>
      <c r="I252" s="20" t="s">
        <v>58</v>
      </c>
      <c r="J252" s="20" t="s">
        <v>667</v>
      </c>
      <c r="K252" s="20" t="s">
        <v>1006</v>
      </c>
      <c r="L252" s="19" t="s">
        <v>61</v>
      </c>
      <c r="M252" s="19" t="s">
        <v>62</v>
      </c>
      <c r="N252" s="20" t="s">
        <v>63</v>
      </c>
      <c r="O252" s="19">
        <v>21</v>
      </c>
      <c r="P252" s="19">
        <v>3.73</v>
      </c>
      <c r="Q252" s="19">
        <v>1</v>
      </c>
      <c r="R252" s="20">
        <v>7</v>
      </c>
      <c r="S252" s="19">
        <v>6.6000000000000003E-2</v>
      </c>
      <c r="T252" s="19" t="s">
        <v>64</v>
      </c>
      <c r="U252" s="19" t="s">
        <v>65</v>
      </c>
      <c r="V252" s="19" t="s">
        <v>66</v>
      </c>
      <c r="W252" s="19" t="s">
        <v>67</v>
      </c>
      <c r="X252" s="19" t="s">
        <v>68</v>
      </c>
      <c r="Y252" s="21" t="s">
        <v>69</v>
      </c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2"/>
      <c r="AK252" s="22"/>
      <c r="AL252" s="22"/>
      <c r="AM252" s="21" t="s">
        <v>70</v>
      </c>
      <c r="AN252" s="21" t="s">
        <v>70</v>
      </c>
      <c r="AO252" s="21" t="str">
        <f>_xlfn.XLOOKUP(A:A,[1]TAGS!$A:$A,[1]TAGS!$BG:$BG)</f>
        <v>Montado</v>
      </c>
      <c r="AP252" s="21"/>
      <c r="AQ252" s="21"/>
      <c r="AR252" s="21"/>
      <c r="AS252" s="21"/>
      <c r="AT252" s="21"/>
      <c r="AU252" s="21"/>
    </row>
    <row r="253" spans="1:47" x14ac:dyDescent="0.35">
      <c r="A253" s="19" t="s">
        <v>1007</v>
      </c>
      <c r="B253" s="19" t="s">
        <v>52</v>
      </c>
      <c r="C253" s="19"/>
      <c r="D253" s="19" t="s">
        <v>53</v>
      </c>
      <c r="E253" s="19" t="s">
        <v>54</v>
      </c>
      <c r="F253" s="20" t="s">
        <v>664</v>
      </c>
      <c r="G253" s="20" t="s">
        <v>665</v>
      </c>
      <c r="H253" s="19" t="s">
        <v>1008</v>
      </c>
      <c r="I253" s="20" t="s">
        <v>58</v>
      </c>
      <c r="J253" s="20" t="s">
        <v>667</v>
      </c>
      <c r="K253" s="20" t="s">
        <v>1009</v>
      </c>
      <c r="L253" s="19" t="s">
        <v>61</v>
      </c>
      <c r="M253" s="19" t="s">
        <v>62</v>
      </c>
      <c r="N253" s="20" t="s">
        <v>63</v>
      </c>
      <c r="O253" s="19">
        <v>21</v>
      </c>
      <c r="P253" s="19">
        <v>3.73</v>
      </c>
      <c r="Q253" s="19">
        <v>1</v>
      </c>
      <c r="R253" s="20">
        <v>7</v>
      </c>
      <c r="S253" s="19">
        <v>6.6000000000000003E-2</v>
      </c>
      <c r="T253" s="19" t="s">
        <v>64</v>
      </c>
      <c r="U253" s="19" t="s">
        <v>65</v>
      </c>
      <c r="V253" s="19" t="s">
        <v>66</v>
      </c>
      <c r="W253" s="19" t="s">
        <v>67</v>
      </c>
      <c r="X253" s="19" t="s">
        <v>68</v>
      </c>
      <c r="Y253" s="21" t="s">
        <v>69</v>
      </c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2"/>
      <c r="AK253" s="22"/>
      <c r="AL253" s="22"/>
      <c r="AM253" s="21" t="s">
        <v>70</v>
      </c>
      <c r="AN253" s="21" t="s">
        <v>70</v>
      </c>
      <c r="AO253" s="21" t="str">
        <f>_xlfn.XLOOKUP(A:A,[1]TAGS!$A:$A,[1]TAGS!$BG:$BG)</f>
        <v>Montado</v>
      </c>
      <c r="AP253" s="21"/>
      <c r="AQ253" s="21"/>
      <c r="AR253" s="21"/>
      <c r="AS253" s="21"/>
      <c r="AT253" s="21"/>
      <c r="AU253" s="21"/>
    </row>
    <row r="254" spans="1:47" x14ac:dyDescent="0.35">
      <c r="A254" s="19" t="s">
        <v>1010</v>
      </c>
      <c r="B254" s="19" t="s">
        <v>52</v>
      </c>
      <c r="C254" s="19"/>
      <c r="D254" s="19" t="s">
        <v>53</v>
      </c>
      <c r="E254" s="19" t="s">
        <v>54</v>
      </c>
      <c r="F254" s="20" t="s">
        <v>664</v>
      </c>
      <c r="G254" s="20" t="s">
        <v>665</v>
      </c>
      <c r="H254" s="19" t="s">
        <v>1011</v>
      </c>
      <c r="I254" s="20" t="s">
        <v>58</v>
      </c>
      <c r="J254" s="20" t="s">
        <v>667</v>
      </c>
      <c r="K254" s="20" t="s">
        <v>1012</v>
      </c>
      <c r="L254" s="19" t="s">
        <v>61</v>
      </c>
      <c r="M254" s="19" t="s">
        <v>62</v>
      </c>
      <c r="N254" s="20" t="s">
        <v>63</v>
      </c>
      <c r="O254" s="19">
        <v>21</v>
      </c>
      <c r="P254" s="19">
        <v>3.73</v>
      </c>
      <c r="Q254" s="19">
        <v>1</v>
      </c>
      <c r="R254" s="20">
        <v>7</v>
      </c>
      <c r="S254" s="19">
        <v>6.6000000000000003E-2</v>
      </c>
      <c r="T254" s="19" t="s">
        <v>64</v>
      </c>
      <c r="U254" s="19" t="s">
        <v>65</v>
      </c>
      <c r="V254" s="19" t="s">
        <v>66</v>
      </c>
      <c r="W254" s="19" t="s">
        <v>67</v>
      </c>
      <c r="X254" s="19" t="s">
        <v>68</v>
      </c>
      <c r="Y254" s="21" t="s">
        <v>69</v>
      </c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2"/>
      <c r="AK254" s="22"/>
      <c r="AL254" s="22"/>
      <c r="AM254" s="21" t="s">
        <v>70</v>
      </c>
      <c r="AN254" s="21" t="s">
        <v>70</v>
      </c>
      <c r="AO254" s="21" t="str">
        <f>_xlfn.XLOOKUP(A:A,[1]TAGS!$A:$A,[1]TAGS!$BG:$BG)</f>
        <v>Montado</v>
      </c>
      <c r="AP254" s="21"/>
      <c r="AQ254" s="21"/>
      <c r="AR254" s="21"/>
      <c r="AS254" s="21"/>
      <c r="AT254" s="21"/>
      <c r="AU254" s="21"/>
    </row>
    <row r="255" spans="1:47" x14ac:dyDescent="0.35">
      <c r="A255" s="19" t="s">
        <v>1013</v>
      </c>
      <c r="B255" s="19" t="s">
        <v>52</v>
      </c>
      <c r="C255" s="19"/>
      <c r="D255" s="19" t="s">
        <v>53</v>
      </c>
      <c r="E255" s="19" t="s">
        <v>54</v>
      </c>
      <c r="F255" s="20" t="s">
        <v>664</v>
      </c>
      <c r="G255" s="20" t="s">
        <v>665</v>
      </c>
      <c r="H255" s="19" t="s">
        <v>1014</v>
      </c>
      <c r="I255" s="20" t="s">
        <v>58</v>
      </c>
      <c r="J255" s="20" t="s">
        <v>667</v>
      </c>
      <c r="K255" s="20" t="s">
        <v>1015</v>
      </c>
      <c r="L255" s="19" t="s">
        <v>61</v>
      </c>
      <c r="M255" s="19" t="s">
        <v>62</v>
      </c>
      <c r="N255" s="20" t="s">
        <v>63</v>
      </c>
      <c r="O255" s="19">
        <v>21</v>
      </c>
      <c r="P255" s="19">
        <v>3.73</v>
      </c>
      <c r="Q255" s="19">
        <v>1</v>
      </c>
      <c r="R255" s="20">
        <v>7</v>
      </c>
      <c r="S255" s="19">
        <v>6.6000000000000003E-2</v>
      </c>
      <c r="T255" s="19" t="s">
        <v>64</v>
      </c>
      <c r="U255" s="19" t="s">
        <v>65</v>
      </c>
      <c r="V255" s="19" t="s">
        <v>66</v>
      </c>
      <c r="W255" s="19" t="s">
        <v>67</v>
      </c>
      <c r="X255" s="19" t="s">
        <v>68</v>
      </c>
      <c r="Y255" s="21" t="s">
        <v>69</v>
      </c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2"/>
      <c r="AK255" s="22"/>
      <c r="AL255" s="22"/>
      <c r="AM255" s="21" t="s">
        <v>70</v>
      </c>
      <c r="AN255" s="21" t="s">
        <v>70</v>
      </c>
      <c r="AO255" s="21" t="str">
        <f>_xlfn.XLOOKUP(A:A,[1]TAGS!$A:$A,[1]TAGS!$BG:$BG)</f>
        <v>Montado</v>
      </c>
      <c r="AP255" s="21"/>
      <c r="AQ255" s="21"/>
      <c r="AR255" s="21"/>
      <c r="AS255" s="21"/>
      <c r="AT255" s="21"/>
      <c r="AU255" s="21"/>
    </row>
    <row r="256" spans="1:47" x14ac:dyDescent="0.35">
      <c r="A256" s="19" t="s">
        <v>1016</v>
      </c>
      <c r="B256" s="19" t="s">
        <v>52</v>
      </c>
      <c r="C256" s="19"/>
      <c r="D256" s="19" t="s">
        <v>53</v>
      </c>
      <c r="E256" s="19" t="s">
        <v>54</v>
      </c>
      <c r="F256" s="20" t="s">
        <v>55</v>
      </c>
      <c r="G256" s="20" t="s">
        <v>56</v>
      </c>
      <c r="H256" s="19" t="s">
        <v>1017</v>
      </c>
      <c r="I256" s="20" t="s">
        <v>58</v>
      </c>
      <c r="J256" s="20" t="s">
        <v>59</v>
      </c>
      <c r="K256" s="20" t="s">
        <v>1018</v>
      </c>
      <c r="L256" s="19" t="s">
        <v>61</v>
      </c>
      <c r="M256" s="19" t="s">
        <v>62</v>
      </c>
      <c r="N256" s="20" t="s">
        <v>63</v>
      </c>
      <c r="O256" s="19">
        <v>21</v>
      </c>
      <c r="P256" s="19">
        <v>3.73</v>
      </c>
      <c r="Q256" s="19">
        <v>1</v>
      </c>
      <c r="R256" s="20">
        <v>7</v>
      </c>
      <c r="S256" s="19">
        <v>6.6000000000000003E-2</v>
      </c>
      <c r="T256" s="19" t="s">
        <v>64</v>
      </c>
      <c r="U256" s="19" t="s">
        <v>65</v>
      </c>
      <c r="V256" s="19" t="s">
        <v>66</v>
      </c>
      <c r="W256" s="19" t="s">
        <v>67</v>
      </c>
      <c r="X256" s="19" t="s">
        <v>68</v>
      </c>
      <c r="Y256" s="21" t="s">
        <v>69</v>
      </c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2"/>
      <c r="AK256" s="22"/>
      <c r="AL256" s="22"/>
      <c r="AM256" s="21" t="s">
        <v>70</v>
      </c>
      <c r="AN256" s="21" t="s">
        <v>70</v>
      </c>
      <c r="AO256" s="21" t="str">
        <f>_xlfn.XLOOKUP(A:A,[1]TAGS!$A:$A,[1]TAGS!$BG:$BG)</f>
        <v>Montado</v>
      </c>
      <c r="AP256" s="21"/>
      <c r="AQ256" s="21"/>
      <c r="AR256" s="21"/>
      <c r="AS256" s="21"/>
      <c r="AT256" s="21"/>
      <c r="AU256" s="21"/>
    </row>
    <row r="257" spans="1:47" x14ac:dyDescent="0.35">
      <c r="A257" s="19" t="s">
        <v>1019</v>
      </c>
      <c r="B257" s="19" t="s">
        <v>52</v>
      </c>
      <c r="C257" s="19"/>
      <c r="D257" s="19" t="s">
        <v>53</v>
      </c>
      <c r="E257" s="19" t="s">
        <v>54</v>
      </c>
      <c r="F257" s="20" t="s">
        <v>55</v>
      </c>
      <c r="G257" s="20" t="s">
        <v>56</v>
      </c>
      <c r="H257" s="19" t="s">
        <v>1020</v>
      </c>
      <c r="I257" s="20" t="s">
        <v>58</v>
      </c>
      <c r="J257" s="20" t="s">
        <v>59</v>
      </c>
      <c r="K257" s="20" t="s">
        <v>1021</v>
      </c>
      <c r="L257" s="19" t="s">
        <v>61</v>
      </c>
      <c r="M257" s="19" t="s">
        <v>62</v>
      </c>
      <c r="N257" s="20" t="s">
        <v>63</v>
      </c>
      <c r="O257" s="19">
        <v>21</v>
      </c>
      <c r="P257" s="19">
        <v>3.73</v>
      </c>
      <c r="Q257" s="19">
        <v>1</v>
      </c>
      <c r="R257" s="20">
        <v>7</v>
      </c>
      <c r="S257" s="19">
        <v>6.6000000000000003E-2</v>
      </c>
      <c r="T257" s="19" t="s">
        <v>64</v>
      </c>
      <c r="U257" s="19" t="s">
        <v>65</v>
      </c>
      <c r="V257" s="19" t="s">
        <v>66</v>
      </c>
      <c r="W257" s="19" t="s">
        <v>67</v>
      </c>
      <c r="X257" s="19" t="s">
        <v>68</v>
      </c>
      <c r="Y257" s="21" t="s">
        <v>69</v>
      </c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2"/>
      <c r="AK257" s="22"/>
      <c r="AL257" s="22"/>
      <c r="AM257" s="21" t="s">
        <v>70</v>
      </c>
      <c r="AN257" s="21" t="s">
        <v>70</v>
      </c>
      <c r="AO257" s="21" t="str">
        <f>_xlfn.XLOOKUP(A:A,[1]TAGS!$A:$A,[1]TAGS!$BG:$BG)</f>
        <v>Montado</v>
      </c>
      <c r="AP257" s="21"/>
      <c r="AQ257" s="21"/>
      <c r="AR257" s="21"/>
      <c r="AS257" s="21"/>
      <c r="AT257" s="21"/>
      <c r="AU257" s="21"/>
    </row>
    <row r="258" spans="1:47" x14ac:dyDescent="0.35">
      <c r="A258" s="19" t="s">
        <v>1022</v>
      </c>
      <c r="B258" s="19" t="s">
        <v>52</v>
      </c>
      <c r="C258" s="19"/>
      <c r="D258" s="19" t="s">
        <v>53</v>
      </c>
      <c r="E258" s="19" t="s">
        <v>54</v>
      </c>
      <c r="F258" s="20" t="s">
        <v>55</v>
      </c>
      <c r="G258" s="20" t="s">
        <v>56</v>
      </c>
      <c r="H258" s="19" t="s">
        <v>1023</v>
      </c>
      <c r="I258" s="20" t="s">
        <v>58</v>
      </c>
      <c r="J258" s="20" t="s">
        <v>59</v>
      </c>
      <c r="K258" s="20" t="s">
        <v>1024</v>
      </c>
      <c r="L258" s="19" t="s">
        <v>61</v>
      </c>
      <c r="M258" s="19" t="s">
        <v>62</v>
      </c>
      <c r="N258" s="20" t="s">
        <v>63</v>
      </c>
      <c r="O258" s="19">
        <v>21</v>
      </c>
      <c r="P258" s="19">
        <v>3.73</v>
      </c>
      <c r="Q258" s="19">
        <v>1</v>
      </c>
      <c r="R258" s="20">
        <v>7</v>
      </c>
      <c r="S258" s="19">
        <v>6.6000000000000003E-2</v>
      </c>
      <c r="T258" s="19" t="s">
        <v>64</v>
      </c>
      <c r="U258" s="19" t="s">
        <v>65</v>
      </c>
      <c r="V258" s="19" t="s">
        <v>66</v>
      </c>
      <c r="W258" s="19" t="s">
        <v>67</v>
      </c>
      <c r="X258" s="19" t="s">
        <v>68</v>
      </c>
      <c r="Y258" s="21" t="s">
        <v>69</v>
      </c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2"/>
      <c r="AK258" s="22"/>
      <c r="AL258" s="22"/>
      <c r="AM258" s="21" t="s">
        <v>70</v>
      </c>
      <c r="AN258" s="21" t="s">
        <v>70</v>
      </c>
      <c r="AO258" s="21" t="str">
        <f>_xlfn.XLOOKUP(A:A,[1]TAGS!$A:$A,[1]TAGS!$BG:$BG)</f>
        <v>Não Montado</v>
      </c>
      <c r="AP258" s="21"/>
      <c r="AQ258" s="21"/>
      <c r="AR258" s="21"/>
      <c r="AS258" s="21"/>
      <c r="AT258" s="21"/>
      <c r="AU258" s="21"/>
    </row>
    <row r="259" spans="1:47" x14ac:dyDescent="0.35">
      <c r="A259" s="19" t="s">
        <v>1025</v>
      </c>
      <c r="B259" s="19" t="s">
        <v>52</v>
      </c>
      <c r="C259" s="19"/>
      <c r="D259" s="19" t="s">
        <v>53</v>
      </c>
      <c r="E259" s="19" t="s">
        <v>54</v>
      </c>
      <c r="F259" s="20" t="s">
        <v>55</v>
      </c>
      <c r="G259" s="20" t="s">
        <v>56</v>
      </c>
      <c r="H259" s="19" t="s">
        <v>1026</v>
      </c>
      <c r="I259" s="20" t="s">
        <v>58</v>
      </c>
      <c r="J259" s="20" t="s">
        <v>59</v>
      </c>
      <c r="K259" s="20" t="s">
        <v>1027</v>
      </c>
      <c r="L259" s="19" t="s">
        <v>61</v>
      </c>
      <c r="M259" s="19" t="s">
        <v>62</v>
      </c>
      <c r="N259" s="20" t="s">
        <v>63</v>
      </c>
      <c r="O259" s="19">
        <v>21</v>
      </c>
      <c r="P259" s="19">
        <v>3.73</v>
      </c>
      <c r="Q259" s="19">
        <v>1</v>
      </c>
      <c r="R259" s="20">
        <v>7</v>
      </c>
      <c r="S259" s="19">
        <v>6.6000000000000003E-2</v>
      </c>
      <c r="T259" s="19" t="s">
        <v>64</v>
      </c>
      <c r="U259" s="19" t="s">
        <v>65</v>
      </c>
      <c r="V259" s="19" t="s">
        <v>66</v>
      </c>
      <c r="W259" s="19" t="s">
        <v>67</v>
      </c>
      <c r="X259" s="19" t="s">
        <v>68</v>
      </c>
      <c r="Y259" s="21" t="s">
        <v>69</v>
      </c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2"/>
      <c r="AK259" s="22"/>
      <c r="AL259" s="22"/>
      <c r="AM259" s="21" t="s">
        <v>70</v>
      </c>
      <c r="AN259" s="21" t="s">
        <v>70</v>
      </c>
      <c r="AO259" s="21" t="str">
        <f>_xlfn.XLOOKUP(A:A,[1]TAGS!$A:$A,[1]TAGS!$BG:$BG)</f>
        <v>Montado</v>
      </c>
      <c r="AP259" s="21"/>
      <c r="AQ259" s="21"/>
      <c r="AR259" s="21"/>
      <c r="AS259" s="21"/>
      <c r="AT259" s="21"/>
      <c r="AU259" s="21"/>
    </row>
    <row r="260" spans="1:47" x14ac:dyDescent="0.35">
      <c r="A260" s="19" t="s">
        <v>1028</v>
      </c>
      <c r="B260" s="19" t="s">
        <v>52</v>
      </c>
      <c r="C260" s="19"/>
      <c r="D260" s="19" t="s">
        <v>53</v>
      </c>
      <c r="E260" s="19" t="s">
        <v>54</v>
      </c>
      <c r="F260" s="20" t="s">
        <v>370</v>
      </c>
      <c r="G260" s="20" t="s">
        <v>371</v>
      </c>
      <c r="H260" s="19" t="s">
        <v>1029</v>
      </c>
      <c r="I260" s="20" t="s">
        <v>58</v>
      </c>
      <c r="J260" s="20" t="s">
        <v>373</v>
      </c>
      <c r="K260" s="20" t="s">
        <v>1030</v>
      </c>
      <c r="L260" s="19" t="s">
        <v>61</v>
      </c>
      <c r="M260" s="19" t="s">
        <v>62</v>
      </c>
      <c r="N260" s="20" t="s">
        <v>63</v>
      </c>
      <c r="O260" s="19">
        <v>21</v>
      </c>
      <c r="P260" s="19">
        <v>3.73</v>
      </c>
      <c r="Q260" s="19">
        <v>1</v>
      </c>
      <c r="R260" s="20">
        <v>7</v>
      </c>
      <c r="S260" s="19">
        <v>6.6000000000000003E-2</v>
      </c>
      <c r="T260" s="19" t="s">
        <v>64</v>
      </c>
      <c r="U260" s="19" t="s">
        <v>65</v>
      </c>
      <c r="V260" s="19" t="s">
        <v>66</v>
      </c>
      <c r="W260" s="19" t="s">
        <v>67</v>
      </c>
      <c r="X260" s="19" t="s">
        <v>68</v>
      </c>
      <c r="Y260" s="21" t="s">
        <v>69</v>
      </c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2"/>
      <c r="AK260" s="22"/>
      <c r="AL260" s="22"/>
      <c r="AM260" s="21" t="s">
        <v>70</v>
      </c>
      <c r="AN260" s="21" t="s">
        <v>70</v>
      </c>
      <c r="AO260" s="21" t="str">
        <f>_xlfn.XLOOKUP(A:A,[1]TAGS!$A:$A,[1]TAGS!$BG:$BG)</f>
        <v>Não Montado</v>
      </c>
      <c r="AP260" s="21"/>
      <c r="AQ260" s="21"/>
      <c r="AR260" s="21"/>
      <c r="AS260" s="21"/>
      <c r="AT260" s="21"/>
      <c r="AU260" s="21"/>
    </row>
    <row r="261" spans="1:47" x14ac:dyDescent="0.35">
      <c r="A261" s="19" t="s">
        <v>1031</v>
      </c>
      <c r="B261" s="19" t="s">
        <v>52</v>
      </c>
      <c r="C261" s="19"/>
      <c r="D261" s="19" t="s">
        <v>53</v>
      </c>
      <c r="E261" s="19" t="s">
        <v>54</v>
      </c>
      <c r="F261" s="20" t="s">
        <v>370</v>
      </c>
      <c r="G261" s="20" t="s">
        <v>371</v>
      </c>
      <c r="H261" s="19" t="s">
        <v>1032</v>
      </c>
      <c r="I261" s="20" t="s">
        <v>58</v>
      </c>
      <c r="J261" s="20" t="s">
        <v>373</v>
      </c>
      <c r="K261" s="20" t="s">
        <v>1033</v>
      </c>
      <c r="L261" s="19" t="s">
        <v>61</v>
      </c>
      <c r="M261" s="19" t="s">
        <v>62</v>
      </c>
      <c r="N261" s="20" t="s">
        <v>63</v>
      </c>
      <c r="O261" s="19">
        <v>21</v>
      </c>
      <c r="P261" s="19">
        <v>3.73</v>
      </c>
      <c r="Q261" s="19">
        <v>1</v>
      </c>
      <c r="R261" s="20">
        <v>7</v>
      </c>
      <c r="S261" s="19">
        <v>6.6000000000000003E-2</v>
      </c>
      <c r="T261" s="19" t="s">
        <v>64</v>
      </c>
      <c r="U261" s="19" t="s">
        <v>65</v>
      </c>
      <c r="V261" s="19" t="s">
        <v>66</v>
      </c>
      <c r="W261" s="19" t="s">
        <v>67</v>
      </c>
      <c r="X261" s="19" t="s">
        <v>68</v>
      </c>
      <c r="Y261" s="21" t="s">
        <v>69</v>
      </c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2"/>
      <c r="AK261" s="22"/>
      <c r="AL261" s="22"/>
      <c r="AM261" s="21" t="s">
        <v>70</v>
      </c>
      <c r="AN261" s="21" t="s">
        <v>70</v>
      </c>
      <c r="AO261" s="21" t="str">
        <f>_xlfn.XLOOKUP(A:A,[1]TAGS!$A:$A,[1]TAGS!$BG:$BG)</f>
        <v>Não Montado</v>
      </c>
      <c r="AP261" s="21"/>
      <c r="AQ261" s="21"/>
      <c r="AR261" s="21"/>
      <c r="AS261" s="21"/>
      <c r="AT261" s="21"/>
      <c r="AU261" s="21"/>
    </row>
    <row r="262" spans="1:47" x14ac:dyDescent="0.35">
      <c r="A262" s="19" t="s">
        <v>1034</v>
      </c>
      <c r="B262" s="19" t="s">
        <v>52</v>
      </c>
      <c r="C262" s="19"/>
      <c r="D262" s="19" t="s">
        <v>53</v>
      </c>
      <c r="E262" s="19" t="s">
        <v>54</v>
      </c>
      <c r="F262" s="20" t="s">
        <v>397</v>
      </c>
      <c r="G262" s="20" t="s">
        <v>398</v>
      </c>
      <c r="H262" s="19" t="s">
        <v>1035</v>
      </c>
      <c r="I262" s="20" t="s">
        <v>58</v>
      </c>
      <c r="J262" s="20" t="s">
        <v>400</v>
      </c>
      <c r="K262" s="20" t="s">
        <v>1036</v>
      </c>
      <c r="L262" s="19" t="s">
        <v>61</v>
      </c>
      <c r="M262" s="19" t="s">
        <v>62</v>
      </c>
      <c r="N262" s="20" t="s">
        <v>63</v>
      </c>
      <c r="O262" s="19">
        <v>21</v>
      </c>
      <c r="P262" s="19">
        <v>3.73</v>
      </c>
      <c r="Q262" s="19">
        <v>1</v>
      </c>
      <c r="R262" s="20">
        <v>7</v>
      </c>
      <c r="S262" s="19">
        <v>6.6000000000000003E-2</v>
      </c>
      <c r="T262" s="19" t="s">
        <v>64</v>
      </c>
      <c r="U262" s="19" t="s">
        <v>65</v>
      </c>
      <c r="V262" s="19" t="s">
        <v>66</v>
      </c>
      <c r="W262" s="19" t="s">
        <v>67</v>
      </c>
      <c r="X262" s="19" t="s">
        <v>68</v>
      </c>
      <c r="Y262" s="21" t="s">
        <v>69</v>
      </c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2"/>
      <c r="AK262" s="22"/>
      <c r="AL262" s="22"/>
      <c r="AM262" s="21" t="s">
        <v>70</v>
      </c>
      <c r="AN262" s="21" t="s">
        <v>70</v>
      </c>
      <c r="AO262" s="21" t="str">
        <f>_xlfn.XLOOKUP(A:A,[1]TAGS!$A:$A,[1]TAGS!$BG:$BG)</f>
        <v>Não Montado</v>
      </c>
      <c r="AP262" s="21"/>
      <c r="AQ262" s="21"/>
      <c r="AR262" s="21"/>
      <c r="AS262" s="21"/>
      <c r="AT262" s="21"/>
      <c r="AU262" s="21"/>
    </row>
    <row r="263" spans="1:47" x14ac:dyDescent="0.35">
      <c r="A263" s="19" t="s">
        <v>1037</v>
      </c>
      <c r="B263" s="19" t="s">
        <v>52</v>
      </c>
      <c r="C263" s="19"/>
      <c r="D263" s="19" t="s">
        <v>53</v>
      </c>
      <c r="E263" s="19" t="s">
        <v>54</v>
      </c>
      <c r="F263" s="20" t="s">
        <v>397</v>
      </c>
      <c r="G263" s="20" t="s">
        <v>398</v>
      </c>
      <c r="H263" s="19" t="s">
        <v>1038</v>
      </c>
      <c r="I263" s="20" t="s">
        <v>58</v>
      </c>
      <c r="J263" s="20" t="s">
        <v>400</v>
      </c>
      <c r="K263" s="20" t="s">
        <v>1039</v>
      </c>
      <c r="L263" s="19" t="s">
        <v>61</v>
      </c>
      <c r="M263" s="19" t="s">
        <v>62</v>
      </c>
      <c r="N263" s="20" t="s">
        <v>63</v>
      </c>
      <c r="O263" s="19">
        <v>21</v>
      </c>
      <c r="P263" s="19">
        <v>3.73</v>
      </c>
      <c r="Q263" s="19">
        <v>1</v>
      </c>
      <c r="R263" s="20">
        <v>7</v>
      </c>
      <c r="S263" s="19">
        <v>6.6000000000000003E-2</v>
      </c>
      <c r="T263" s="19" t="s">
        <v>64</v>
      </c>
      <c r="U263" s="19" t="s">
        <v>65</v>
      </c>
      <c r="V263" s="19" t="s">
        <v>66</v>
      </c>
      <c r="W263" s="19" t="s">
        <v>67</v>
      </c>
      <c r="X263" s="19" t="s">
        <v>68</v>
      </c>
      <c r="Y263" s="21" t="s">
        <v>69</v>
      </c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2"/>
      <c r="AK263" s="22"/>
      <c r="AL263" s="22"/>
      <c r="AM263" s="21" t="s">
        <v>70</v>
      </c>
      <c r="AN263" s="21" t="s">
        <v>70</v>
      </c>
      <c r="AO263" s="21" t="str">
        <f>_xlfn.XLOOKUP(A:A,[1]TAGS!$A:$A,[1]TAGS!$BG:$BG)</f>
        <v>Não Montado</v>
      </c>
      <c r="AP263" s="21"/>
      <c r="AQ263" s="21"/>
      <c r="AR263" s="21"/>
      <c r="AS263" s="21"/>
      <c r="AT263" s="21"/>
      <c r="AU263" s="21"/>
    </row>
    <row r="264" spans="1:47" x14ac:dyDescent="0.35">
      <c r="A264" s="19" t="s">
        <v>1040</v>
      </c>
      <c r="B264" s="19" t="s">
        <v>52</v>
      </c>
      <c r="C264" s="19"/>
      <c r="D264" s="19" t="s">
        <v>53</v>
      </c>
      <c r="E264" s="19" t="s">
        <v>54</v>
      </c>
      <c r="F264" s="20" t="s">
        <v>397</v>
      </c>
      <c r="G264" s="20" t="s">
        <v>398</v>
      </c>
      <c r="H264" s="19" t="s">
        <v>1041</v>
      </c>
      <c r="I264" s="20" t="s">
        <v>58</v>
      </c>
      <c r="J264" s="20" t="s">
        <v>400</v>
      </c>
      <c r="K264" s="20" t="s">
        <v>1042</v>
      </c>
      <c r="L264" s="19" t="s">
        <v>61</v>
      </c>
      <c r="M264" s="19" t="s">
        <v>62</v>
      </c>
      <c r="N264" s="20" t="s">
        <v>63</v>
      </c>
      <c r="O264" s="19">
        <v>21</v>
      </c>
      <c r="P264" s="19">
        <v>3.73</v>
      </c>
      <c r="Q264" s="19">
        <v>1</v>
      </c>
      <c r="R264" s="20">
        <v>7</v>
      </c>
      <c r="S264" s="19">
        <v>6.6000000000000003E-2</v>
      </c>
      <c r="T264" s="19" t="s">
        <v>64</v>
      </c>
      <c r="U264" s="19" t="s">
        <v>65</v>
      </c>
      <c r="V264" s="19" t="s">
        <v>66</v>
      </c>
      <c r="W264" s="19" t="s">
        <v>67</v>
      </c>
      <c r="X264" s="19" t="s">
        <v>68</v>
      </c>
      <c r="Y264" s="21" t="s">
        <v>69</v>
      </c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2"/>
      <c r="AK264" s="22"/>
      <c r="AL264" s="22"/>
      <c r="AM264" s="21" t="s">
        <v>70</v>
      </c>
      <c r="AN264" s="21" t="s">
        <v>70</v>
      </c>
      <c r="AO264" s="21" t="str">
        <f>_xlfn.XLOOKUP(A:A,[1]TAGS!$A:$A,[1]TAGS!$BG:$BG)</f>
        <v>Montado</v>
      </c>
      <c r="AP264" s="21"/>
      <c r="AQ264" s="21"/>
      <c r="AR264" s="21"/>
      <c r="AS264" s="21"/>
      <c r="AT264" s="21"/>
      <c r="AU264" s="21"/>
    </row>
    <row r="265" spans="1:47" x14ac:dyDescent="0.35">
      <c r="A265" s="19" t="s">
        <v>1043</v>
      </c>
      <c r="B265" s="19" t="s">
        <v>52</v>
      </c>
      <c r="C265" s="19"/>
      <c r="D265" s="19" t="s">
        <v>53</v>
      </c>
      <c r="E265" s="19" t="s">
        <v>54</v>
      </c>
      <c r="F265" s="20" t="s">
        <v>397</v>
      </c>
      <c r="G265" s="20" t="s">
        <v>398</v>
      </c>
      <c r="H265" s="19" t="s">
        <v>1044</v>
      </c>
      <c r="I265" s="20" t="s">
        <v>58</v>
      </c>
      <c r="J265" s="20" t="s">
        <v>400</v>
      </c>
      <c r="K265" s="20" t="s">
        <v>1045</v>
      </c>
      <c r="L265" s="19" t="s">
        <v>61</v>
      </c>
      <c r="M265" s="19" t="s">
        <v>62</v>
      </c>
      <c r="N265" s="20" t="s">
        <v>63</v>
      </c>
      <c r="O265" s="19">
        <v>21</v>
      </c>
      <c r="P265" s="19">
        <v>3.73</v>
      </c>
      <c r="Q265" s="19">
        <v>1</v>
      </c>
      <c r="R265" s="20">
        <v>7</v>
      </c>
      <c r="S265" s="19">
        <v>6.6000000000000003E-2</v>
      </c>
      <c r="T265" s="19" t="s">
        <v>64</v>
      </c>
      <c r="U265" s="19" t="s">
        <v>65</v>
      </c>
      <c r="V265" s="19" t="s">
        <v>66</v>
      </c>
      <c r="W265" s="19" t="s">
        <v>67</v>
      </c>
      <c r="X265" s="19" t="s">
        <v>68</v>
      </c>
      <c r="Y265" s="21" t="s">
        <v>69</v>
      </c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2"/>
      <c r="AK265" s="22"/>
      <c r="AL265" s="22"/>
      <c r="AM265" s="21" t="s">
        <v>70</v>
      </c>
      <c r="AN265" s="21" t="s">
        <v>70</v>
      </c>
      <c r="AO265" s="21" t="str">
        <f>_xlfn.XLOOKUP(A:A,[1]TAGS!$A:$A,[1]TAGS!$BG:$BG)</f>
        <v>Não Montado</v>
      </c>
      <c r="AP265" s="21"/>
      <c r="AQ265" s="21"/>
      <c r="AR265" s="21"/>
      <c r="AS265" s="21"/>
      <c r="AT265" s="21"/>
      <c r="AU265" s="21"/>
    </row>
    <row r="266" spans="1:47" x14ac:dyDescent="0.35">
      <c r="A266" s="19" t="s">
        <v>1046</v>
      </c>
      <c r="B266" s="19" t="s">
        <v>52</v>
      </c>
      <c r="C266" s="19"/>
      <c r="D266" s="19" t="s">
        <v>53</v>
      </c>
      <c r="E266" s="19" t="s">
        <v>54</v>
      </c>
      <c r="F266" s="20" t="s">
        <v>116</v>
      </c>
      <c r="G266" s="20" t="s">
        <v>128</v>
      </c>
      <c r="H266" s="19" t="s">
        <v>1047</v>
      </c>
      <c r="I266" s="20" t="s">
        <v>124</v>
      </c>
      <c r="J266" s="20" t="s">
        <v>130</v>
      </c>
      <c r="K266" s="20" t="s">
        <v>1048</v>
      </c>
      <c r="L266" s="19" t="s">
        <v>61</v>
      </c>
      <c r="M266" s="19" t="s">
        <v>62</v>
      </c>
      <c r="N266" s="20" t="s">
        <v>63</v>
      </c>
      <c r="O266" s="19">
        <v>21</v>
      </c>
      <c r="P266" s="19">
        <v>3.73</v>
      </c>
      <c r="Q266" s="19">
        <v>1</v>
      </c>
      <c r="R266" s="20">
        <v>7</v>
      </c>
      <c r="S266" s="19">
        <v>6.6000000000000003E-2</v>
      </c>
      <c r="T266" s="19" t="s">
        <v>64</v>
      </c>
      <c r="U266" s="19" t="s">
        <v>65</v>
      </c>
      <c r="V266" s="19" t="s">
        <v>66</v>
      </c>
      <c r="W266" s="19" t="s">
        <v>67</v>
      </c>
      <c r="X266" s="19" t="s">
        <v>68</v>
      </c>
      <c r="Y266" s="21" t="s">
        <v>69</v>
      </c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2"/>
      <c r="AK266" s="22"/>
      <c r="AL266" s="22"/>
      <c r="AM266" s="21" t="s">
        <v>70</v>
      </c>
      <c r="AN266" s="21" t="s">
        <v>70</v>
      </c>
      <c r="AO266" s="21" t="str">
        <f>_xlfn.XLOOKUP(A:A,[1]TAGS!$A:$A,[1]TAGS!$BG:$BG)</f>
        <v>Não Montado</v>
      </c>
      <c r="AP266" s="21"/>
      <c r="AQ266" s="21"/>
      <c r="AR266" s="21"/>
      <c r="AS266" s="21"/>
      <c r="AT266" s="21"/>
      <c r="AU266" s="21"/>
    </row>
    <row r="267" spans="1:47" x14ac:dyDescent="0.35">
      <c r="A267" s="19" t="s">
        <v>1049</v>
      </c>
      <c r="B267" s="19" t="s">
        <v>52</v>
      </c>
      <c r="C267" s="19"/>
      <c r="D267" s="19" t="s">
        <v>53</v>
      </c>
      <c r="E267" s="19" t="s">
        <v>54</v>
      </c>
      <c r="F267" s="20" t="s">
        <v>116</v>
      </c>
      <c r="G267" s="20" t="s">
        <v>133</v>
      </c>
      <c r="H267" s="19" t="s">
        <v>1050</v>
      </c>
      <c r="I267" s="20" t="s">
        <v>58</v>
      </c>
      <c r="J267" s="20" t="s">
        <v>135</v>
      </c>
      <c r="K267" s="20" t="s">
        <v>1051</v>
      </c>
      <c r="L267" s="19" t="s">
        <v>61</v>
      </c>
      <c r="M267" s="19" t="s">
        <v>62</v>
      </c>
      <c r="N267" s="20" t="s">
        <v>63</v>
      </c>
      <c r="O267" s="19">
        <v>21</v>
      </c>
      <c r="P267" s="19">
        <v>3.73</v>
      </c>
      <c r="Q267" s="19">
        <v>1</v>
      </c>
      <c r="R267" s="20">
        <v>7</v>
      </c>
      <c r="S267" s="19">
        <v>6.6000000000000003E-2</v>
      </c>
      <c r="T267" s="19" t="s">
        <v>64</v>
      </c>
      <c r="U267" s="19" t="s">
        <v>65</v>
      </c>
      <c r="V267" s="19" t="s">
        <v>66</v>
      </c>
      <c r="W267" s="19" t="s">
        <v>67</v>
      </c>
      <c r="X267" s="19" t="s">
        <v>68</v>
      </c>
      <c r="Y267" s="21" t="s">
        <v>69</v>
      </c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2"/>
      <c r="AK267" s="22"/>
      <c r="AL267" s="22"/>
      <c r="AM267" s="21" t="s">
        <v>70</v>
      </c>
      <c r="AN267" s="21" t="s">
        <v>70</v>
      </c>
      <c r="AO267" s="21" t="str">
        <f>_xlfn.XLOOKUP(A:A,[1]TAGS!$A:$A,[1]TAGS!$BG:$BG)</f>
        <v>Montado</v>
      </c>
      <c r="AP267" s="21"/>
      <c r="AQ267" s="21"/>
      <c r="AR267" s="21"/>
      <c r="AS267" s="21"/>
      <c r="AT267" s="21"/>
      <c r="AU267" s="21"/>
    </row>
    <row r="268" spans="1:47" x14ac:dyDescent="0.35">
      <c r="A268" s="19" t="s">
        <v>1052</v>
      </c>
      <c r="B268" s="19" t="s">
        <v>52</v>
      </c>
      <c r="C268" s="19"/>
      <c r="D268" s="19" t="s">
        <v>53</v>
      </c>
      <c r="E268" s="19" t="s">
        <v>54</v>
      </c>
      <c r="F268" s="20" t="s">
        <v>248</v>
      </c>
      <c r="G268" s="20" t="s">
        <v>911</v>
      </c>
      <c r="H268" s="19" t="s">
        <v>1053</v>
      </c>
      <c r="I268" s="20" t="s">
        <v>58</v>
      </c>
      <c r="J268" s="20" t="s">
        <v>913</v>
      </c>
      <c r="K268" s="20" t="s">
        <v>1054</v>
      </c>
      <c r="L268" s="19" t="s">
        <v>61</v>
      </c>
      <c r="M268" s="19" t="s">
        <v>62</v>
      </c>
      <c r="N268" s="20" t="s">
        <v>63</v>
      </c>
      <c r="O268" s="19">
        <v>21</v>
      </c>
      <c r="P268" s="19">
        <v>3.73</v>
      </c>
      <c r="Q268" s="19">
        <v>1</v>
      </c>
      <c r="R268" s="20">
        <v>7</v>
      </c>
      <c r="S268" s="19">
        <v>6.6000000000000003E-2</v>
      </c>
      <c r="T268" s="19" t="s">
        <v>64</v>
      </c>
      <c r="U268" s="19" t="s">
        <v>65</v>
      </c>
      <c r="V268" s="19" t="s">
        <v>66</v>
      </c>
      <c r="W268" s="19" t="s">
        <v>67</v>
      </c>
      <c r="X268" s="19" t="s">
        <v>68</v>
      </c>
      <c r="Y268" s="21" t="s">
        <v>69</v>
      </c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2"/>
      <c r="AK268" s="22"/>
      <c r="AL268" s="22"/>
      <c r="AM268" s="21" t="s">
        <v>70</v>
      </c>
      <c r="AN268" s="21" t="s">
        <v>70</v>
      </c>
      <c r="AO268" s="21" t="str">
        <f>_xlfn.XLOOKUP(A:A,[1]TAGS!$A:$A,[1]TAGS!$BG:$BG)</f>
        <v>Programar</v>
      </c>
      <c r="AP268" s="21"/>
      <c r="AQ268" s="21"/>
      <c r="AR268" s="21"/>
      <c r="AS268" s="21"/>
      <c r="AT268" s="21"/>
      <c r="AU268" s="21"/>
    </row>
    <row r="269" spans="1:47" x14ac:dyDescent="0.35">
      <c r="A269" s="19" t="s">
        <v>1055</v>
      </c>
      <c r="B269" s="19" t="s">
        <v>52</v>
      </c>
      <c r="C269" s="19"/>
      <c r="D269" s="19" t="s">
        <v>53</v>
      </c>
      <c r="E269" s="19" t="s">
        <v>54</v>
      </c>
      <c r="F269" s="20" t="s">
        <v>248</v>
      </c>
      <c r="G269" s="20" t="s">
        <v>911</v>
      </c>
      <c r="H269" s="19" t="s">
        <v>1056</v>
      </c>
      <c r="I269" s="20" t="s">
        <v>58</v>
      </c>
      <c r="J269" s="20" t="s">
        <v>913</v>
      </c>
      <c r="K269" s="20" t="s">
        <v>1057</v>
      </c>
      <c r="L269" s="19" t="s">
        <v>61</v>
      </c>
      <c r="M269" s="19" t="s">
        <v>62</v>
      </c>
      <c r="N269" s="20" t="s">
        <v>63</v>
      </c>
      <c r="O269" s="19">
        <v>21</v>
      </c>
      <c r="P269" s="19">
        <v>3.73</v>
      </c>
      <c r="Q269" s="19">
        <v>1</v>
      </c>
      <c r="R269" s="20">
        <v>7</v>
      </c>
      <c r="S269" s="19">
        <v>6.6000000000000003E-2</v>
      </c>
      <c r="T269" s="19" t="s">
        <v>64</v>
      </c>
      <c r="U269" s="19" t="s">
        <v>65</v>
      </c>
      <c r="V269" s="19" t="s">
        <v>66</v>
      </c>
      <c r="W269" s="19" t="s">
        <v>67</v>
      </c>
      <c r="X269" s="19" t="s">
        <v>68</v>
      </c>
      <c r="Y269" s="21" t="s">
        <v>69</v>
      </c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2"/>
      <c r="AK269" s="22"/>
      <c r="AL269" s="22"/>
      <c r="AM269" s="21" t="s">
        <v>70</v>
      </c>
      <c r="AN269" s="21" t="s">
        <v>70</v>
      </c>
      <c r="AO269" s="21" t="str">
        <f>_xlfn.XLOOKUP(A:A,[1]TAGS!$A:$A,[1]TAGS!$BG:$BG)</f>
        <v>Programar</v>
      </c>
      <c r="AP269" s="21"/>
      <c r="AQ269" s="21"/>
      <c r="AR269" s="21"/>
      <c r="AS269" s="21"/>
      <c r="AT269" s="21"/>
      <c r="AU269" s="21"/>
    </row>
    <row r="270" spans="1:47" x14ac:dyDescent="0.35">
      <c r="A270" s="19" t="s">
        <v>1058</v>
      </c>
      <c r="B270" s="19" t="s">
        <v>52</v>
      </c>
      <c r="C270" s="19"/>
      <c r="D270" s="19" t="s">
        <v>53</v>
      </c>
      <c r="E270" s="19" t="s">
        <v>54</v>
      </c>
      <c r="F270" s="20" t="s">
        <v>306</v>
      </c>
      <c r="G270" s="20" t="s">
        <v>843</v>
      </c>
      <c r="H270" s="19" t="s">
        <v>1059</v>
      </c>
      <c r="I270" s="20" t="s">
        <v>124</v>
      </c>
      <c r="J270" s="20" t="s">
        <v>845</v>
      </c>
      <c r="K270" s="20" t="s">
        <v>1060</v>
      </c>
      <c r="L270" s="19" t="s">
        <v>61</v>
      </c>
      <c r="M270" s="19" t="s">
        <v>62</v>
      </c>
      <c r="N270" s="20" t="s">
        <v>63</v>
      </c>
      <c r="O270" s="19">
        <v>21</v>
      </c>
      <c r="P270" s="19">
        <v>3.73</v>
      </c>
      <c r="Q270" s="19">
        <v>1</v>
      </c>
      <c r="R270" s="20">
        <v>7</v>
      </c>
      <c r="S270" s="19">
        <v>6.6000000000000003E-2</v>
      </c>
      <c r="T270" s="19" t="s">
        <v>64</v>
      </c>
      <c r="U270" s="19" t="s">
        <v>65</v>
      </c>
      <c r="V270" s="19" t="s">
        <v>66</v>
      </c>
      <c r="W270" s="19" t="s">
        <v>67</v>
      </c>
      <c r="X270" s="19" t="s">
        <v>68</v>
      </c>
      <c r="Y270" s="21" t="s">
        <v>69</v>
      </c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2"/>
      <c r="AK270" s="22"/>
      <c r="AL270" s="22"/>
      <c r="AM270" s="21" t="s">
        <v>70</v>
      </c>
      <c r="AN270" s="21" t="s">
        <v>70</v>
      </c>
      <c r="AO270" s="21" t="str">
        <f>_xlfn.XLOOKUP(A:A,[1]TAGS!$A:$A,[1]TAGS!$BG:$BG)</f>
        <v>Não Montado</v>
      </c>
      <c r="AP270" s="21"/>
      <c r="AQ270" s="21"/>
      <c r="AR270" s="21"/>
      <c r="AS270" s="21"/>
      <c r="AT270" s="21"/>
      <c r="AU270" s="21"/>
    </row>
    <row r="271" spans="1:47" x14ac:dyDescent="0.35">
      <c r="A271" s="19" t="s">
        <v>1061</v>
      </c>
      <c r="B271" s="19" t="s">
        <v>52</v>
      </c>
      <c r="C271" s="19"/>
      <c r="D271" s="19" t="s">
        <v>53</v>
      </c>
      <c r="E271" s="19" t="s">
        <v>54</v>
      </c>
      <c r="F271" s="20" t="s">
        <v>306</v>
      </c>
      <c r="G271" s="20" t="s">
        <v>307</v>
      </c>
      <c r="H271" s="19" t="s">
        <v>1062</v>
      </c>
      <c r="I271" s="20" t="s">
        <v>124</v>
      </c>
      <c r="J271" s="20" t="s">
        <v>309</v>
      </c>
      <c r="K271" s="20" t="s">
        <v>1063</v>
      </c>
      <c r="L271" s="19" t="s">
        <v>61</v>
      </c>
      <c r="M271" s="19" t="s">
        <v>62</v>
      </c>
      <c r="N271" s="20" t="s">
        <v>63</v>
      </c>
      <c r="O271" s="19">
        <v>21</v>
      </c>
      <c r="P271" s="19">
        <v>3.73</v>
      </c>
      <c r="Q271" s="19">
        <v>1</v>
      </c>
      <c r="R271" s="20">
        <v>7</v>
      </c>
      <c r="S271" s="19">
        <v>6.6000000000000003E-2</v>
      </c>
      <c r="T271" s="19" t="s">
        <v>64</v>
      </c>
      <c r="U271" s="19" t="s">
        <v>65</v>
      </c>
      <c r="V271" s="19" t="s">
        <v>66</v>
      </c>
      <c r="W271" s="19" t="s">
        <v>67</v>
      </c>
      <c r="X271" s="19" t="s">
        <v>68</v>
      </c>
      <c r="Y271" s="21" t="s">
        <v>69</v>
      </c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2"/>
      <c r="AK271" s="22"/>
      <c r="AL271" s="22"/>
      <c r="AM271" s="21" t="s">
        <v>70</v>
      </c>
      <c r="AN271" s="21" t="s">
        <v>70</v>
      </c>
      <c r="AO271" s="21" t="str">
        <f>_xlfn.XLOOKUP(A:A,[1]TAGS!$A:$A,[1]TAGS!$BG:$BG)</f>
        <v>Não Montado</v>
      </c>
      <c r="AP271" s="21"/>
      <c r="AQ271" s="21"/>
      <c r="AR271" s="21"/>
      <c r="AS271" s="21"/>
      <c r="AT271" s="21"/>
      <c r="AU271" s="21"/>
    </row>
    <row r="272" spans="1:47" x14ac:dyDescent="0.35">
      <c r="A272" s="19" t="s">
        <v>1064</v>
      </c>
      <c r="B272" s="19" t="s">
        <v>52</v>
      </c>
      <c r="C272" s="19"/>
      <c r="D272" s="19" t="s">
        <v>53</v>
      </c>
      <c r="E272" s="19" t="s">
        <v>54</v>
      </c>
      <c r="F272" s="20" t="s">
        <v>269</v>
      </c>
      <c r="G272" s="20" t="s">
        <v>1065</v>
      </c>
      <c r="H272" s="19" t="s">
        <v>1066</v>
      </c>
      <c r="I272" s="20" t="s">
        <v>124</v>
      </c>
      <c r="J272" s="20" t="s">
        <v>1067</v>
      </c>
      <c r="K272" s="20" t="s">
        <v>1068</v>
      </c>
      <c r="L272" s="19" t="s">
        <v>61</v>
      </c>
      <c r="M272" s="19" t="s">
        <v>62</v>
      </c>
      <c r="N272" s="20" t="s">
        <v>63</v>
      </c>
      <c r="O272" s="19">
        <v>21</v>
      </c>
      <c r="P272" s="19">
        <v>3.73</v>
      </c>
      <c r="Q272" s="19">
        <v>1</v>
      </c>
      <c r="R272" s="20">
        <v>7</v>
      </c>
      <c r="S272" s="19">
        <v>6.6000000000000003E-2</v>
      </c>
      <c r="T272" s="19" t="s">
        <v>64</v>
      </c>
      <c r="U272" s="19" t="s">
        <v>65</v>
      </c>
      <c r="V272" s="19" t="s">
        <v>66</v>
      </c>
      <c r="W272" s="19" t="s">
        <v>67</v>
      </c>
      <c r="X272" s="19" t="s">
        <v>68</v>
      </c>
      <c r="Y272" s="21" t="s">
        <v>69</v>
      </c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2"/>
      <c r="AK272" s="22"/>
      <c r="AL272" s="22"/>
      <c r="AM272" s="21" t="s">
        <v>70</v>
      </c>
      <c r="AN272" s="21" t="s">
        <v>70</v>
      </c>
      <c r="AO272" s="21" t="str">
        <f>_xlfn.XLOOKUP(A:A,[1]TAGS!$A:$A,[1]TAGS!$BG:$BG)</f>
        <v>Em programação</v>
      </c>
      <c r="AP272" s="21"/>
      <c r="AQ272" s="21"/>
      <c r="AR272" s="21"/>
      <c r="AS272" s="21"/>
      <c r="AT272" s="21"/>
      <c r="AU272" s="21"/>
    </row>
    <row r="273" spans="1:47" x14ac:dyDescent="0.35">
      <c r="A273" s="19" t="s">
        <v>1069</v>
      </c>
      <c r="B273" s="19" t="s">
        <v>52</v>
      </c>
      <c r="C273" s="19"/>
      <c r="D273" s="19" t="s">
        <v>53</v>
      </c>
      <c r="E273" s="19" t="s">
        <v>460</v>
      </c>
      <c r="F273" s="20" t="s">
        <v>269</v>
      </c>
      <c r="G273" s="20" t="s">
        <v>270</v>
      </c>
      <c r="H273" s="19" t="s">
        <v>1070</v>
      </c>
      <c r="I273" s="20" t="s">
        <v>58</v>
      </c>
      <c r="J273" s="20" t="s">
        <v>272</v>
      </c>
      <c r="K273" s="20" t="s">
        <v>1071</v>
      </c>
      <c r="L273" s="19" t="s">
        <v>61</v>
      </c>
      <c r="M273" s="19" t="s">
        <v>62</v>
      </c>
      <c r="N273" s="20" t="s">
        <v>63</v>
      </c>
      <c r="O273" s="19">
        <v>21</v>
      </c>
      <c r="P273" s="19">
        <v>3.73</v>
      </c>
      <c r="Q273" s="19">
        <v>1</v>
      </c>
      <c r="R273" s="20">
        <v>11</v>
      </c>
      <c r="S273" s="19">
        <v>6.6000000000000003E-2</v>
      </c>
      <c r="T273" s="19" t="s">
        <v>64</v>
      </c>
      <c r="U273" s="19" t="s">
        <v>65</v>
      </c>
      <c r="V273" s="19" t="s">
        <v>66</v>
      </c>
      <c r="W273" s="19" t="s">
        <v>67</v>
      </c>
      <c r="X273" s="19" t="s">
        <v>68</v>
      </c>
      <c r="Y273" s="21" t="s">
        <v>463</v>
      </c>
      <c r="Z273" s="21" t="s">
        <v>488</v>
      </c>
      <c r="AA273" s="21"/>
      <c r="AB273" s="21">
        <v>1</v>
      </c>
      <c r="AC273" s="21">
        <v>7</v>
      </c>
      <c r="AD273" s="21">
        <v>8722416</v>
      </c>
      <c r="AE273" s="21">
        <v>11874320</v>
      </c>
      <c r="AF273" s="21">
        <v>100677</v>
      </c>
      <c r="AG273" s="21" t="s">
        <v>1069</v>
      </c>
      <c r="AH273" s="21"/>
      <c r="AI273" s="21"/>
      <c r="AJ273" s="22"/>
      <c r="AK273" s="22"/>
      <c r="AL273" s="21" t="str">
        <f>_xlfn.XLOOKUP(A:A,[1]TAGS!$A:$A,[1]TAGS!$BG:$BG)</f>
        <v>Não Montado</v>
      </c>
      <c r="AM273" s="21" t="s">
        <v>70</v>
      </c>
      <c r="AN273" s="21" t="s">
        <v>70</v>
      </c>
      <c r="AO273" s="22"/>
      <c r="AP273" s="21"/>
      <c r="AQ273" s="21"/>
      <c r="AR273" s="21"/>
      <c r="AS273" s="21"/>
      <c r="AT273" s="21"/>
      <c r="AU273" s="21"/>
    </row>
    <row r="274" spans="1:47" x14ac:dyDescent="0.35">
      <c r="A274" s="19" t="s">
        <v>1072</v>
      </c>
      <c r="B274" s="19" t="s">
        <v>52</v>
      </c>
      <c r="C274" s="19"/>
      <c r="D274" s="19" t="s">
        <v>53</v>
      </c>
      <c r="E274" s="19" t="s">
        <v>460</v>
      </c>
      <c r="F274" s="20" t="s">
        <v>341</v>
      </c>
      <c r="G274" s="20" t="s">
        <v>342</v>
      </c>
      <c r="H274" s="19" t="s">
        <v>1073</v>
      </c>
      <c r="I274" s="20" t="s">
        <v>58</v>
      </c>
      <c r="J274" s="20" t="s">
        <v>344</v>
      </c>
      <c r="K274" s="20" t="s">
        <v>1074</v>
      </c>
      <c r="L274" s="19" t="s">
        <v>61</v>
      </c>
      <c r="M274" s="19" t="s">
        <v>62</v>
      </c>
      <c r="N274" s="20" t="s">
        <v>63</v>
      </c>
      <c r="O274" s="19">
        <v>21</v>
      </c>
      <c r="P274" s="19">
        <v>3.73</v>
      </c>
      <c r="Q274" s="19">
        <v>1</v>
      </c>
      <c r="R274" s="20">
        <v>11</v>
      </c>
      <c r="S274" s="19">
        <v>6.6000000000000003E-2</v>
      </c>
      <c r="T274" s="19" t="s">
        <v>64</v>
      </c>
      <c r="U274" s="19" t="s">
        <v>65</v>
      </c>
      <c r="V274" s="19" t="s">
        <v>66</v>
      </c>
      <c r="W274" s="19" t="s">
        <v>67</v>
      </c>
      <c r="X274" s="19" t="s">
        <v>68</v>
      </c>
      <c r="Y274" s="21" t="s">
        <v>463</v>
      </c>
      <c r="Z274" s="21" t="s">
        <v>498</v>
      </c>
      <c r="AA274" s="21"/>
      <c r="AB274" s="21">
        <v>1</v>
      </c>
      <c r="AC274" s="21">
        <v>9</v>
      </c>
      <c r="AD274" s="21">
        <v>8609416</v>
      </c>
      <c r="AE274" s="21">
        <v>11852320</v>
      </c>
      <c r="AF274" s="21">
        <v>100677</v>
      </c>
      <c r="AG274" s="21" t="s">
        <v>1072</v>
      </c>
      <c r="AH274" s="21"/>
      <c r="AI274" s="21"/>
      <c r="AJ274" s="22"/>
      <c r="AK274" s="22"/>
      <c r="AL274" s="21" t="str">
        <f>_xlfn.XLOOKUP(A:A,[1]TAGS!$A:$A,[1]TAGS!$BG:$BG)</f>
        <v>Não Montado</v>
      </c>
      <c r="AM274" s="21" t="s">
        <v>70</v>
      </c>
      <c r="AN274" s="21" t="s">
        <v>70</v>
      </c>
      <c r="AO274" s="22"/>
      <c r="AP274" s="21"/>
      <c r="AQ274" s="21"/>
      <c r="AR274" s="21"/>
      <c r="AS274" s="21"/>
      <c r="AT274" s="21"/>
      <c r="AU274" s="21"/>
    </row>
    <row r="275" spans="1:47" x14ac:dyDescent="0.35">
      <c r="A275" s="19" t="s">
        <v>1075</v>
      </c>
      <c r="B275" s="19" t="s">
        <v>52</v>
      </c>
      <c r="C275" s="19"/>
      <c r="D275" s="19" t="s">
        <v>53</v>
      </c>
      <c r="E275" s="19" t="s">
        <v>460</v>
      </c>
      <c r="F275" s="20" t="s">
        <v>269</v>
      </c>
      <c r="G275" s="20" t="s">
        <v>270</v>
      </c>
      <c r="H275" s="19" t="s">
        <v>1076</v>
      </c>
      <c r="I275" s="20" t="s">
        <v>58</v>
      </c>
      <c r="J275" s="20" t="s">
        <v>272</v>
      </c>
      <c r="K275" s="20" t="s">
        <v>1077</v>
      </c>
      <c r="L275" s="19" t="s">
        <v>61</v>
      </c>
      <c r="M275" s="19" t="s">
        <v>62</v>
      </c>
      <c r="N275" s="20" t="s">
        <v>63</v>
      </c>
      <c r="O275" s="19">
        <v>21</v>
      </c>
      <c r="P275" s="19">
        <v>3.73</v>
      </c>
      <c r="Q275" s="19">
        <v>1</v>
      </c>
      <c r="R275" s="20">
        <v>12</v>
      </c>
      <c r="S275" s="19">
        <v>6.6000000000000003E-2</v>
      </c>
      <c r="T275" s="19" t="s">
        <v>64</v>
      </c>
      <c r="U275" s="19" t="s">
        <v>65</v>
      </c>
      <c r="V275" s="19" t="s">
        <v>66</v>
      </c>
      <c r="W275" s="19" t="s">
        <v>67</v>
      </c>
      <c r="X275" s="19" t="s">
        <v>68</v>
      </c>
      <c r="Y275" s="21" t="s">
        <v>463</v>
      </c>
      <c r="Z275" s="21" t="s">
        <v>506</v>
      </c>
      <c r="AA275" s="21"/>
      <c r="AB275" s="21">
        <v>1</v>
      </c>
      <c r="AC275" s="21">
        <v>8</v>
      </c>
      <c r="AD275" s="21">
        <v>8609416</v>
      </c>
      <c r="AE275" s="21">
        <v>11865320</v>
      </c>
      <c r="AF275" s="21">
        <v>100677</v>
      </c>
      <c r="AG275" s="21" t="s">
        <v>1075</v>
      </c>
      <c r="AH275" s="21"/>
      <c r="AI275" s="21"/>
      <c r="AJ275" s="22"/>
      <c r="AK275" s="22"/>
      <c r="AL275" s="21" t="str">
        <f>_xlfn.XLOOKUP(A:A,[1]TAGS!$A:$A,[1]TAGS!$BG:$BG)</f>
        <v>Não Montado</v>
      </c>
      <c r="AM275" s="21" t="s">
        <v>70</v>
      </c>
      <c r="AN275" s="21" t="s">
        <v>70</v>
      </c>
      <c r="AO275" s="22"/>
      <c r="AP275" s="21"/>
      <c r="AQ275" s="21"/>
      <c r="AR275" s="21"/>
      <c r="AS275" s="21"/>
      <c r="AT275" s="21"/>
      <c r="AU275" s="21"/>
    </row>
    <row r="276" spans="1:47" x14ac:dyDescent="0.35">
      <c r="A276" s="19" t="s">
        <v>1078</v>
      </c>
      <c r="B276" s="19" t="s">
        <v>52</v>
      </c>
      <c r="C276" s="19"/>
      <c r="D276" s="19" t="s">
        <v>53</v>
      </c>
      <c r="E276" s="19" t="s">
        <v>460</v>
      </c>
      <c r="F276" s="20" t="s">
        <v>341</v>
      </c>
      <c r="G276" s="20" t="s">
        <v>347</v>
      </c>
      <c r="H276" s="19" t="s">
        <v>1079</v>
      </c>
      <c r="I276" s="20" t="s">
        <v>124</v>
      </c>
      <c r="J276" s="20" t="s">
        <v>349</v>
      </c>
      <c r="K276" s="20" t="s">
        <v>1080</v>
      </c>
      <c r="L276" s="19" t="s">
        <v>61</v>
      </c>
      <c r="M276" s="19" t="s">
        <v>62</v>
      </c>
      <c r="N276" s="20" t="s">
        <v>63</v>
      </c>
      <c r="O276" s="19">
        <v>21</v>
      </c>
      <c r="P276" s="19">
        <v>3.73</v>
      </c>
      <c r="Q276" s="19">
        <v>1</v>
      </c>
      <c r="R276" s="20">
        <v>12</v>
      </c>
      <c r="S276" s="19">
        <v>6.6000000000000003E-2</v>
      </c>
      <c r="T276" s="19" t="s">
        <v>64</v>
      </c>
      <c r="U276" s="19" t="s">
        <v>65</v>
      </c>
      <c r="V276" s="19" t="s">
        <v>66</v>
      </c>
      <c r="W276" s="19" t="s">
        <v>67</v>
      </c>
      <c r="X276" s="19" t="s">
        <v>68</v>
      </c>
      <c r="Y276" s="21" t="s">
        <v>463</v>
      </c>
      <c r="Z276" s="21" t="s">
        <v>498</v>
      </c>
      <c r="AA276" s="21"/>
      <c r="AB276" s="21">
        <v>2</v>
      </c>
      <c r="AC276" s="21">
        <v>10</v>
      </c>
      <c r="AD276" s="21">
        <v>8609416</v>
      </c>
      <c r="AE276" s="21">
        <v>11843320</v>
      </c>
      <c r="AF276" s="21">
        <v>100677</v>
      </c>
      <c r="AG276" s="21" t="s">
        <v>1078</v>
      </c>
      <c r="AH276" s="21"/>
      <c r="AI276" s="21"/>
      <c r="AJ276" s="22"/>
      <c r="AK276" s="22"/>
      <c r="AL276" s="21" t="str">
        <f>_xlfn.XLOOKUP(A:A,[1]TAGS!$A:$A,[1]TAGS!$BG:$BG)</f>
        <v>Não Montado</v>
      </c>
      <c r="AM276" s="21" t="s">
        <v>70</v>
      </c>
      <c r="AN276" s="21" t="s">
        <v>70</v>
      </c>
      <c r="AO276" s="22"/>
      <c r="AP276" s="21"/>
      <c r="AQ276" s="21"/>
      <c r="AR276" s="21"/>
      <c r="AS276" s="21"/>
      <c r="AT276" s="21"/>
      <c r="AU276" s="21"/>
    </row>
    <row r="277" spans="1:47" x14ac:dyDescent="0.35">
      <c r="A277" s="19" t="s">
        <v>1081</v>
      </c>
      <c r="B277" s="19" t="s">
        <v>52</v>
      </c>
      <c r="C277" s="19"/>
      <c r="D277" s="19" t="s">
        <v>53</v>
      </c>
      <c r="E277" s="19" t="s">
        <v>460</v>
      </c>
      <c r="F277" s="20" t="s">
        <v>397</v>
      </c>
      <c r="G277" s="20" t="s">
        <v>398</v>
      </c>
      <c r="H277" s="19" t="s">
        <v>1082</v>
      </c>
      <c r="I277" s="20" t="s">
        <v>58</v>
      </c>
      <c r="J277" s="20" t="s">
        <v>400</v>
      </c>
      <c r="K277" s="20" t="s">
        <v>1083</v>
      </c>
      <c r="L277" s="19" t="s">
        <v>61</v>
      </c>
      <c r="M277" s="19" t="s">
        <v>62</v>
      </c>
      <c r="N277" s="19" t="s">
        <v>683</v>
      </c>
      <c r="O277" s="19">
        <v>21</v>
      </c>
      <c r="P277" s="19">
        <v>3.73</v>
      </c>
      <c r="Q277" s="19">
        <v>1</v>
      </c>
      <c r="R277" s="20">
        <v>8</v>
      </c>
      <c r="S277" s="19">
        <v>6.6000000000000003E-2</v>
      </c>
      <c r="T277" s="19" t="s">
        <v>64</v>
      </c>
      <c r="U277" s="19" t="s">
        <v>65</v>
      </c>
      <c r="V277" s="19" t="s">
        <v>66</v>
      </c>
      <c r="W277" s="19" t="s">
        <v>67</v>
      </c>
      <c r="X277" s="19" t="s">
        <v>68</v>
      </c>
      <c r="Y277" s="21" t="s">
        <v>623</v>
      </c>
      <c r="Z277" s="21" t="s">
        <v>684</v>
      </c>
      <c r="AA277" s="21" t="s">
        <v>625</v>
      </c>
      <c r="AB277" s="21">
        <v>2</v>
      </c>
      <c r="AC277" s="21"/>
      <c r="AD277" s="21"/>
      <c r="AE277" s="21"/>
      <c r="AF277" s="21"/>
      <c r="AG277" s="21" t="s">
        <v>1081</v>
      </c>
      <c r="AH277" s="21"/>
      <c r="AI277" s="21"/>
      <c r="AJ277" s="22"/>
      <c r="AK277" s="22"/>
      <c r="AL277" s="21" t="str">
        <f>_xlfn.XLOOKUP(A:A,[1]TAGS!$A:$A,[1]TAGS!$BG:$BG)</f>
        <v>Não Montado</v>
      </c>
      <c r="AM277" s="21" t="s">
        <v>70</v>
      </c>
      <c r="AN277" s="21" t="s">
        <v>70</v>
      </c>
      <c r="AO277" s="22"/>
      <c r="AP277" s="21"/>
      <c r="AQ277" s="21"/>
      <c r="AR277" s="21"/>
      <c r="AS277" s="21"/>
      <c r="AT277" s="21"/>
      <c r="AU277" s="21"/>
    </row>
    <row r="278" spans="1:47" x14ac:dyDescent="0.35">
      <c r="A278" s="19" t="s">
        <v>1084</v>
      </c>
      <c r="B278" s="19" t="s">
        <v>52</v>
      </c>
      <c r="C278" s="19"/>
      <c r="D278" s="19" t="s">
        <v>53</v>
      </c>
      <c r="E278" s="19" t="s">
        <v>460</v>
      </c>
      <c r="F278" s="20" t="s">
        <v>397</v>
      </c>
      <c r="G278" s="20" t="s">
        <v>398</v>
      </c>
      <c r="H278" s="19" t="s">
        <v>1085</v>
      </c>
      <c r="I278" s="20" t="s">
        <v>58</v>
      </c>
      <c r="J278" s="20" t="s">
        <v>400</v>
      </c>
      <c r="K278" s="20" t="s">
        <v>1086</v>
      </c>
      <c r="L278" s="19" t="s">
        <v>61</v>
      </c>
      <c r="M278" s="19" t="s">
        <v>62</v>
      </c>
      <c r="N278" s="19" t="s">
        <v>683</v>
      </c>
      <c r="O278" s="19">
        <v>21</v>
      </c>
      <c r="P278" s="19">
        <v>3.73</v>
      </c>
      <c r="Q278" s="19">
        <v>1</v>
      </c>
      <c r="R278" s="20">
        <v>8</v>
      </c>
      <c r="S278" s="19">
        <v>6.6000000000000003E-2</v>
      </c>
      <c r="T278" s="19" t="s">
        <v>64</v>
      </c>
      <c r="U278" s="19" t="s">
        <v>65</v>
      </c>
      <c r="V278" s="19" t="s">
        <v>66</v>
      </c>
      <c r="W278" s="19" t="s">
        <v>67</v>
      </c>
      <c r="X278" s="19" t="s">
        <v>68</v>
      </c>
      <c r="Y278" s="21" t="s">
        <v>623</v>
      </c>
      <c r="Z278" s="21" t="s">
        <v>721</v>
      </c>
      <c r="AA278" s="21" t="s">
        <v>692</v>
      </c>
      <c r="AB278" s="21">
        <v>4</v>
      </c>
      <c r="AC278" s="21"/>
      <c r="AD278" s="21"/>
      <c r="AE278" s="21"/>
      <c r="AF278" s="21"/>
      <c r="AG278" s="21" t="s">
        <v>1084</v>
      </c>
      <c r="AH278" s="21"/>
      <c r="AI278" s="21"/>
      <c r="AJ278" s="22"/>
      <c r="AK278" s="22"/>
      <c r="AL278" s="21" t="str">
        <f>_xlfn.XLOOKUP(A:A,[1]TAGS!$A:$A,[1]TAGS!$BG:$BG)</f>
        <v>Não Montado</v>
      </c>
      <c r="AM278" s="21" t="s">
        <v>70</v>
      </c>
      <c r="AN278" s="21" t="s">
        <v>70</v>
      </c>
      <c r="AO278" s="22"/>
      <c r="AP278" s="21"/>
      <c r="AQ278" s="21"/>
      <c r="AR278" s="21"/>
      <c r="AS278" s="21"/>
      <c r="AT278" s="21"/>
      <c r="AU278" s="21"/>
    </row>
    <row r="279" spans="1:47" x14ac:dyDescent="0.35">
      <c r="A279" s="19" t="s">
        <v>1087</v>
      </c>
      <c r="B279" s="19" t="s">
        <v>52</v>
      </c>
      <c r="C279" s="19"/>
      <c r="D279" s="19" t="s">
        <v>53</v>
      </c>
      <c r="E279" s="19" t="s">
        <v>54</v>
      </c>
      <c r="F279" s="20" t="s">
        <v>352</v>
      </c>
      <c r="G279" s="20" t="s">
        <v>353</v>
      </c>
      <c r="H279" s="19" t="s">
        <v>1088</v>
      </c>
      <c r="I279" s="20" t="s">
        <v>124</v>
      </c>
      <c r="J279" s="20" t="s">
        <v>355</v>
      </c>
      <c r="K279" s="20" t="s">
        <v>1089</v>
      </c>
      <c r="L279" s="19" t="s">
        <v>61</v>
      </c>
      <c r="M279" s="19" t="s">
        <v>62</v>
      </c>
      <c r="N279" s="20" t="s">
        <v>63</v>
      </c>
      <c r="O279" s="19">
        <v>21</v>
      </c>
      <c r="P279" s="19">
        <v>3.73</v>
      </c>
      <c r="Q279" s="19">
        <v>1</v>
      </c>
      <c r="R279" s="20">
        <v>7</v>
      </c>
      <c r="S279" s="19">
        <v>6.6000000000000003E-2</v>
      </c>
      <c r="T279" s="19" t="s">
        <v>64</v>
      </c>
      <c r="U279" s="19" t="s">
        <v>65</v>
      </c>
      <c r="V279" s="19" t="s">
        <v>66</v>
      </c>
      <c r="W279" s="19" t="s">
        <v>67</v>
      </c>
      <c r="X279" s="19" t="s">
        <v>68</v>
      </c>
      <c r="Y279" s="21" t="s">
        <v>69</v>
      </c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2"/>
      <c r="AK279" s="22"/>
      <c r="AL279" s="22"/>
      <c r="AM279" s="21" t="s">
        <v>70</v>
      </c>
      <c r="AN279" s="21" t="s">
        <v>70</v>
      </c>
      <c r="AO279" s="21" t="str">
        <f>_xlfn.XLOOKUP(A:A,[1]TAGS!$A:$A,[1]TAGS!$BG:$BG)</f>
        <v>Não Montado</v>
      </c>
      <c r="AP279" s="21"/>
      <c r="AQ279" s="21"/>
      <c r="AR279" s="21"/>
      <c r="AS279" s="21"/>
      <c r="AT279" s="21"/>
      <c r="AU279" s="21"/>
    </row>
    <row r="280" spans="1:47" x14ac:dyDescent="0.35">
      <c r="A280" s="19" t="s">
        <v>1090</v>
      </c>
      <c r="B280" s="19" t="s">
        <v>52</v>
      </c>
      <c r="C280" s="19"/>
      <c r="D280" s="19" t="s">
        <v>53</v>
      </c>
      <c r="E280" s="19" t="s">
        <v>54</v>
      </c>
      <c r="F280" s="20" t="s">
        <v>269</v>
      </c>
      <c r="G280" s="20" t="s">
        <v>330</v>
      </c>
      <c r="H280" s="19" t="s">
        <v>1091</v>
      </c>
      <c r="I280" s="20" t="s">
        <v>58</v>
      </c>
      <c r="J280" s="20" t="s">
        <v>332</v>
      </c>
      <c r="K280" s="20" t="s">
        <v>1092</v>
      </c>
      <c r="L280" s="19" t="s">
        <v>61</v>
      </c>
      <c r="M280" s="19" t="s">
        <v>62</v>
      </c>
      <c r="N280" s="20" t="s">
        <v>63</v>
      </c>
      <c r="O280" s="19">
        <v>21</v>
      </c>
      <c r="P280" s="19">
        <v>3.73</v>
      </c>
      <c r="Q280" s="19">
        <v>1</v>
      </c>
      <c r="R280" s="20">
        <v>7</v>
      </c>
      <c r="S280" s="19">
        <v>6.6000000000000003E-2</v>
      </c>
      <c r="T280" s="19" t="s">
        <v>64</v>
      </c>
      <c r="U280" s="19" t="s">
        <v>65</v>
      </c>
      <c r="V280" s="19" t="s">
        <v>66</v>
      </c>
      <c r="W280" s="19" t="s">
        <v>67</v>
      </c>
      <c r="X280" s="19" t="s">
        <v>68</v>
      </c>
      <c r="Y280" s="21" t="s">
        <v>69</v>
      </c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2"/>
      <c r="AK280" s="22"/>
      <c r="AL280" s="22"/>
      <c r="AM280" s="21" t="s">
        <v>70</v>
      </c>
      <c r="AN280" s="21" t="s">
        <v>70</v>
      </c>
      <c r="AO280" s="21" t="str">
        <f>_xlfn.XLOOKUP(A:A,[1]TAGS!$A:$A,[1]TAGS!$BG:$BG)</f>
        <v>Não Montado</v>
      </c>
      <c r="AP280" s="21"/>
      <c r="AQ280" s="21"/>
      <c r="AR280" s="21"/>
      <c r="AS280" s="21"/>
      <c r="AT280" s="21"/>
      <c r="AU280" s="21"/>
    </row>
    <row r="281" spans="1:47" x14ac:dyDescent="0.35">
      <c r="A281" s="19" t="s">
        <v>1093</v>
      </c>
      <c r="B281" s="19" t="s">
        <v>52</v>
      </c>
      <c r="C281" s="19"/>
      <c r="D281" s="19" t="s">
        <v>53</v>
      </c>
      <c r="E281" s="19" t="s">
        <v>54</v>
      </c>
      <c r="F281" s="20" t="s">
        <v>269</v>
      </c>
      <c r="G281" s="20" t="s">
        <v>270</v>
      </c>
      <c r="H281" s="19" t="s">
        <v>1094</v>
      </c>
      <c r="I281" s="20" t="s">
        <v>58</v>
      </c>
      <c r="J281" s="20" t="s">
        <v>272</v>
      </c>
      <c r="K281" s="20" t="s">
        <v>1095</v>
      </c>
      <c r="L281" s="19" t="s">
        <v>61</v>
      </c>
      <c r="M281" s="19" t="s">
        <v>62</v>
      </c>
      <c r="N281" s="20" t="s">
        <v>63</v>
      </c>
      <c r="O281" s="19">
        <v>21</v>
      </c>
      <c r="P281" s="19">
        <v>3.73</v>
      </c>
      <c r="Q281" s="19">
        <v>1</v>
      </c>
      <c r="R281" s="20">
        <v>7</v>
      </c>
      <c r="S281" s="19">
        <v>6.6000000000000003E-2</v>
      </c>
      <c r="T281" s="19" t="s">
        <v>64</v>
      </c>
      <c r="U281" s="19" t="s">
        <v>65</v>
      </c>
      <c r="V281" s="19" t="s">
        <v>66</v>
      </c>
      <c r="W281" s="19" t="s">
        <v>67</v>
      </c>
      <c r="X281" s="19" t="s">
        <v>68</v>
      </c>
      <c r="Y281" s="21" t="s">
        <v>69</v>
      </c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2"/>
      <c r="AK281" s="22"/>
      <c r="AL281" s="22"/>
      <c r="AM281" s="21" t="s">
        <v>70</v>
      </c>
      <c r="AN281" s="21" t="s">
        <v>70</v>
      </c>
      <c r="AO281" s="21" t="str">
        <f>_xlfn.XLOOKUP(A:A,[1]TAGS!$A:$A,[1]TAGS!$BG:$BG)</f>
        <v>Montado</v>
      </c>
      <c r="AP281" s="21"/>
      <c r="AQ281" s="21"/>
      <c r="AR281" s="21"/>
      <c r="AS281" s="21"/>
      <c r="AT281" s="21"/>
      <c r="AU281" s="21"/>
    </row>
    <row r="282" spans="1:47" x14ac:dyDescent="0.35">
      <c r="A282" s="19" t="s">
        <v>1096</v>
      </c>
      <c r="B282" s="19" t="s">
        <v>52</v>
      </c>
      <c r="C282" s="19"/>
      <c r="D282" s="19" t="s">
        <v>53</v>
      </c>
      <c r="E282" s="19" t="s">
        <v>54</v>
      </c>
      <c r="F282" s="20" t="s">
        <v>269</v>
      </c>
      <c r="G282" s="20" t="s">
        <v>270</v>
      </c>
      <c r="H282" s="19" t="s">
        <v>1097</v>
      </c>
      <c r="I282" s="20" t="s">
        <v>58</v>
      </c>
      <c r="J282" s="20" t="s">
        <v>272</v>
      </c>
      <c r="K282" s="20" t="s">
        <v>1098</v>
      </c>
      <c r="L282" s="19" t="s">
        <v>61</v>
      </c>
      <c r="M282" s="19" t="s">
        <v>62</v>
      </c>
      <c r="N282" s="20" t="s">
        <v>63</v>
      </c>
      <c r="O282" s="19">
        <v>21</v>
      </c>
      <c r="P282" s="19">
        <v>3.73</v>
      </c>
      <c r="Q282" s="19">
        <v>1</v>
      </c>
      <c r="R282" s="20">
        <v>7</v>
      </c>
      <c r="S282" s="19">
        <v>6.6000000000000003E-2</v>
      </c>
      <c r="T282" s="19" t="s">
        <v>64</v>
      </c>
      <c r="U282" s="19" t="s">
        <v>65</v>
      </c>
      <c r="V282" s="19" t="s">
        <v>66</v>
      </c>
      <c r="W282" s="19" t="s">
        <v>67</v>
      </c>
      <c r="X282" s="19" t="s">
        <v>68</v>
      </c>
      <c r="Y282" s="21" t="s">
        <v>69</v>
      </c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2"/>
      <c r="AK282" s="22"/>
      <c r="AL282" s="22"/>
      <c r="AM282" s="21" t="s">
        <v>70</v>
      </c>
      <c r="AN282" s="21" t="s">
        <v>70</v>
      </c>
      <c r="AO282" s="21" t="str">
        <f>_xlfn.XLOOKUP(A:A,[1]TAGS!$A:$A,[1]TAGS!$BG:$BG)</f>
        <v>Montado</v>
      </c>
      <c r="AP282" s="21"/>
      <c r="AQ282" s="21"/>
      <c r="AR282" s="21"/>
      <c r="AS282" s="21"/>
      <c r="AT282" s="21"/>
      <c r="AU282" s="21"/>
    </row>
    <row r="283" spans="1:47" x14ac:dyDescent="0.35">
      <c r="A283" s="19" t="s">
        <v>1099</v>
      </c>
      <c r="B283" s="19" t="s">
        <v>52</v>
      </c>
      <c r="C283" s="19"/>
      <c r="D283" s="19" t="s">
        <v>53</v>
      </c>
      <c r="E283" s="19" t="s">
        <v>54</v>
      </c>
      <c r="F283" s="20" t="s">
        <v>269</v>
      </c>
      <c r="G283" s="20" t="s">
        <v>270</v>
      </c>
      <c r="H283" s="19" t="s">
        <v>1100</v>
      </c>
      <c r="I283" s="20" t="s">
        <v>58</v>
      </c>
      <c r="J283" s="20" t="s">
        <v>272</v>
      </c>
      <c r="K283" s="20" t="s">
        <v>1101</v>
      </c>
      <c r="L283" s="19" t="s">
        <v>61</v>
      </c>
      <c r="M283" s="19" t="s">
        <v>62</v>
      </c>
      <c r="N283" s="20" t="s">
        <v>63</v>
      </c>
      <c r="O283" s="19">
        <v>21</v>
      </c>
      <c r="P283" s="19">
        <v>3.73</v>
      </c>
      <c r="Q283" s="19">
        <v>1</v>
      </c>
      <c r="R283" s="20">
        <v>7</v>
      </c>
      <c r="S283" s="19">
        <v>6.6000000000000003E-2</v>
      </c>
      <c r="T283" s="19" t="s">
        <v>64</v>
      </c>
      <c r="U283" s="19" t="s">
        <v>65</v>
      </c>
      <c r="V283" s="19" t="s">
        <v>66</v>
      </c>
      <c r="W283" s="19" t="s">
        <v>67</v>
      </c>
      <c r="X283" s="19" t="s">
        <v>68</v>
      </c>
      <c r="Y283" s="21" t="s">
        <v>69</v>
      </c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2"/>
      <c r="AK283" s="22"/>
      <c r="AL283" s="22"/>
      <c r="AM283" s="21" t="s">
        <v>70</v>
      </c>
      <c r="AN283" s="21" t="s">
        <v>70</v>
      </c>
      <c r="AO283" s="21" t="str">
        <f>_xlfn.XLOOKUP(A:A,[1]TAGS!$A:$A,[1]TAGS!$BG:$BG)</f>
        <v>Montado</v>
      </c>
      <c r="AP283" s="21"/>
      <c r="AQ283" s="21"/>
      <c r="AR283" s="21"/>
      <c r="AS283" s="21"/>
      <c r="AT283" s="21"/>
      <c r="AU283" s="21"/>
    </row>
    <row r="284" spans="1:47" x14ac:dyDescent="0.35">
      <c r="A284" s="19" t="s">
        <v>1102</v>
      </c>
      <c r="B284" s="19" t="s">
        <v>52</v>
      </c>
      <c r="C284" s="19"/>
      <c r="D284" s="19" t="s">
        <v>53</v>
      </c>
      <c r="E284" s="19" t="s">
        <v>54</v>
      </c>
      <c r="F284" s="20" t="s">
        <v>294</v>
      </c>
      <c r="G284" s="20" t="s">
        <v>295</v>
      </c>
      <c r="H284" s="19" t="s">
        <v>1103</v>
      </c>
      <c r="I284" s="20" t="s">
        <v>58</v>
      </c>
      <c r="J284" s="20" t="s">
        <v>297</v>
      </c>
      <c r="K284" s="20" t="s">
        <v>1104</v>
      </c>
      <c r="L284" s="19" t="s">
        <v>61</v>
      </c>
      <c r="M284" s="19" t="s">
        <v>62</v>
      </c>
      <c r="N284" s="20" t="s">
        <v>63</v>
      </c>
      <c r="O284" s="19">
        <v>21</v>
      </c>
      <c r="P284" s="19">
        <v>3.73</v>
      </c>
      <c r="Q284" s="19">
        <v>1</v>
      </c>
      <c r="R284" s="20">
        <v>7</v>
      </c>
      <c r="S284" s="19">
        <v>6.6000000000000003E-2</v>
      </c>
      <c r="T284" s="19" t="s">
        <v>64</v>
      </c>
      <c r="U284" s="19" t="s">
        <v>65</v>
      </c>
      <c r="V284" s="19" t="s">
        <v>66</v>
      </c>
      <c r="W284" s="19" t="s">
        <v>67</v>
      </c>
      <c r="X284" s="19" t="s">
        <v>68</v>
      </c>
      <c r="Y284" s="21" t="s">
        <v>69</v>
      </c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2"/>
      <c r="AK284" s="22"/>
      <c r="AL284" s="22"/>
      <c r="AM284" s="21" t="s">
        <v>70</v>
      </c>
      <c r="AN284" s="21" t="s">
        <v>70</v>
      </c>
      <c r="AO284" s="21" t="str">
        <f>_xlfn.XLOOKUP(A:A,[1]TAGS!$A:$A,[1]TAGS!$BG:$BG)</f>
        <v>Montado</v>
      </c>
      <c r="AP284" s="21"/>
      <c r="AQ284" s="21"/>
      <c r="AR284" s="21"/>
      <c r="AS284" s="21"/>
      <c r="AT284" s="21"/>
      <c r="AU284" s="21"/>
    </row>
    <row r="285" spans="1:47" x14ac:dyDescent="0.35">
      <c r="A285" s="19" t="s">
        <v>1105</v>
      </c>
      <c r="B285" s="19" t="s">
        <v>52</v>
      </c>
      <c r="C285" s="19"/>
      <c r="D285" s="19" t="s">
        <v>53</v>
      </c>
      <c r="E285" s="19" t="s">
        <v>54</v>
      </c>
      <c r="F285" s="20" t="s">
        <v>269</v>
      </c>
      <c r="G285" s="20" t="s">
        <v>270</v>
      </c>
      <c r="H285" s="19" t="s">
        <v>1106</v>
      </c>
      <c r="I285" s="20" t="s">
        <v>58</v>
      </c>
      <c r="J285" s="20" t="s">
        <v>272</v>
      </c>
      <c r="K285" s="20" t="s">
        <v>1107</v>
      </c>
      <c r="L285" s="19" t="s">
        <v>61</v>
      </c>
      <c r="M285" s="19" t="s">
        <v>62</v>
      </c>
      <c r="N285" s="20" t="s">
        <v>63</v>
      </c>
      <c r="O285" s="19">
        <v>21</v>
      </c>
      <c r="P285" s="19">
        <v>3.73</v>
      </c>
      <c r="Q285" s="19">
        <v>1</v>
      </c>
      <c r="R285" s="20">
        <v>7</v>
      </c>
      <c r="S285" s="19">
        <v>6.6000000000000003E-2</v>
      </c>
      <c r="T285" s="19" t="s">
        <v>64</v>
      </c>
      <c r="U285" s="19" t="s">
        <v>65</v>
      </c>
      <c r="V285" s="19" t="s">
        <v>66</v>
      </c>
      <c r="W285" s="19" t="s">
        <v>67</v>
      </c>
      <c r="X285" s="19" t="s">
        <v>68</v>
      </c>
      <c r="Y285" s="21" t="s">
        <v>69</v>
      </c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2"/>
      <c r="AK285" s="22"/>
      <c r="AL285" s="22"/>
      <c r="AM285" s="21" t="s">
        <v>70</v>
      </c>
      <c r="AN285" s="21" t="s">
        <v>70</v>
      </c>
      <c r="AO285" s="21" t="str">
        <f>_xlfn.XLOOKUP(A:A,[1]TAGS!$A:$A,[1]TAGS!$BG:$BG)</f>
        <v>Montado</v>
      </c>
      <c r="AP285" s="21"/>
      <c r="AQ285" s="21"/>
      <c r="AR285" s="21"/>
      <c r="AS285" s="21"/>
      <c r="AT285" s="21"/>
      <c r="AU285" s="21"/>
    </row>
    <row r="286" spans="1:47" x14ac:dyDescent="0.35">
      <c r="A286" s="19" t="s">
        <v>1108</v>
      </c>
      <c r="B286" s="19" t="s">
        <v>52</v>
      </c>
      <c r="C286" s="19"/>
      <c r="D286" s="19" t="s">
        <v>53</v>
      </c>
      <c r="E286" s="19" t="s">
        <v>54</v>
      </c>
      <c r="F286" s="20" t="s">
        <v>269</v>
      </c>
      <c r="G286" s="20" t="s">
        <v>270</v>
      </c>
      <c r="H286" s="19" t="s">
        <v>1109</v>
      </c>
      <c r="I286" s="20" t="s">
        <v>58</v>
      </c>
      <c r="J286" s="20" t="s">
        <v>272</v>
      </c>
      <c r="K286" s="20" t="s">
        <v>1110</v>
      </c>
      <c r="L286" s="19" t="s">
        <v>61</v>
      </c>
      <c r="M286" s="19" t="s">
        <v>62</v>
      </c>
      <c r="N286" s="20" t="s">
        <v>63</v>
      </c>
      <c r="O286" s="19">
        <v>21</v>
      </c>
      <c r="P286" s="19">
        <v>3.73</v>
      </c>
      <c r="Q286" s="19">
        <v>1</v>
      </c>
      <c r="R286" s="20">
        <v>7</v>
      </c>
      <c r="S286" s="19">
        <v>6.6000000000000003E-2</v>
      </c>
      <c r="T286" s="19" t="s">
        <v>64</v>
      </c>
      <c r="U286" s="19" t="s">
        <v>65</v>
      </c>
      <c r="V286" s="19" t="s">
        <v>66</v>
      </c>
      <c r="W286" s="19" t="s">
        <v>67</v>
      </c>
      <c r="X286" s="19" t="s">
        <v>68</v>
      </c>
      <c r="Y286" s="21" t="s">
        <v>69</v>
      </c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2"/>
      <c r="AK286" s="22"/>
      <c r="AL286" s="22"/>
      <c r="AM286" s="21" t="s">
        <v>70</v>
      </c>
      <c r="AN286" s="21" t="s">
        <v>70</v>
      </c>
      <c r="AO286" s="21" t="str">
        <f>_xlfn.XLOOKUP(A:A,[1]TAGS!$A:$A,[1]TAGS!$BG:$BG)</f>
        <v>Montado</v>
      </c>
      <c r="AP286" s="21"/>
      <c r="AQ286" s="21"/>
      <c r="AR286" s="21"/>
      <c r="AS286" s="21"/>
      <c r="AT286" s="21"/>
      <c r="AU286" s="21"/>
    </row>
    <row r="287" spans="1:47" x14ac:dyDescent="0.35">
      <c r="A287" s="19" t="s">
        <v>1111</v>
      </c>
      <c r="B287" s="19" t="s">
        <v>52</v>
      </c>
      <c r="C287" s="19"/>
      <c r="D287" s="19" t="s">
        <v>53</v>
      </c>
      <c r="E287" s="19" t="s">
        <v>54</v>
      </c>
      <c r="F287" s="20" t="s">
        <v>269</v>
      </c>
      <c r="G287" s="20" t="s">
        <v>270</v>
      </c>
      <c r="H287" s="19" t="s">
        <v>1112</v>
      </c>
      <c r="I287" s="20" t="s">
        <v>58</v>
      </c>
      <c r="J287" s="20" t="s">
        <v>272</v>
      </c>
      <c r="K287" s="20" t="s">
        <v>1113</v>
      </c>
      <c r="L287" s="19" t="s">
        <v>61</v>
      </c>
      <c r="M287" s="19" t="s">
        <v>62</v>
      </c>
      <c r="N287" s="20" t="s">
        <v>63</v>
      </c>
      <c r="O287" s="19">
        <v>21</v>
      </c>
      <c r="P287" s="19">
        <v>3.73</v>
      </c>
      <c r="Q287" s="19">
        <v>1</v>
      </c>
      <c r="R287" s="20">
        <v>7</v>
      </c>
      <c r="S287" s="19">
        <v>6.6000000000000003E-2</v>
      </c>
      <c r="T287" s="19" t="s">
        <v>64</v>
      </c>
      <c r="U287" s="19" t="s">
        <v>65</v>
      </c>
      <c r="V287" s="19" t="s">
        <v>66</v>
      </c>
      <c r="W287" s="19" t="s">
        <v>67</v>
      </c>
      <c r="X287" s="19" t="s">
        <v>68</v>
      </c>
      <c r="Y287" s="21" t="s">
        <v>69</v>
      </c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2"/>
      <c r="AK287" s="22"/>
      <c r="AL287" s="22"/>
      <c r="AM287" s="21" t="s">
        <v>70</v>
      </c>
      <c r="AN287" s="21" t="s">
        <v>70</v>
      </c>
      <c r="AO287" s="21" t="str">
        <f>_xlfn.XLOOKUP(A:A,[1]TAGS!$A:$A,[1]TAGS!$BG:$BG)</f>
        <v>Montado</v>
      </c>
      <c r="AP287" s="21"/>
      <c r="AQ287" s="21"/>
      <c r="AR287" s="21"/>
      <c r="AS287" s="21"/>
      <c r="AT287" s="21"/>
      <c r="AU287" s="21"/>
    </row>
    <row r="288" spans="1:47" x14ac:dyDescent="0.35">
      <c r="A288" s="19" t="s">
        <v>1114</v>
      </c>
      <c r="B288" s="19" t="s">
        <v>52</v>
      </c>
      <c r="C288" s="19"/>
      <c r="D288" s="19" t="s">
        <v>53</v>
      </c>
      <c r="E288" s="19" t="s">
        <v>54</v>
      </c>
      <c r="F288" s="20" t="s">
        <v>269</v>
      </c>
      <c r="G288" s="20" t="s">
        <v>270</v>
      </c>
      <c r="H288" s="19" t="s">
        <v>1115</v>
      </c>
      <c r="I288" s="20" t="s">
        <v>58</v>
      </c>
      <c r="J288" s="20" t="s">
        <v>272</v>
      </c>
      <c r="K288" s="20" t="s">
        <v>1116</v>
      </c>
      <c r="L288" s="19" t="s">
        <v>61</v>
      </c>
      <c r="M288" s="19" t="s">
        <v>62</v>
      </c>
      <c r="N288" s="20" t="s">
        <v>63</v>
      </c>
      <c r="O288" s="19">
        <v>21</v>
      </c>
      <c r="P288" s="19">
        <v>3.73</v>
      </c>
      <c r="Q288" s="19">
        <v>1</v>
      </c>
      <c r="R288" s="20">
        <v>7</v>
      </c>
      <c r="S288" s="19">
        <v>6.6000000000000003E-2</v>
      </c>
      <c r="T288" s="19" t="s">
        <v>64</v>
      </c>
      <c r="U288" s="19" t="s">
        <v>65</v>
      </c>
      <c r="V288" s="19" t="s">
        <v>66</v>
      </c>
      <c r="W288" s="19" t="s">
        <v>67</v>
      </c>
      <c r="X288" s="19" t="s">
        <v>68</v>
      </c>
      <c r="Y288" s="21" t="s">
        <v>69</v>
      </c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2"/>
      <c r="AK288" s="22"/>
      <c r="AL288" s="22"/>
      <c r="AM288" s="21" t="s">
        <v>70</v>
      </c>
      <c r="AN288" s="21" t="s">
        <v>70</v>
      </c>
      <c r="AO288" s="21" t="str">
        <f>_xlfn.XLOOKUP(A:A,[1]TAGS!$A:$A,[1]TAGS!$BG:$BG)</f>
        <v>Montado</v>
      </c>
      <c r="AP288" s="21"/>
      <c r="AQ288" s="21"/>
      <c r="AR288" s="21"/>
      <c r="AS288" s="21"/>
      <c r="AT288" s="21"/>
      <c r="AU288" s="21"/>
    </row>
    <row r="289" spans="1:47" x14ac:dyDescent="0.35">
      <c r="A289" s="19" t="s">
        <v>1117</v>
      </c>
      <c r="B289" s="19" t="s">
        <v>52</v>
      </c>
      <c r="C289" s="19"/>
      <c r="D289" s="19" t="s">
        <v>53</v>
      </c>
      <c r="E289" s="19" t="s">
        <v>54</v>
      </c>
      <c r="F289" s="20" t="s">
        <v>269</v>
      </c>
      <c r="G289" s="20" t="s">
        <v>270</v>
      </c>
      <c r="H289" s="19" t="s">
        <v>1118</v>
      </c>
      <c r="I289" s="20" t="s">
        <v>58</v>
      </c>
      <c r="J289" s="20" t="s">
        <v>272</v>
      </c>
      <c r="K289" s="20" t="s">
        <v>1119</v>
      </c>
      <c r="L289" s="19" t="s">
        <v>61</v>
      </c>
      <c r="M289" s="19" t="s">
        <v>62</v>
      </c>
      <c r="N289" s="20" t="s">
        <v>63</v>
      </c>
      <c r="O289" s="19">
        <v>21</v>
      </c>
      <c r="P289" s="19">
        <v>3.73</v>
      </c>
      <c r="Q289" s="19">
        <v>1</v>
      </c>
      <c r="R289" s="20">
        <v>7</v>
      </c>
      <c r="S289" s="19">
        <v>6.6000000000000003E-2</v>
      </c>
      <c r="T289" s="19" t="s">
        <v>64</v>
      </c>
      <c r="U289" s="19" t="s">
        <v>65</v>
      </c>
      <c r="V289" s="19" t="s">
        <v>66</v>
      </c>
      <c r="W289" s="19" t="s">
        <v>67</v>
      </c>
      <c r="X289" s="19" t="s">
        <v>68</v>
      </c>
      <c r="Y289" s="21" t="s">
        <v>69</v>
      </c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2"/>
      <c r="AK289" s="22"/>
      <c r="AL289" s="22"/>
      <c r="AM289" s="21" t="s">
        <v>70</v>
      </c>
      <c r="AN289" s="21" t="s">
        <v>70</v>
      </c>
      <c r="AO289" s="21" t="str">
        <f>_xlfn.XLOOKUP(A:A,[1]TAGS!$A:$A,[1]TAGS!$BG:$BG)</f>
        <v>Montado</v>
      </c>
      <c r="AP289" s="21"/>
      <c r="AQ289" s="21"/>
      <c r="AR289" s="21"/>
      <c r="AS289" s="21"/>
      <c r="AT289" s="21"/>
      <c r="AU289" s="21"/>
    </row>
    <row r="290" spans="1:47" x14ac:dyDescent="0.35">
      <c r="A290" s="19" t="s">
        <v>1120</v>
      </c>
      <c r="B290" s="19" t="s">
        <v>52</v>
      </c>
      <c r="C290" s="19"/>
      <c r="D290" s="19" t="s">
        <v>53</v>
      </c>
      <c r="E290" s="19" t="s">
        <v>54</v>
      </c>
      <c r="F290" s="20" t="s">
        <v>269</v>
      </c>
      <c r="G290" s="20" t="s">
        <v>270</v>
      </c>
      <c r="H290" s="19" t="s">
        <v>1121</v>
      </c>
      <c r="I290" s="20" t="s">
        <v>58</v>
      </c>
      <c r="J290" s="20" t="s">
        <v>272</v>
      </c>
      <c r="K290" s="20" t="s">
        <v>1122</v>
      </c>
      <c r="L290" s="19" t="s">
        <v>61</v>
      </c>
      <c r="M290" s="19" t="s">
        <v>62</v>
      </c>
      <c r="N290" s="20" t="s">
        <v>63</v>
      </c>
      <c r="O290" s="19">
        <v>21</v>
      </c>
      <c r="P290" s="19">
        <v>3.73</v>
      </c>
      <c r="Q290" s="19">
        <v>1</v>
      </c>
      <c r="R290" s="20">
        <v>7</v>
      </c>
      <c r="S290" s="19">
        <v>6.6000000000000003E-2</v>
      </c>
      <c r="T290" s="19" t="s">
        <v>64</v>
      </c>
      <c r="U290" s="19" t="s">
        <v>65</v>
      </c>
      <c r="V290" s="19" t="s">
        <v>66</v>
      </c>
      <c r="W290" s="19" t="s">
        <v>67</v>
      </c>
      <c r="X290" s="19" t="s">
        <v>68</v>
      </c>
      <c r="Y290" s="21" t="s">
        <v>69</v>
      </c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2"/>
      <c r="AK290" s="22"/>
      <c r="AL290" s="22"/>
      <c r="AM290" s="21" t="s">
        <v>70</v>
      </c>
      <c r="AN290" s="21" t="s">
        <v>70</v>
      </c>
      <c r="AO290" s="21" t="str">
        <f>_xlfn.XLOOKUP(A:A,[1]TAGS!$A:$A,[1]TAGS!$BG:$BG)</f>
        <v>Montado</v>
      </c>
      <c r="AP290" s="21"/>
      <c r="AQ290" s="21"/>
      <c r="AR290" s="21"/>
      <c r="AS290" s="21"/>
      <c r="AT290" s="21"/>
      <c r="AU290" s="21"/>
    </row>
    <row r="291" spans="1:47" x14ac:dyDescent="0.35">
      <c r="A291" s="19" t="s">
        <v>1123</v>
      </c>
      <c r="B291" s="19" t="s">
        <v>52</v>
      </c>
      <c r="C291" s="19"/>
      <c r="D291" s="19" t="s">
        <v>53</v>
      </c>
      <c r="E291" s="19" t="s">
        <v>54</v>
      </c>
      <c r="F291" s="20" t="s">
        <v>269</v>
      </c>
      <c r="G291" s="20" t="s">
        <v>270</v>
      </c>
      <c r="H291" s="19" t="s">
        <v>1124</v>
      </c>
      <c r="I291" s="20" t="s">
        <v>58</v>
      </c>
      <c r="J291" s="20" t="s">
        <v>272</v>
      </c>
      <c r="K291" s="20" t="s">
        <v>1125</v>
      </c>
      <c r="L291" s="19" t="s">
        <v>61</v>
      </c>
      <c r="M291" s="19" t="s">
        <v>62</v>
      </c>
      <c r="N291" s="20" t="s">
        <v>63</v>
      </c>
      <c r="O291" s="19">
        <v>21</v>
      </c>
      <c r="P291" s="19">
        <v>3.73</v>
      </c>
      <c r="Q291" s="19">
        <v>1</v>
      </c>
      <c r="R291" s="20">
        <v>7</v>
      </c>
      <c r="S291" s="19">
        <v>6.6000000000000003E-2</v>
      </c>
      <c r="T291" s="19" t="s">
        <v>64</v>
      </c>
      <c r="U291" s="19" t="s">
        <v>65</v>
      </c>
      <c r="V291" s="19" t="s">
        <v>66</v>
      </c>
      <c r="W291" s="19" t="s">
        <v>67</v>
      </c>
      <c r="X291" s="19" t="s">
        <v>68</v>
      </c>
      <c r="Y291" s="21" t="s">
        <v>69</v>
      </c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2"/>
      <c r="AK291" s="22"/>
      <c r="AL291" s="22"/>
      <c r="AM291" s="21" t="s">
        <v>70</v>
      </c>
      <c r="AN291" s="21" t="s">
        <v>70</v>
      </c>
      <c r="AO291" s="21" t="str">
        <f>_xlfn.XLOOKUP(A:A,[1]TAGS!$A:$A,[1]TAGS!$BG:$BG)</f>
        <v>Montado</v>
      </c>
      <c r="AP291" s="21"/>
      <c r="AQ291" s="21"/>
      <c r="AR291" s="21"/>
      <c r="AS291" s="21"/>
      <c r="AT291" s="21"/>
      <c r="AU291" s="21"/>
    </row>
    <row r="292" spans="1:47" x14ac:dyDescent="0.35">
      <c r="A292" s="19" t="s">
        <v>1126</v>
      </c>
      <c r="B292" s="19" t="s">
        <v>52</v>
      </c>
      <c r="C292" s="19"/>
      <c r="D292" s="19" t="s">
        <v>53</v>
      </c>
      <c r="E292" s="19" t="s">
        <v>54</v>
      </c>
      <c r="F292" s="20" t="s">
        <v>269</v>
      </c>
      <c r="G292" s="20" t="s">
        <v>270</v>
      </c>
      <c r="H292" s="19" t="s">
        <v>1127</v>
      </c>
      <c r="I292" s="20" t="s">
        <v>58</v>
      </c>
      <c r="J292" s="20" t="s">
        <v>272</v>
      </c>
      <c r="K292" s="20" t="s">
        <v>1128</v>
      </c>
      <c r="L292" s="19" t="s">
        <v>61</v>
      </c>
      <c r="M292" s="19" t="s">
        <v>62</v>
      </c>
      <c r="N292" s="20" t="s">
        <v>63</v>
      </c>
      <c r="O292" s="19">
        <v>21</v>
      </c>
      <c r="P292" s="19">
        <v>3.73</v>
      </c>
      <c r="Q292" s="19">
        <v>1</v>
      </c>
      <c r="R292" s="20">
        <v>7</v>
      </c>
      <c r="S292" s="19">
        <v>6.6000000000000003E-2</v>
      </c>
      <c r="T292" s="19" t="s">
        <v>64</v>
      </c>
      <c r="U292" s="19" t="s">
        <v>65</v>
      </c>
      <c r="V292" s="19" t="s">
        <v>66</v>
      </c>
      <c r="W292" s="19" t="s">
        <v>67</v>
      </c>
      <c r="X292" s="19" t="s">
        <v>68</v>
      </c>
      <c r="Y292" s="21" t="s">
        <v>69</v>
      </c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2"/>
      <c r="AK292" s="22"/>
      <c r="AL292" s="22"/>
      <c r="AM292" s="21" t="s">
        <v>70</v>
      </c>
      <c r="AN292" s="21" t="s">
        <v>70</v>
      </c>
      <c r="AO292" s="21" t="str">
        <f>_xlfn.XLOOKUP(A:A,[1]TAGS!$A:$A,[1]TAGS!$BG:$BG)</f>
        <v>Montado</v>
      </c>
      <c r="AP292" s="21"/>
      <c r="AQ292" s="21"/>
      <c r="AR292" s="21"/>
      <c r="AS292" s="21"/>
      <c r="AT292" s="21"/>
      <c r="AU292" s="21"/>
    </row>
    <row r="293" spans="1:47" x14ac:dyDescent="0.35">
      <c r="A293" s="19" t="s">
        <v>1129</v>
      </c>
      <c r="B293" s="19" t="s">
        <v>52</v>
      </c>
      <c r="C293" s="19"/>
      <c r="D293" s="19" t="s">
        <v>53</v>
      </c>
      <c r="E293" s="19" t="s">
        <v>54</v>
      </c>
      <c r="F293" s="20" t="s">
        <v>269</v>
      </c>
      <c r="G293" s="20" t="s">
        <v>270</v>
      </c>
      <c r="H293" s="19" t="s">
        <v>1130</v>
      </c>
      <c r="I293" s="20" t="s">
        <v>58</v>
      </c>
      <c r="J293" s="20" t="s">
        <v>272</v>
      </c>
      <c r="K293" s="20" t="s">
        <v>1131</v>
      </c>
      <c r="L293" s="19" t="s">
        <v>61</v>
      </c>
      <c r="M293" s="19" t="s">
        <v>62</v>
      </c>
      <c r="N293" s="20" t="s">
        <v>63</v>
      </c>
      <c r="O293" s="19">
        <v>21</v>
      </c>
      <c r="P293" s="19">
        <v>3.73</v>
      </c>
      <c r="Q293" s="19">
        <v>1</v>
      </c>
      <c r="R293" s="20">
        <v>7</v>
      </c>
      <c r="S293" s="19">
        <v>6.6000000000000003E-2</v>
      </c>
      <c r="T293" s="19" t="s">
        <v>64</v>
      </c>
      <c r="U293" s="19" t="s">
        <v>65</v>
      </c>
      <c r="V293" s="19" t="s">
        <v>66</v>
      </c>
      <c r="W293" s="19" t="s">
        <v>67</v>
      </c>
      <c r="X293" s="19" t="s">
        <v>68</v>
      </c>
      <c r="Y293" s="21" t="s">
        <v>69</v>
      </c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2"/>
      <c r="AK293" s="22"/>
      <c r="AL293" s="22"/>
      <c r="AM293" s="21" t="s">
        <v>70</v>
      </c>
      <c r="AN293" s="21" t="s">
        <v>70</v>
      </c>
      <c r="AO293" s="21" t="str">
        <f>_xlfn.XLOOKUP(A:A,[1]TAGS!$A:$A,[1]TAGS!$BG:$BG)</f>
        <v>Montado</v>
      </c>
      <c r="AP293" s="21"/>
      <c r="AQ293" s="21"/>
      <c r="AR293" s="21"/>
      <c r="AS293" s="21"/>
      <c r="AT293" s="21"/>
      <c r="AU293" s="21"/>
    </row>
    <row r="294" spans="1:47" x14ac:dyDescent="0.35">
      <c r="A294" s="19" t="s">
        <v>1132</v>
      </c>
      <c r="B294" s="19" t="s">
        <v>52</v>
      </c>
      <c r="C294" s="19"/>
      <c r="D294" s="19" t="s">
        <v>53</v>
      </c>
      <c r="E294" s="19" t="s">
        <v>54</v>
      </c>
      <c r="F294" s="20" t="s">
        <v>269</v>
      </c>
      <c r="G294" s="20" t="s">
        <v>330</v>
      </c>
      <c r="H294" s="19" t="s">
        <v>1133</v>
      </c>
      <c r="I294" s="20" t="s">
        <v>58</v>
      </c>
      <c r="J294" s="20" t="s">
        <v>332</v>
      </c>
      <c r="K294" s="20" t="s">
        <v>1134</v>
      </c>
      <c r="L294" s="19" t="s">
        <v>61</v>
      </c>
      <c r="M294" s="19" t="s">
        <v>62</v>
      </c>
      <c r="N294" s="20" t="s">
        <v>63</v>
      </c>
      <c r="O294" s="19">
        <v>21</v>
      </c>
      <c r="P294" s="19">
        <v>3.73</v>
      </c>
      <c r="Q294" s="19">
        <v>1</v>
      </c>
      <c r="R294" s="20">
        <v>7</v>
      </c>
      <c r="S294" s="19">
        <v>6.6000000000000003E-2</v>
      </c>
      <c r="T294" s="19" t="s">
        <v>64</v>
      </c>
      <c r="U294" s="19" t="s">
        <v>65</v>
      </c>
      <c r="V294" s="19" t="s">
        <v>66</v>
      </c>
      <c r="W294" s="19" t="s">
        <v>67</v>
      </c>
      <c r="X294" s="19" t="s">
        <v>68</v>
      </c>
      <c r="Y294" s="21" t="s">
        <v>69</v>
      </c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2"/>
      <c r="AK294" s="22"/>
      <c r="AL294" s="22"/>
      <c r="AM294" s="21" t="s">
        <v>70</v>
      </c>
      <c r="AN294" s="21" t="s">
        <v>70</v>
      </c>
      <c r="AO294" s="21" t="str">
        <f>_xlfn.XLOOKUP(A:A,[1]TAGS!$A:$A,[1]TAGS!$BG:$BG)</f>
        <v>Montado</v>
      </c>
      <c r="AP294" s="21"/>
      <c r="AQ294" s="21"/>
      <c r="AR294" s="21"/>
      <c r="AS294" s="21"/>
      <c r="AT294" s="21"/>
      <c r="AU294" s="21"/>
    </row>
    <row r="295" spans="1:47" x14ac:dyDescent="0.35">
      <c r="A295" s="19" t="s">
        <v>1135</v>
      </c>
      <c r="B295" s="19" t="s">
        <v>52</v>
      </c>
      <c r="C295" s="19"/>
      <c r="D295" s="19" t="s">
        <v>53</v>
      </c>
      <c r="E295" s="19" t="s">
        <v>54</v>
      </c>
      <c r="F295" s="20" t="s">
        <v>89</v>
      </c>
      <c r="G295" s="20" t="s">
        <v>90</v>
      </c>
      <c r="H295" s="19" t="s">
        <v>1136</v>
      </c>
      <c r="I295" s="20" t="s">
        <v>58</v>
      </c>
      <c r="J295" s="20" t="s">
        <v>92</v>
      </c>
      <c r="K295" s="20" t="s">
        <v>1137</v>
      </c>
      <c r="L295" s="19" t="s">
        <v>61</v>
      </c>
      <c r="M295" s="19" t="s">
        <v>62</v>
      </c>
      <c r="N295" s="20" t="s">
        <v>63</v>
      </c>
      <c r="O295" s="19">
        <v>21</v>
      </c>
      <c r="P295" s="19">
        <v>3.73</v>
      </c>
      <c r="Q295" s="19">
        <v>1</v>
      </c>
      <c r="R295" s="20">
        <v>7</v>
      </c>
      <c r="S295" s="19">
        <v>6.6000000000000003E-2</v>
      </c>
      <c r="T295" s="19" t="s">
        <v>64</v>
      </c>
      <c r="U295" s="19" t="s">
        <v>65</v>
      </c>
      <c r="V295" s="19" t="s">
        <v>66</v>
      </c>
      <c r="W295" s="19" t="s">
        <v>67</v>
      </c>
      <c r="X295" s="19" t="s">
        <v>68</v>
      </c>
      <c r="Y295" s="21" t="s">
        <v>69</v>
      </c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2"/>
      <c r="AK295" s="22"/>
      <c r="AL295" s="22"/>
      <c r="AM295" s="21" t="s">
        <v>70</v>
      </c>
      <c r="AN295" s="21" t="s">
        <v>70</v>
      </c>
      <c r="AO295" s="21" t="str">
        <f>_xlfn.XLOOKUP(A:A,[1]TAGS!$A:$A,[1]TAGS!$BG:$BG)</f>
        <v>Montado</v>
      </c>
      <c r="AP295" s="21"/>
      <c r="AQ295" s="21"/>
      <c r="AR295" s="21"/>
      <c r="AS295" s="21"/>
      <c r="AT295" s="21"/>
      <c r="AU295" s="21"/>
    </row>
    <row r="296" spans="1:47" x14ac:dyDescent="0.35">
      <c r="A296" s="19" t="s">
        <v>1138</v>
      </c>
      <c r="B296" s="19" t="s">
        <v>52</v>
      </c>
      <c r="C296" s="19"/>
      <c r="D296" s="19" t="s">
        <v>53</v>
      </c>
      <c r="E296" s="19" t="s">
        <v>54</v>
      </c>
      <c r="F296" s="20" t="s">
        <v>89</v>
      </c>
      <c r="G296" s="20" t="s">
        <v>90</v>
      </c>
      <c r="H296" s="19" t="s">
        <v>1139</v>
      </c>
      <c r="I296" s="20" t="s">
        <v>58</v>
      </c>
      <c r="J296" s="20" t="s">
        <v>92</v>
      </c>
      <c r="K296" s="20" t="s">
        <v>1140</v>
      </c>
      <c r="L296" s="19" t="s">
        <v>61</v>
      </c>
      <c r="M296" s="19" t="s">
        <v>62</v>
      </c>
      <c r="N296" s="20" t="s">
        <v>63</v>
      </c>
      <c r="O296" s="19">
        <v>21</v>
      </c>
      <c r="P296" s="19">
        <v>3.73</v>
      </c>
      <c r="Q296" s="19">
        <v>1</v>
      </c>
      <c r="R296" s="20">
        <v>7</v>
      </c>
      <c r="S296" s="19">
        <v>6.6000000000000003E-2</v>
      </c>
      <c r="T296" s="19" t="s">
        <v>64</v>
      </c>
      <c r="U296" s="19" t="s">
        <v>65</v>
      </c>
      <c r="V296" s="19" t="s">
        <v>66</v>
      </c>
      <c r="W296" s="19" t="s">
        <v>67</v>
      </c>
      <c r="X296" s="19" t="s">
        <v>68</v>
      </c>
      <c r="Y296" s="21" t="s">
        <v>69</v>
      </c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2"/>
      <c r="AK296" s="22"/>
      <c r="AL296" s="22"/>
      <c r="AM296" s="21" t="s">
        <v>70</v>
      </c>
      <c r="AN296" s="21" t="s">
        <v>70</v>
      </c>
      <c r="AO296" s="21" t="str">
        <f>_xlfn.XLOOKUP(A:A,[1]TAGS!$A:$A,[1]TAGS!$BG:$BG)</f>
        <v>Montado</v>
      </c>
      <c r="AP296" s="21"/>
      <c r="AQ296" s="21"/>
      <c r="AR296" s="21"/>
      <c r="AS296" s="21"/>
      <c r="AT296" s="21"/>
      <c r="AU296" s="21"/>
    </row>
    <row r="297" spans="1:47" x14ac:dyDescent="0.35">
      <c r="A297" s="19" t="s">
        <v>1141</v>
      </c>
      <c r="B297" s="19" t="s">
        <v>52</v>
      </c>
      <c r="C297" s="19"/>
      <c r="D297" s="19" t="s">
        <v>53</v>
      </c>
      <c r="E297" s="19" t="s">
        <v>54</v>
      </c>
      <c r="F297" s="20" t="s">
        <v>89</v>
      </c>
      <c r="G297" s="20" t="s">
        <v>90</v>
      </c>
      <c r="H297" s="19" t="s">
        <v>1142</v>
      </c>
      <c r="I297" s="20" t="s">
        <v>58</v>
      </c>
      <c r="J297" s="20" t="s">
        <v>92</v>
      </c>
      <c r="K297" s="20" t="s">
        <v>1143</v>
      </c>
      <c r="L297" s="19" t="s">
        <v>61</v>
      </c>
      <c r="M297" s="19" t="s">
        <v>62</v>
      </c>
      <c r="N297" s="20" t="s">
        <v>63</v>
      </c>
      <c r="O297" s="19">
        <v>21</v>
      </c>
      <c r="P297" s="19">
        <v>3.73</v>
      </c>
      <c r="Q297" s="19">
        <v>1</v>
      </c>
      <c r="R297" s="20">
        <v>7</v>
      </c>
      <c r="S297" s="19">
        <v>6.6000000000000003E-2</v>
      </c>
      <c r="T297" s="19" t="s">
        <v>64</v>
      </c>
      <c r="U297" s="19" t="s">
        <v>65</v>
      </c>
      <c r="V297" s="19" t="s">
        <v>66</v>
      </c>
      <c r="W297" s="19" t="s">
        <v>67</v>
      </c>
      <c r="X297" s="19" t="s">
        <v>68</v>
      </c>
      <c r="Y297" s="21" t="s">
        <v>69</v>
      </c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2"/>
      <c r="AK297" s="22"/>
      <c r="AL297" s="22"/>
      <c r="AM297" s="21" t="s">
        <v>70</v>
      </c>
      <c r="AN297" s="21" t="s">
        <v>70</v>
      </c>
      <c r="AO297" s="21" t="str">
        <f>_xlfn.XLOOKUP(A:A,[1]TAGS!$A:$A,[1]TAGS!$BG:$BG)</f>
        <v>Montado</v>
      </c>
      <c r="AP297" s="21"/>
      <c r="AQ297" s="21"/>
      <c r="AR297" s="21"/>
      <c r="AS297" s="21"/>
      <c r="AT297" s="21"/>
      <c r="AU297" s="21"/>
    </row>
    <row r="298" spans="1:47" x14ac:dyDescent="0.35">
      <c r="A298" s="19" t="s">
        <v>1144</v>
      </c>
      <c r="B298" s="19" t="s">
        <v>52</v>
      </c>
      <c r="C298" s="19"/>
      <c r="D298" s="19" t="s">
        <v>53</v>
      </c>
      <c r="E298" s="19" t="s">
        <v>54</v>
      </c>
      <c r="F298" s="20" t="s">
        <v>95</v>
      </c>
      <c r="G298" s="20" t="s">
        <v>96</v>
      </c>
      <c r="H298" s="19" t="s">
        <v>1145</v>
      </c>
      <c r="I298" s="20" t="s">
        <v>58</v>
      </c>
      <c r="J298" s="20" t="s">
        <v>98</v>
      </c>
      <c r="K298" s="20" t="s">
        <v>1146</v>
      </c>
      <c r="L298" s="19" t="s">
        <v>61</v>
      </c>
      <c r="M298" s="19" t="s">
        <v>62</v>
      </c>
      <c r="N298" s="20" t="s">
        <v>63</v>
      </c>
      <c r="O298" s="19">
        <v>21</v>
      </c>
      <c r="P298" s="19">
        <v>3.73</v>
      </c>
      <c r="Q298" s="19">
        <v>1</v>
      </c>
      <c r="R298" s="20">
        <v>7</v>
      </c>
      <c r="S298" s="19">
        <v>6.6000000000000003E-2</v>
      </c>
      <c r="T298" s="19" t="s">
        <v>64</v>
      </c>
      <c r="U298" s="19" t="s">
        <v>65</v>
      </c>
      <c r="V298" s="19" t="s">
        <v>66</v>
      </c>
      <c r="W298" s="19" t="s">
        <v>67</v>
      </c>
      <c r="X298" s="19" t="s">
        <v>68</v>
      </c>
      <c r="Y298" s="21" t="s">
        <v>69</v>
      </c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2"/>
      <c r="AK298" s="22"/>
      <c r="AL298" s="22"/>
      <c r="AM298" s="21" t="s">
        <v>70</v>
      </c>
      <c r="AN298" s="21" t="s">
        <v>70</v>
      </c>
      <c r="AO298" s="21" t="str">
        <f>_xlfn.XLOOKUP(A:A,[1]TAGS!$A:$A,[1]TAGS!$BG:$BG)</f>
        <v>Montado</v>
      </c>
      <c r="AP298" s="21"/>
      <c r="AQ298" s="21"/>
      <c r="AR298" s="21"/>
      <c r="AS298" s="21"/>
      <c r="AT298" s="21"/>
      <c r="AU298" s="21"/>
    </row>
    <row r="299" spans="1:47" x14ac:dyDescent="0.35">
      <c r="A299" s="19" t="s">
        <v>1147</v>
      </c>
      <c r="B299" s="19" t="s">
        <v>52</v>
      </c>
      <c r="C299" s="19"/>
      <c r="D299" s="19" t="s">
        <v>53</v>
      </c>
      <c r="E299" s="19" t="s">
        <v>54</v>
      </c>
      <c r="F299" s="20" t="s">
        <v>95</v>
      </c>
      <c r="G299" s="20" t="s">
        <v>96</v>
      </c>
      <c r="H299" s="19" t="s">
        <v>1148</v>
      </c>
      <c r="I299" s="20" t="s">
        <v>58</v>
      </c>
      <c r="J299" s="20" t="s">
        <v>98</v>
      </c>
      <c r="K299" s="20" t="s">
        <v>1149</v>
      </c>
      <c r="L299" s="19" t="s">
        <v>61</v>
      </c>
      <c r="M299" s="19" t="s">
        <v>62</v>
      </c>
      <c r="N299" s="20" t="s">
        <v>63</v>
      </c>
      <c r="O299" s="19">
        <v>21</v>
      </c>
      <c r="P299" s="19">
        <v>3.73</v>
      </c>
      <c r="Q299" s="19">
        <v>1</v>
      </c>
      <c r="R299" s="20">
        <v>7</v>
      </c>
      <c r="S299" s="19">
        <v>6.6000000000000003E-2</v>
      </c>
      <c r="T299" s="19" t="s">
        <v>64</v>
      </c>
      <c r="U299" s="19" t="s">
        <v>65</v>
      </c>
      <c r="V299" s="19" t="s">
        <v>66</v>
      </c>
      <c r="W299" s="19" t="s">
        <v>67</v>
      </c>
      <c r="X299" s="19" t="s">
        <v>68</v>
      </c>
      <c r="Y299" s="21" t="s">
        <v>69</v>
      </c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2"/>
      <c r="AK299" s="22"/>
      <c r="AL299" s="22"/>
      <c r="AM299" s="21" t="s">
        <v>70</v>
      </c>
      <c r="AN299" s="21" t="s">
        <v>70</v>
      </c>
      <c r="AO299" s="21" t="str">
        <f>_xlfn.XLOOKUP(A:A,[1]TAGS!$A:$A,[1]TAGS!$BG:$BG)</f>
        <v>Montado</v>
      </c>
      <c r="AP299" s="21"/>
      <c r="AQ299" s="21"/>
      <c r="AR299" s="21"/>
      <c r="AS299" s="21"/>
      <c r="AT299" s="21"/>
      <c r="AU299" s="21"/>
    </row>
    <row r="300" spans="1:47" x14ac:dyDescent="0.35">
      <c r="A300" s="19" t="s">
        <v>1150</v>
      </c>
      <c r="B300" s="19" t="s">
        <v>52</v>
      </c>
      <c r="C300" s="19"/>
      <c r="D300" s="19" t="s">
        <v>53</v>
      </c>
      <c r="E300" s="19" t="s">
        <v>54</v>
      </c>
      <c r="F300" s="20" t="s">
        <v>95</v>
      </c>
      <c r="G300" s="20" t="s">
        <v>96</v>
      </c>
      <c r="H300" s="19" t="s">
        <v>1151</v>
      </c>
      <c r="I300" s="20" t="s">
        <v>58</v>
      </c>
      <c r="J300" s="20" t="s">
        <v>98</v>
      </c>
      <c r="K300" s="20" t="s">
        <v>1152</v>
      </c>
      <c r="L300" s="19" t="s">
        <v>61</v>
      </c>
      <c r="M300" s="19" t="s">
        <v>62</v>
      </c>
      <c r="N300" s="20" t="s">
        <v>63</v>
      </c>
      <c r="O300" s="19">
        <v>21</v>
      </c>
      <c r="P300" s="19">
        <v>3.73</v>
      </c>
      <c r="Q300" s="19">
        <v>1</v>
      </c>
      <c r="R300" s="20">
        <v>7</v>
      </c>
      <c r="S300" s="19">
        <v>6.6000000000000003E-2</v>
      </c>
      <c r="T300" s="19" t="s">
        <v>64</v>
      </c>
      <c r="U300" s="19" t="s">
        <v>65</v>
      </c>
      <c r="V300" s="19" t="s">
        <v>66</v>
      </c>
      <c r="W300" s="19" t="s">
        <v>67</v>
      </c>
      <c r="X300" s="19" t="s">
        <v>68</v>
      </c>
      <c r="Y300" s="21" t="s">
        <v>69</v>
      </c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2"/>
      <c r="AK300" s="22"/>
      <c r="AL300" s="22"/>
      <c r="AM300" s="21" t="s">
        <v>70</v>
      </c>
      <c r="AN300" s="21" t="s">
        <v>70</v>
      </c>
      <c r="AO300" s="21" t="str">
        <f>_xlfn.XLOOKUP(A:A,[1]TAGS!$A:$A,[1]TAGS!$BG:$BG)</f>
        <v>Montado</v>
      </c>
      <c r="AP300" s="21"/>
      <c r="AQ300" s="21"/>
      <c r="AR300" s="21"/>
      <c r="AS300" s="21"/>
      <c r="AT300" s="21"/>
      <c r="AU300" s="21"/>
    </row>
    <row r="301" spans="1:47" x14ac:dyDescent="0.35">
      <c r="A301" s="19" t="s">
        <v>1153</v>
      </c>
      <c r="B301" s="19" t="s">
        <v>52</v>
      </c>
      <c r="C301" s="19"/>
      <c r="D301" s="19" t="s">
        <v>53</v>
      </c>
      <c r="E301" s="19" t="s">
        <v>54</v>
      </c>
      <c r="F301" s="20" t="s">
        <v>95</v>
      </c>
      <c r="G301" s="20" t="s">
        <v>96</v>
      </c>
      <c r="H301" s="19" t="s">
        <v>1154</v>
      </c>
      <c r="I301" s="20" t="s">
        <v>58</v>
      </c>
      <c r="J301" s="20" t="s">
        <v>98</v>
      </c>
      <c r="K301" s="20" t="s">
        <v>1155</v>
      </c>
      <c r="L301" s="19" t="s">
        <v>61</v>
      </c>
      <c r="M301" s="19" t="s">
        <v>62</v>
      </c>
      <c r="N301" s="20" t="s">
        <v>63</v>
      </c>
      <c r="O301" s="19">
        <v>21</v>
      </c>
      <c r="P301" s="19">
        <v>3.73</v>
      </c>
      <c r="Q301" s="19">
        <v>1</v>
      </c>
      <c r="R301" s="20">
        <v>7</v>
      </c>
      <c r="S301" s="19">
        <v>6.6000000000000003E-2</v>
      </c>
      <c r="T301" s="19" t="s">
        <v>64</v>
      </c>
      <c r="U301" s="19" t="s">
        <v>65</v>
      </c>
      <c r="V301" s="19" t="s">
        <v>66</v>
      </c>
      <c r="W301" s="19" t="s">
        <v>67</v>
      </c>
      <c r="X301" s="19" t="s">
        <v>68</v>
      </c>
      <c r="Y301" s="21" t="s">
        <v>69</v>
      </c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2"/>
      <c r="AK301" s="22"/>
      <c r="AL301" s="22"/>
      <c r="AM301" s="21" t="s">
        <v>70</v>
      </c>
      <c r="AN301" s="21" t="s">
        <v>70</v>
      </c>
      <c r="AO301" s="21" t="str">
        <f>_xlfn.XLOOKUP(A:A,[1]TAGS!$A:$A,[1]TAGS!$BG:$BG)</f>
        <v>Montado</v>
      </c>
      <c r="AP301" s="21"/>
      <c r="AQ301" s="21"/>
      <c r="AR301" s="21"/>
      <c r="AS301" s="21"/>
      <c r="AT301" s="21"/>
      <c r="AU301" s="21"/>
    </row>
    <row r="302" spans="1:47" x14ac:dyDescent="0.35">
      <c r="A302" s="19" t="s">
        <v>1156</v>
      </c>
      <c r="B302" s="19" t="s">
        <v>52</v>
      </c>
      <c r="C302" s="19"/>
      <c r="D302" s="19" t="s">
        <v>53</v>
      </c>
      <c r="E302" s="19" t="s">
        <v>54</v>
      </c>
      <c r="F302" s="20" t="s">
        <v>83</v>
      </c>
      <c r="G302" s="20" t="s">
        <v>84</v>
      </c>
      <c r="H302" s="19" t="s">
        <v>1157</v>
      </c>
      <c r="I302" s="20" t="s">
        <v>58</v>
      </c>
      <c r="J302" s="20" t="s">
        <v>86</v>
      </c>
      <c r="K302" s="20" t="s">
        <v>1158</v>
      </c>
      <c r="L302" s="19" t="s">
        <v>61</v>
      </c>
      <c r="M302" s="19" t="s">
        <v>62</v>
      </c>
      <c r="N302" s="20" t="s">
        <v>63</v>
      </c>
      <c r="O302" s="19">
        <v>21</v>
      </c>
      <c r="P302" s="19">
        <v>3.73</v>
      </c>
      <c r="Q302" s="19">
        <v>1</v>
      </c>
      <c r="R302" s="20">
        <v>7</v>
      </c>
      <c r="S302" s="19">
        <v>6.6000000000000003E-2</v>
      </c>
      <c r="T302" s="19" t="s">
        <v>64</v>
      </c>
      <c r="U302" s="19" t="s">
        <v>65</v>
      </c>
      <c r="V302" s="19" t="s">
        <v>66</v>
      </c>
      <c r="W302" s="19" t="s">
        <v>67</v>
      </c>
      <c r="X302" s="19" t="s">
        <v>68</v>
      </c>
      <c r="Y302" s="21" t="s">
        <v>69</v>
      </c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2"/>
      <c r="AK302" s="22"/>
      <c r="AL302" s="22"/>
      <c r="AM302" s="21" t="s">
        <v>70</v>
      </c>
      <c r="AN302" s="21" t="s">
        <v>70</v>
      </c>
      <c r="AO302" s="21" t="str">
        <f>_xlfn.XLOOKUP(A:A,[1]TAGS!$A:$A,[1]TAGS!$BG:$BG)</f>
        <v>Montado</v>
      </c>
      <c r="AP302" s="21"/>
      <c r="AQ302" s="21"/>
      <c r="AR302" s="21"/>
      <c r="AS302" s="21"/>
      <c r="AT302" s="21"/>
      <c r="AU302" s="21"/>
    </row>
    <row r="303" spans="1:47" x14ac:dyDescent="0.35">
      <c r="A303" s="19" t="s">
        <v>1159</v>
      </c>
      <c r="B303" s="19" t="s">
        <v>52</v>
      </c>
      <c r="C303" s="19"/>
      <c r="D303" s="19" t="s">
        <v>53</v>
      </c>
      <c r="E303" s="19" t="s">
        <v>54</v>
      </c>
      <c r="F303" s="20" t="s">
        <v>83</v>
      </c>
      <c r="G303" s="20" t="s">
        <v>84</v>
      </c>
      <c r="H303" s="19" t="s">
        <v>1160</v>
      </c>
      <c r="I303" s="20" t="s">
        <v>58</v>
      </c>
      <c r="J303" s="20" t="s">
        <v>86</v>
      </c>
      <c r="K303" s="20" t="s">
        <v>1161</v>
      </c>
      <c r="L303" s="19" t="s">
        <v>61</v>
      </c>
      <c r="M303" s="19" t="s">
        <v>62</v>
      </c>
      <c r="N303" s="20" t="s">
        <v>63</v>
      </c>
      <c r="O303" s="19">
        <v>21</v>
      </c>
      <c r="P303" s="19">
        <v>3.73</v>
      </c>
      <c r="Q303" s="19">
        <v>1</v>
      </c>
      <c r="R303" s="20">
        <v>7</v>
      </c>
      <c r="S303" s="19">
        <v>6.6000000000000003E-2</v>
      </c>
      <c r="T303" s="19" t="s">
        <v>64</v>
      </c>
      <c r="U303" s="19" t="s">
        <v>65</v>
      </c>
      <c r="V303" s="19" t="s">
        <v>66</v>
      </c>
      <c r="W303" s="19" t="s">
        <v>67</v>
      </c>
      <c r="X303" s="19" t="s">
        <v>68</v>
      </c>
      <c r="Y303" s="21" t="s">
        <v>69</v>
      </c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2"/>
      <c r="AK303" s="22"/>
      <c r="AL303" s="22"/>
      <c r="AM303" s="21" t="s">
        <v>70</v>
      </c>
      <c r="AN303" s="21" t="s">
        <v>70</v>
      </c>
      <c r="AO303" s="21" t="str">
        <f>_xlfn.XLOOKUP(A:A,[1]TAGS!$A:$A,[1]TAGS!$BG:$BG)</f>
        <v>Montado</v>
      </c>
      <c r="AP303" s="21"/>
      <c r="AQ303" s="21"/>
      <c r="AR303" s="21"/>
      <c r="AS303" s="21"/>
      <c r="AT303" s="21"/>
      <c r="AU303" s="21"/>
    </row>
    <row r="304" spans="1:47" x14ac:dyDescent="0.35">
      <c r="A304" s="19" t="s">
        <v>1162</v>
      </c>
      <c r="B304" s="19" t="s">
        <v>52</v>
      </c>
      <c r="C304" s="19"/>
      <c r="D304" s="19" t="s">
        <v>53</v>
      </c>
      <c r="E304" s="19" t="s">
        <v>54</v>
      </c>
      <c r="F304" s="20" t="s">
        <v>83</v>
      </c>
      <c r="G304" s="20" t="s">
        <v>84</v>
      </c>
      <c r="H304" s="19" t="s">
        <v>1163</v>
      </c>
      <c r="I304" s="20" t="s">
        <v>58</v>
      </c>
      <c r="J304" s="20" t="s">
        <v>86</v>
      </c>
      <c r="K304" s="20" t="s">
        <v>1164</v>
      </c>
      <c r="L304" s="19" t="s">
        <v>61</v>
      </c>
      <c r="M304" s="19" t="s">
        <v>62</v>
      </c>
      <c r="N304" s="20" t="s">
        <v>63</v>
      </c>
      <c r="O304" s="19">
        <v>21</v>
      </c>
      <c r="P304" s="19">
        <v>3.73</v>
      </c>
      <c r="Q304" s="19">
        <v>1</v>
      </c>
      <c r="R304" s="20">
        <v>7</v>
      </c>
      <c r="S304" s="19">
        <v>6.6000000000000003E-2</v>
      </c>
      <c r="T304" s="19" t="s">
        <v>64</v>
      </c>
      <c r="U304" s="19" t="s">
        <v>65</v>
      </c>
      <c r="V304" s="19" t="s">
        <v>66</v>
      </c>
      <c r="W304" s="19" t="s">
        <v>67</v>
      </c>
      <c r="X304" s="19" t="s">
        <v>68</v>
      </c>
      <c r="Y304" s="21" t="s">
        <v>69</v>
      </c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2"/>
      <c r="AK304" s="22"/>
      <c r="AL304" s="22"/>
      <c r="AM304" s="21" t="s">
        <v>70</v>
      </c>
      <c r="AN304" s="21" t="s">
        <v>70</v>
      </c>
      <c r="AO304" s="21" t="str">
        <f>_xlfn.XLOOKUP(A:A,[1]TAGS!$A:$A,[1]TAGS!$BG:$BG)</f>
        <v>Montado</v>
      </c>
      <c r="AP304" s="21"/>
      <c r="AQ304" s="21"/>
      <c r="AR304" s="21"/>
      <c r="AS304" s="21"/>
      <c r="AT304" s="21"/>
      <c r="AU304" s="21"/>
    </row>
    <row r="305" spans="1:47" x14ac:dyDescent="0.35">
      <c r="A305" s="19" t="s">
        <v>1165</v>
      </c>
      <c r="B305" s="19" t="s">
        <v>52</v>
      </c>
      <c r="C305" s="19"/>
      <c r="D305" s="19" t="s">
        <v>53</v>
      </c>
      <c r="E305" s="19" t="s">
        <v>54</v>
      </c>
      <c r="F305" s="20" t="s">
        <v>83</v>
      </c>
      <c r="G305" s="20" t="s">
        <v>84</v>
      </c>
      <c r="H305" s="19" t="s">
        <v>1166</v>
      </c>
      <c r="I305" s="20" t="s">
        <v>58</v>
      </c>
      <c r="J305" s="20" t="s">
        <v>86</v>
      </c>
      <c r="K305" s="20" t="s">
        <v>1167</v>
      </c>
      <c r="L305" s="19" t="s">
        <v>61</v>
      </c>
      <c r="M305" s="19" t="s">
        <v>62</v>
      </c>
      <c r="N305" s="20" t="s">
        <v>63</v>
      </c>
      <c r="O305" s="19">
        <v>21</v>
      </c>
      <c r="P305" s="19">
        <v>3.73</v>
      </c>
      <c r="Q305" s="19">
        <v>1</v>
      </c>
      <c r="R305" s="20">
        <v>7</v>
      </c>
      <c r="S305" s="19">
        <v>6.6000000000000003E-2</v>
      </c>
      <c r="T305" s="19" t="s">
        <v>64</v>
      </c>
      <c r="U305" s="19" t="s">
        <v>65</v>
      </c>
      <c r="V305" s="19" t="s">
        <v>66</v>
      </c>
      <c r="W305" s="19" t="s">
        <v>67</v>
      </c>
      <c r="X305" s="19" t="s">
        <v>68</v>
      </c>
      <c r="Y305" s="21" t="s">
        <v>69</v>
      </c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2"/>
      <c r="AK305" s="22"/>
      <c r="AL305" s="22"/>
      <c r="AM305" s="21" t="s">
        <v>70</v>
      </c>
      <c r="AN305" s="21" t="s">
        <v>70</v>
      </c>
      <c r="AO305" s="21" t="str">
        <f>_xlfn.XLOOKUP(A:A,[1]TAGS!$A:$A,[1]TAGS!$BG:$BG)</f>
        <v>Montado</v>
      </c>
      <c r="AP305" s="21"/>
      <c r="AQ305" s="21"/>
      <c r="AR305" s="21"/>
      <c r="AS305" s="21"/>
      <c r="AT305" s="21"/>
      <c r="AU305" s="21"/>
    </row>
    <row r="306" spans="1:47" x14ac:dyDescent="0.35">
      <c r="A306" s="19" t="s">
        <v>1168</v>
      </c>
      <c r="B306" s="19" t="s">
        <v>52</v>
      </c>
      <c r="C306" s="19"/>
      <c r="D306" s="19" t="s">
        <v>53</v>
      </c>
      <c r="E306" s="19" t="s">
        <v>54</v>
      </c>
      <c r="F306" s="20" t="s">
        <v>300</v>
      </c>
      <c r="G306" s="20" t="s">
        <v>301</v>
      </c>
      <c r="H306" s="19" t="s">
        <v>1169</v>
      </c>
      <c r="I306" s="20" t="s">
        <v>58</v>
      </c>
      <c r="J306" s="20" t="s">
        <v>303</v>
      </c>
      <c r="K306" s="20" t="s">
        <v>1170</v>
      </c>
      <c r="L306" s="19" t="s">
        <v>61</v>
      </c>
      <c r="M306" s="19" t="s">
        <v>62</v>
      </c>
      <c r="N306" s="20" t="s">
        <v>63</v>
      </c>
      <c r="O306" s="19">
        <v>21</v>
      </c>
      <c r="P306" s="19">
        <v>3.73</v>
      </c>
      <c r="Q306" s="19">
        <v>1</v>
      </c>
      <c r="R306" s="20">
        <v>7</v>
      </c>
      <c r="S306" s="19">
        <v>6.6000000000000003E-2</v>
      </c>
      <c r="T306" s="19" t="s">
        <v>64</v>
      </c>
      <c r="U306" s="19" t="s">
        <v>65</v>
      </c>
      <c r="V306" s="19" t="s">
        <v>66</v>
      </c>
      <c r="W306" s="19" t="s">
        <v>67</v>
      </c>
      <c r="X306" s="19" t="s">
        <v>68</v>
      </c>
      <c r="Y306" s="21" t="s">
        <v>69</v>
      </c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2"/>
      <c r="AK306" s="22"/>
      <c r="AL306" s="22"/>
      <c r="AM306" s="21" t="s">
        <v>70</v>
      </c>
      <c r="AN306" s="21" t="s">
        <v>70</v>
      </c>
      <c r="AO306" s="21" t="str">
        <f>_xlfn.XLOOKUP(A:A,[1]TAGS!$A:$A,[1]TAGS!$BG:$BG)</f>
        <v>Montado</v>
      </c>
      <c r="AP306" s="21"/>
      <c r="AQ306" s="21"/>
      <c r="AR306" s="21"/>
      <c r="AS306" s="21"/>
      <c r="AT306" s="21"/>
      <c r="AU306" s="21"/>
    </row>
    <row r="307" spans="1:47" x14ac:dyDescent="0.35">
      <c r="A307" s="19" t="s">
        <v>1171</v>
      </c>
      <c r="B307" s="19" t="s">
        <v>52</v>
      </c>
      <c r="C307" s="19"/>
      <c r="D307" s="19" t="s">
        <v>53</v>
      </c>
      <c r="E307" s="19" t="s">
        <v>54</v>
      </c>
      <c r="F307" s="20" t="s">
        <v>300</v>
      </c>
      <c r="G307" s="20" t="s">
        <v>301</v>
      </c>
      <c r="H307" s="19" t="s">
        <v>1172</v>
      </c>
      <c r="I307" s="20" t="s">
        <v>58</v>
      </c>
      <c r="J307" s="20" t="s">
        <v>303</v>
      </c>
      <c r="K307" s="20" t="s">
        <v>1173</v>
      </c>
      <c r="L307" s="19" t="s">
        <v>61</v>
      </c>
      <c r="M307" s="19" t="s">
        <v>62</v>
      </c>
      <c r="N307" s="20" t="s">
        <v>63</v>
      </c>
      <c r="O307" s="19">
        <v>21</v>
      </c>
      <c r="P307" s="19">
        <v>3.73</v>
      </c>
      <c r="Q307" s="19">
        <v>1</v>
      </c>
      <c r="R307" s="20">
        <v>7</v>
      </c>
      <c r="S307" s="19">
        <v>6.6000000000000003E-2</v>
      </c>
      <c r="T307" s="19" t="s">
        <v>64</v>
      </c>
      <c r="U307" s="19" t="s">
        <v>65</v>
      </c>
      <c r="V307" s="19" t="s">
        <v>66</v>
      </c>
      <c r="W307" s="19" t="s">
        <v>67</v>
      </c>
      <c r="X307" s="19" t="s">
        <v>68</v>
      </c>
      <c r="Y307" s="21" t="s">
        <v>69</v>
      </c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2"/>
      <c r="AK307" s="22"/>
      <c r="AL307" s="22"/>
      <c r="AM307" s="21" t="s">
        <v>70</v>
      </c>
      <c r="AN307" s="21" t="s">
        <v>70</v>
      </c>
      <c r="AO307" s="21" t="str">
        <f>_xlfn.XLOOKUP(A:A,[1]TAGS!$A:$A,[1]TAGS!$BG:$BG)</f>
        <v>Montado</v>
      </c>
      <c r="AP307" s="21"/>
      <c r="AQ307" s="21"/>
      <c r="AR307" s="21"/>
      <c r="AS307" s="21"/>
      <c r="AT307" s="21"/>
      <c r="AU307" s="21"/>
    </row>
    <row r="308" spans="1:47" x14ac:dyDescent="0.35">
      <c r="A308" s="19" t="s">
        <v>1174</v>
      </c>
      <c r="B308" s="19" t="s">
        <v>52</v>
      </c>
      <c r="C308" s="19"/>
      <c r="D308" s="19" t="s">
        <v>53</v>
      </c>
      <c r="E308" s="19" t="s">
        <v>54</v>
      </c>
      <c r="F308" s="20" t="s">
        <v>269</v>
      </c>
      <c r="G308" s="20" t="s">
        <v>270</v>
      </c>
      <c r="H308" s="19" t="s">
        <v>1175</v>
      </c>
      <c r="I308" s="20" t="s">
        <v>58</v>
      </c>
      <c r="J308" s="20" t="s">
        <v>272</v>
      </c>
      <c r="K308" s="20" t="s">
        <v>1176</v>
      </c>
      <c r="L308" s="19" t="s">
        <v>61</v>
      </c>
      <c r="M308" s="19" t="s">
        <v>62</v>
      </c>
      <c r="N308" s="20" t="s">
        <v>63</v>
      </c>
      <c r="O308" s="19">
        <v>21</v>
      </c>
      <c r="P308" s="19">
        <v>3.73</v>
      </c>
      <c r="Q308" s="19">
        <v>1</v>
      </c>
      <c r="R308" s="20">
        <v>7</v>
      </c>
      <c r="S308" s="19">
        <v>6.6000000000000003E-2</v>
      </c>
      <c r="T308" s="19" t="s">
        <v>64</v>
      </c>
      <c r="U308" s="19" t="s">
        <v>65</v>
      </c>
      <c r="V308" s="19" t="s">
        <v>66</v>
      </c>
      <c r="W308" s="19" t="s">
        <v>67</v>
      </c>
      <c r="X308" s="19" t="s">
        <v>68</v>
      </c>
      <c r="Y308" s="21" t="s">
        <v>69</v>
      </c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2"/>
      <c r="AK308" s="22"/>
      <c r="AL308" s="22"/>
      <c r="AM308" s="21" t="s">
        <v>70</v>
      </c>
      <c r="AN308" s="21" t="s">
        <v>70</v>
      </c>
      <c r="AO308" s="21" t="str">
        <f>_xlfn.XLOOKUP(A:A,[1]TAGS!$A:$A,[1]TAGS!$BG:$BG)</f>
        <v>Montado</v>
      </c>
      <c r="AP308" s="21"/>
      <c r="AQ308" s="21"/>
      <c r="AR308" s="21"/>
      <c r="AS308" s="21"/>
      <c r="AT308" s="21"/>
      <c r="AU308" s="21"/>
    </row>
    <row r="309" spans="1:47" x14ac:dyDescent="0.35">
      <c r="A309" s="19" t="s">
        <v>1177</v>
      </c>
      <c r="B309" s="19" t="s">
        <v>52</v>
      </c>
      <c r="C309" s="19"/>
      <c r="D309" s="19" t="s">
        <v>53</v>
      </c>
      <c r="E309" s="19" t="s">
        <v>54</v>
      </c>
      <c r="F309" s="20" t="s">
        <v>218</v>
      </c>
      <c r="G309" s="20" t="s">
        <v>219</v>
      </c>
      <c r="H309" s="19" t="s">
        <v>1178</v>
      </c>
      <c r="I309" s="20" t="s">
        <v>58</v>
      </c>
      <c r="J309" s="20" t="s">
        <v>221</v>
      </c>
      <c r="K309" s="20" t="s">
        <v>1179</v>
      </c>
      <c r="L309" s="19" t="s">
        <v>61</v>
      </c>
      <c r="M309" s="19" t="s">
        <v>62</v>
      </c>
      <c r="N309" s="20" t="s">
        <v>63</v>
      </c>
      <c r="O309" s="19">
        <v>21</v>
      </c>
      <c r="P309" s="19">
        <v>3.73</v>
      </c>
      <c r="Q309" s="19">
        <v>1</v>
      </c>
      <c r="R309" s="20">
        <v>7</v>
      </c>
      <c r="S309" s="19">
        <v>6.6000000000000003E-2</v>
      </c>
      <c r="T309" s="19" t="s">
        <v>64</v>
      </c>
      <c r="U309" s="19" t="s">
        <v>65</v>
      </c>
      <c r="V309" s="19" t="s">
        <v>66</v>
      </c>
      <c r="W309" s="19" t="s">
        <v>67</v>
      </c>
      <c r="X309" s="19" t="s">
        <v>68</v>
      </c>
      <c r="Y309" s="21" t="s">
        <v>69</v>
      </c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2"/>
      <c r="AK309" s="22"/>
      <c r="AL309" s="22"/>
      <c r="AM309" s="21" t="s">
        <v>70</v>
      </c>
      <c r="AN309" s="21" t="s">
        <v>70</v>
      </c>
      <c r="AO309" s="21" t="str">
        <f>_xlfn.XLOOKUP(A:A,[1]TAGS!$A:$A,[1]TAGS!$BG:$BG)</f>
        <v>Montado</v>
      </c>
      <c r="AP309" s="21"/>
      <c r="AQ309" s="21"/>
      <c r="AR309" s="21"/>
      <c r="AS309" s="21"/>
      <c r="AT309" s="21"/>
      <c r="AU309" s="21"/>
    </row>
    <row r="310" spans="1:47" x14ac:dyDescent="0.35">
      <c r="A310" s="19" t="s">
        <v>1180</v>
      </c>
      <c r="B310" s="19" t="s">
        <v>52</v>
      </c>
      <c r="C310" s="19"/>
      <c r="D310" s="19" t="s">
        <v>53</v>
      </c>
      <c r="E310" s="19" t="s">
        <v>54</v>
      </c>
      <c r="F310" s="20" t="s">
        <v>218</v>
      </c>
      <c r="G310" s="20" t="s">
        <v>219</v>
      </c>
      <c r="H310" s="19" t="s">
        <v>1181</v>
      </c>
      <c r="I310" s="20" t="s">
        <v>58</v>
      </c>
      <c r="J310" s="20" t="s">
        <v>221</v>
      </c>
      <c r="K310" s="20" t="s">
        <v>1182</v>
      </c>
      <c r="L310" s="19" t="s">
        <v>61</v>
      </c>
      <c r="M310" s="19" t="s">
        <v>62</v>
      </c>
      <c r="N310" s="20" t="s">
        <v>63</v>
      </c>
      <c r="O310" s="19">
        <v>21</v>
      </c>
      <c r="P310" s="19">
        <v>3.73</v>
      </c>
      <c r="Q310" s="19">
        <v>1</v>
      </c>
      <c r="R310" s="20">
        <v>7</v>
      </c>
      <c r="S310" s="19">
        <v>6.6000000000000003E-2</v>
      </c>
      <c r="T310" s="19" t="s">
        <v>64</v>
      </c>
      <c r="U310" s="19" t="s">
        <v>65</v>
      </c>
      <c r="V310" s="19" t="s">
        <v>66</v>
      </c>
      <c r="W310" s="19" t="s">
        <v>67</v>
      </c>
      <c r="X310" s="19" t="s">
        <v>68</v>
      </c>
      <c r="Y310" s="21" t="s">
        <v>69</v>
      </c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2"/>
      <c r="AK310" s="22"/>
      <c r="AL310" s="22"/>
      <c r="AM310" s="21" t="s">
        <v>70</v>
      </c>
      <c r="AN310" s="21" t="s">
        <v>70</v>
      </c>
      <c r="AO310" s="21" t="str">
        <f>_xlfn.XLOOKUP(A:A,[1]TAGS!$A:$A,[1]TAGS!$BG:$BG)</f>
        <v>Montado</v>
      </c>
      <c r="AP310" s="21"/>
      <c r="AQ310" s="21"/>
      <c r="AR310" s="21"/>
      <c r="AS310" s="21"/>
      <c r="AT310" s="21"/>
      <c r="AU310" s="21"/>
    </row>
    <row r="311" spans="1:47" x14ac:dyDescent="0.35">
      <c r="A311" s="19" t="s">
        <v>1183</v>
      </c>
      <c r="B311" s="19" t="s">
        <v>52</v>
      </c>
      <c r="C311" s="19"/>
      <c r="D311" s="19" t="s">
        <v>53</v>
      </c>
      <c r="E311" s="19" t="s">
        <v>54</v>
      </c>
      <c r="F311" s="20" t="s">
        <v>218</v>
      </c>
      <c r="G311" s="20" t="s">
        <v>219</v>
      </c>
      <c r="H311" s="19" t="s">
        <v>1184</v>
      </c>
      <c r="I311" s="20" t="s">
        <v>58</v>
      </c>
      <c r="J311" s="20" t="s">
        <v>221</v>
      </c>
      <c r="K311" s="20" t="s">
        <v>1185</v>
      </c>
      <c r="L311" s="19" t="s">
        <v>61</v>
      </c>
      <c r="M311" s="19" t="s">
        <v>62</v>
      </c>
      <c r="N311" s="20" t="s">
        <v>63</v>
      </c>
      <c r="O311" s="19">
        <v>21</v>
      </c>
      <c r="P311" s="19">
        <v>3.73</v>
      </c>
      <c r="Q311" s="19">
        <v>1</v>
      </c>
      <c r="R311" s="20">
        <v>7</v>
      </c>
      <c r="S311" s="19">
        <v>6.6000000000000003E-2</v>
      </c>
      <c r="T311" s="19" t="s">
        <v>64</v>
      </c>
      <c r="U311" s="19" t="s">
        <v>65</v>
      </c>
      <c r="V311" s="19" t="s">
        <v>66</v>
      </c>
      <c r="W311" s="19" t="s">
        <v>67</v>
      </c>
      <c r="X311" s="19" t="s">
        <v>68</v>
      </c>
      <c r="Y311" s="21" t="s">
        <v>69</v>
      </c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2"/>
      <c r="AK311" s="22"/>
      <c r="AL311" s="22"/>
      <c r="AM311" s="21" t="s">
        <v>70</v>
      </c>
      <c r="AN311" s="21" t="s">
        <v>70</v>
      </c>
      <c r="AO311" s="21" t="str">
        <f>_xlfn.XLOOKUP(A:A,[1]TAGS!$A:$A,[1]TAGS!$BG:$BG)</f>
        <v>Montado</v>
      </c>
      <c r="AP311" s="21"/>
      <c r="AQ311" s="21"/>
      <c r="AR311" s="21"/>
      <c r="AS311" s="21"/>
      <c r="AT311" s="21"/>
      <c r="AU311" s="21"/>
    </row>
    <row r="312" spans="1:47" x14ac:dyDescent="0.35">
      <c r="A312" s="19" t="s">
        <v>1186</v>
      </c>
      <c r="B312" s="19" t="s">
        <v>52</v>
      </c>
      <c r="C312" s="19"/>
      <c r="D312" s="19" t="s">
        <v>53</v>
      </c>
      <c r="E312" s="19" t="s">
        <v>54</v>
      </c>
      <c r="F312" s="20" t="s">
        <v>95</v>
      </c>
      <c r="G312" s="20" t="s">
        <v>96</v>
      </c>
      <c r="H312" s="19" t="s">
        <v>1187</v>
      </c>
      <c r="I312" s="20" t="s">
        <v>58</v>
      </c>
      <c r="J312" s="20" t="s">
        <v>98</v>
      </c>
      <c r="K312" s="20" t="s">
        <v>1188</v>
      </c>
      <c r="L312" s="19" t="s">
        <v>61</v>
      </c>
      <c r="M312" s="19" t="s">
        <v>62</v>
      </c>
      <c r="N312" s="20" t="s">
        <v>63</v>
      </c>
      <c r="O312" s="19">
        <v>21</v>
      </c>
      <c r="P312" s="19">
        <v>3.73</v>
      </c>
      <c r="Q312" s="19">
        <v>1</v>
      </c>
      <c r="R312" s="20">
        <v>7</v>
      </c>
      <c r="S312" s="19">
        <v>6.6000000000000003E-2</v>
      </c>
      <c r="T312" s="19" t="s">
        <v>64</v>
      </c>
      <c r="U312" s="19" t="s">
        <v>65</v>
      </c>
      <c r="V312" s="19" t="s">
        <v>66</v>
      </c>
      <c r="W312" s="19" t="s">
        <v>67</v>
      </c>
      <c r="X312" s="19" t="s">
        <v>68</v>
      </c>
      <c r="Y312" s="21" t="s">
        <v>69</v>
      </c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2"/>
      <c r="AK312" s="22"/>
      <c r="AL312" s="22"/>
      <c r="AM312" s="21" t="s">
        <v>70</v>
      </c>
      <c r="AN312" s="21" t="s">
        <v>70</v>
      </c>
      <c r="AO312" s="21" t="str">
        <f>_xlfn.XLOOKUP(A:A,[1]TAGS!$A:$A,[1]TAGS!$BG:$BG)</f>
        <v>Montado</v>
      </c>
      <c r="AP312" s="21"/>
      <c r="AQ312" s="21"/>
      <c r="AR312" s="21"/>
      <c r="AS312" s="21"/>
      <c r="AT312" s="21"/>
      <c r="AU312" s="21"/>
    </row>
    <row r="313" spans="1:47" x14ac:dyDescent="0.35">
      <c r="A313" s="19" t="s">
        <v>1189</v>
      </c>
      <c r="B313" s="19" t="s">
        <v>52</v>
      </c>
      <c r="C313" s="19"/>
      <c r="D313" s="19" t="s">
        <v>53</v>
      </c>
      <c r="E313" s="19" t="s">
        <v>54</v>
      </c>
      <c r="F313" s="20" t="s">
        <v>470</v>
      </c>
      <c r="G313" s="20" t="s">
        <v>471</v>
      </c>
      <c r="H313" s="19" t="s">
        <v>1190</v>
      </c>
      <c r="I313" s="20" t="s">
        <v>58</v>
      </c>
      <c r="J313" s="20" t="s">
        <v>473</v>
      </c>
      <c r="K313" s="20" t="s">
        <v>1191</v>
      </c>
      <c r="L313" s="19" t="s">
        <v>61</v>
      </c>
      <c r="M313" s="19" t="s">
        <v>62</v>
      </c>
      <c r="N313" s="20" t="s">
        <v>63</v>
      </c>
      <c r="O313" s="19">
        <v>21</v>
      </c>
      <c r="P313" s="19">
        <v>3.73</v>
      </c>
      <c r="Q313" s="19">
        <v>1</v>
      </c>
      <c r="R313" s="20">
        <v>7</v>
      </c>
      <c r="S313" s="19">
        <v>6.6000000000000003E-2</v>
      </c>
      <c r="T313" s="19" t="s">
        <v>64</v>
      </c>
      <c r="U313" s="19" t="s">
        <v>65</v>
      </c>
      <c r="V313" s="19" t="s">
        <v>66</v>
      </c>
      <c r="W313" s="19" t="s">
        <v>67</v>
      </c>
      <c r="X313" s="19" t="s">
        <v>68</v>
      </c>
      <c r="Y313" s="21" t="s">
        <v>69</v>
      </c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2"/>
      <c r="AK313" s="22"/>
      <c r="AL313" s="22"/>
      <c r="AM313" s="21" t="s">
        <v>70</v>
      </c>
      <c r="AN313" s="21" t="s">
        <v>70</v>
      </c>
      <c r="AO313" s="21" t="str">
        <f>_xlfn.XLOOKUP(A:A,[1]TAGS!$A:$A,[1]TAGS!$BG:$BG)</f>
        <v>Montado</v>
      </c>
      <c r="AP313" s="21"/>
      <c r="AQ313" s="21"/>
      <c r="AR313" s="21"/>
      <c r="AS313" s="21"/>
      <c r="AT313" s="21"/>
      <c r="AU313" s="21"/>
    </row>
    <row r="314" spans="1:47" x14ac:dyDescent="0.35">
      <c r="A314" s="19" t="s">
        <v>1192</v>
      </c>
      <c r="B314" s="19" t="s">
        <v>52</v>
      </c>
      <c r="C314" s="19"/>
      <c r="D314" s="19" t="s">
        <v>53</v>
      </c>
      <c r="E314" s="19" t="s">
        <v>54</v>
      </c>
      <c r="F314" s="20" t="s">
        <v>480</v>
      </c>
      <c r="G314" s="20" t="s">
        <v>481</v>
      </c>
      <c r="H314" s="19" t="s">
        <v>1193</v>
      </c>
      <c r="I314" s="20" t="s">
        <v>58</v>
      </c>
      <c r="J314" s="20" t="s">
        <v>483</v>
      </c>
      <c r="K314" s="20" t="s">
        <v>1194</v>
      </c>
      <c r="L314" s="19" t="s">
        <v>61</v>
      </c>
      <c r="M314" s="19" t="s">
        <v>62</v>
      </c>
      <c r="N314" s="20" t="s">
        <v>63</v>
      </c>
      <c r="O314" s="19">
        <v>21</v>
      </c>
      <c r="P314" s="19">
        <v>3.73</v>
      </c>
      <c r="Q314" s="19">
        <v>1</v>
      </c>
      <c r="R314" s="20">
        <v>7</v>
      </c>
      <c r="S314" s="19">
        <v>6.6000000000000003E-2</v>
      </c>
      <c r="T314" s="19" t="s">
        <v>64</v>
      </c>
      <c r="U314" s="19" t="s">
        <v>65</v>
      </c>
      <c r="V314" s="19" t="s">
        <v>66</v>
      </c>
      <c r="W314" s="19" t="s">
        <v>67</v>
      </c>
      <c r="X314" s="19" t="s">
        <v>68</v>
      </c>
      <c r="Y314" s="21" t="s">
        <v>69</v>
      </c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2"/>
      <c r="AK314" s="22"/>
      <c r="AL314" s="22"/>
      <c r="AM314" s="21" t="s">
        <v>70</v>
      </c>
      <c r="AN314" s="21" t="s">
        <v>70</v>
      </c>
      <c r="AO314" s="21" t="str">
        <f>_xlfn.XLOOKUP(A:A,[1]TAGS!$A:$A,[1]TAGS!$BG:$BG)</f>
        <v>Montado</v>
      </c>
      <c r="AP314" s="21"/>
      <c r="AQ314" s="21"/>
      <c r="AR314" s="21"/>
      <c r="AS314" s="21"/>
      <c r="AT314" s="21"/>
      <c r="AU314" s="21"/>
    </row>
    <row r="315" spans="1:47" x14ac:dyDescent="0.35">
      <c r="A315" s="19" t="s">
        <v>1195</v>
      </c>
      <c r="B315" s="19" t="s">
        <v>52</v>
      </c>
      <c r="C315" s="19"/>
      <c r="D315" s="19" t="s">
        <v>53</v>
      </c>
      <c r="E315" s="19" t="s">
        <v>54</v>
      </c>
      <c r="F315" s="20" t="s">
        <v>937</v>
      </c>
      <c r="G315" s="20" t="s">
        <v>938</v>
      </c>
      <c r="H315" s="19" t="s">
        <v>1196</v>
      </c>
      <c r="I315" s="20" t="s">
        <v>58</v>
      </c>
      <c r="J315" s="20" t="s">
        <v>940</v>
      </c>
      <c r="K315" s="20" t="s">
        <v>1197</v>
      </c>
      <c r="L315" s="19" t="s">
        <v>61</v>
      </c>
      <c r="M315" s="19" t="s">
        <v>62</v>
      </c>
      <c r="N315" s="20" t="s">
        <v>63</v>
      </c>
      <c r="O315" s="19">
        <v>21</v>
      </c>
      <c r="P315" s="19">
        <v>3.73</v>
      </c>
      <c r="Q315" s="19">
        <v>1</v>
      </c>
      <c r="R315" s="20">
        <v>7</v>
      </c>
      <c r="S315" s="19">
        <v>6.6000000000000003E-2</v>
      </c>
      <c r="T315" s="19" t="s">
        <v>64</v>
      </c>
      <c r="U315" s="19" t="s">
        <v>65</v>
      </c>
      <c r="V315" s="19" t="s">
        <v>66</v>
      </c>
      <c r="W315" s="19" t="s">
        <v>67</v>
      </c>
      <c r="X315" s="19" t="s">
        <v>68</v>
      </c>
      <c r="Y315" s="21" t="s">
        <v>69</v>
      </c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2"/>
      <c r="AK315" s="22"/>
      <c r="AL315" s="22"/>
      <c r="AM315" s="21" t="s">
        <v>70</v>
      </c>
      <c r="AN315" s="21" t="s">
        <v>70</v>
      </c>
      <c r="AO315" s="21" t="str">
        <f>_xlfn.XLOOKUP(A:A,[1]TAGS!$A:$A,[1]TAGS!$BG:$BG)</f>
        <v>Montado</v>
      </c>
      <c r="AP315" s="21"/>
      <c r="AQ315" s="21"/>
      <c r="AR315" s="21"/>
      <c r="AS315" s="21"/>
      <c r="AT315" s="21"/>
      <c r="AU315" s="21"/>
    </row>
    <row r="316" spans="1:47" x14ac:dyDescent="0.35">
      <c r="A316" s="19" t="s">
        <v>1198</v>
      </c>
      <c r="B316" s="19" t="s">
        <v>52</v>
      </c>
      <c r="C316" s="19"/>
      <c r="D316" s="19" t="s">
        <v>53</v>
      </c>
      <c r="E316" s="19" t="s">
        <v>54</v>
      </c>
      <c r="F316" s="20" t="s">
        <v>101</v>
      </c>
      <c r="G316" s="20" t="s">
        <v>102</v>
      </c>
      <c r="H316" s="19" t="s">
        <v>1199</v>
      </c>
      <c r="I316" s="20" t="s">
        <v>58</v>
      </c>
      <c r="J316" s="20" t="s">
        <v>104</v>
      </c>
      <c r="K316" s="20" t="s">
        <v>1200</v>
      </c>
      <c r="L316" s="19" t="s">
        <v>61</v>
      </c>
      <c r="M316" s="19" t="s">
        <v>62</v>
      </c>
      <c r="N316" s="20" t="s">
        <v>63</v>
      </c>
      <c r="O316" s="19">
        <v>21</v>
      </c>
      <c r="P316" s="19">
        <v>3.73</v>
      </c>
      <c r="Q316" s="19">
        <v>1</v>
      </c>
      <c r="R316" s="20">
        <v>7</v>
      </c>
      <c r="S316" s="19">
        <v>6.6000000000000003E-2</v>
      </c>
      <c r="T316" s="19" t="s">
        <v>64</v>
      </c>
      <c r="U316" s="19" t="s">
        <v>65</v>
      </c>
      <c r="V316" s="19" t="s">
        <v>66</v>
      </c>
      <c r="W316" s="19" t="s">
        <v>67</v>
      </c>
      <c r="X316" s="19" t="s">
        <v>68</v>
      </c>
      <c r="Y316" s="21" t="s">
        <v>69</v>
      </c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2"/>
      <c r="AK316" s="22"/>
      <c r="AL316" s="22"/>
      <c r="AM316" s="21" t="s">
        <v>70</v>
      </c>
      <c r="AN316" s="21" t="s">
        <v>70</v>
      </c>
      <c r="AO316" s="21" t="str">
        <f>_xlfn.XLOOKUP(A:A,[1]TAGS!$A:$A,[1]TAGS!$BG:$BG)</f>
        <v>Montado</v>
      </c>
      <c r="AP316" s="21"/>
      <c r="AQ316" s="21"/>
      <c r="AR316" s="21"/>
      <c r="AS316" s="21"/>
      <c r="AT316" s="21"/>
      <c r="AU316" s="21"/>
    </row>
    <row r="317" spans="1:47" x14ac:dyDescent="0.35">
      <c r="A317" s="19" t="s">
        <v>1201</v>
      </c>
      <c r="B317" s="19" t="s">
        <v>52</v>
      </c>
      <c r="C317" s="19"/>
      <c r="D317" s="19" t="s">
        <v>53</v>
      </c>
      <c r="E317" s="19" t="s">
        <v>54</v>
      </c>
      <c r="F317" s="20" t="s">
        <v>116</v>
      </c>
      <c r="G317" s="20" t="s">
        <v>117</v>
      </c>
      <c r="H317" s="19" t="s">
        <v>1202</v>
      </c>
      <c r="I317" s="20" t="s">
        <v>58</v>
      </c>
      <c r="J317" s="20" t="s">
        <v>119</v>
      </c>
      <c r="K317" s="20" t="s">
        <v>1203</v>
      </c>
      <c r="L317" s="19" t="s">
        <v>61</v>
      </c>
      <c r="M317" s="19" t="s">
        <v>62</v>
      </c>
      <c r="N317" s="20" t="s">
        <v>63</v>
      </c>
      <c r="O317" s="19">
        <v>21</v>
      </c>
      <c r="P317" s="19">
        <v>3.73</v>
      </c>
      <c r="Q317" s="19">
        <v>1</v>
      </c>
      <c r="R317" s="20">
        <v>7</v>
      </c>
      <c r="S317" s="19">
        <v>6.6000000000000003E-2</v>
      </c>
      <c r="T317" s="19" t="s">
        <v>64</v>
      </c>
      <c r="U317" s="19" t="s">
        <v>65</v>
      </c>
      <c r="V317" s="19" t="s">
        <v>66</v>
      </c>
      <c r="W317" s="19" t="s">
        <v>67</v>
      </c>
      <c r="X317" s="19" t="s">
        <v>68</v>
      </c>
      <c r="Y317" s="21" t="s">
        <v>69</v>
      </c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2"/>
      <c r="AK317" s="22"/>
      <c r="AL317" s="22"/>
      <c r="AM317" s="21" t="s">
        <v>70</v>
      </c>
      <c r="AN317" s="21" t="s">
        <v>70</v>
      </c>
      <c r="AO317" s="21" t="str">
        <f>_xlfn.XLOOKUP(A:A,[1]TAGS!$A:$A,[1]TAGS!$BG:$BG)</f>
        <v>Montado</v>
      </c>
      <c r="AP317" s="21"/>
      <c r="AQ317" s="21"/>
      <c r="AR317" s="21"/>
      <c r="AS317" s="21"/>
      <c r="AT317" s="21"/>
      <c r="AU317" s="21"/>
    </row>
    <row r="318" spans="1:47" x14ac:dyDescent="0.35">
      <c r="A318" s="19" t="s">
        <v>1204</v>
      </c>
      <c r="B318" s="19" t="s">
        <v>52</v>
      </c>
      <c r="C318" s="19"/>
      <c r="D318" s="19" t="s">
        <v>53</v>
      </c>
      <c r="E318" s="19" t="s">
        <v>54</v>
      </c>
      <c r="F318" s="20" t="s">
        <v>341</v>
      </c>
      <c r="G318" s="20" t="s">
        <v>1205</v>
      </c>
      <c r="H318" s="19" t="s">
        <v>1206</v>
      </c>
      <c r="I318" s="20" t="s">
        <v>58</v>
      </c>
      <c r="J318" s="20" t="s">
        <v>1207</v>
      </c>
      <c r="K318" s="20" t="s">
        <v>1208</v>
      </c>
      <c r="L318" s="19" t="s">
        <v>61</v>
      </c>
      <c r="M318" s="19" t="s">
        <v>62</v>
      </c>
      <c r="N318" s="20" t="s">
        <v>63</v>
      </c>
      <c r="O318" s="19">
        <v>21</v>
      </c>
      <c r="P318" s="19">
        <v>3.73</v>
      </c>
      <c r="Q318" s="19">
        <v>1</v>
      </c>
      <c r="R318" s="20">
        <v>7</v>
      </c>
      <c r="S318" s="19">
        <v>6.6000000000000003E-2</v>
      </c>
      <c r="T318" s="19" t="s">
        <v>64</v>
      </c>
      <c r="U318" s="19" t="s">
        <v>65</v>
      </c>
      <c r="V318" s="19" t="s">
        <v>66</v>
      </c>
      <c r="W318" s="19" t="s">
        <v>67</v>
      </c>
      <c r="X318" s="19" t="s">
        <v>68</v>
      </c>
      <c r="Y318" s="21" t="s">
        <v>69</v>
      </c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2"/>
      <c r="AK318" s="22"/>
      <c r="AL318" s="22"/>
      <c r="AM318" s="21" t="s">
        <v>70</v>
      </c>
      <c r="AN318" s="21" t="s">
        <v>70</v>
      </c>
      <c r="AO318" s="21" t="str">
        <f>_xlfn.XLOOKUP(A:A,[1]TAGS!$A:$A,[1]TAGS!$BG:$BG)</f>
        <v>Montado</v>
      </c>
      <c r="AP318" s="21"/>
      <c r="AQ318" s="21"/>
      <c r="AR318" s="21"/>
      <c r="AS318" s="21"/>
      <c r="AT318" s="21"/>
      <c r="AU318" s="21"/>
    </row>
    <row r="319" spans="1:47" x14ac:dyDescent="0.35">
      <c r="A319" s="19" t="s">
        <v>1209</v>
      </c>
      <c r="B319" s="19" t="s">
        <v>52</v>
      </c>
      <c r="C319" s="19"/>
      <c r="D319" s="19" t="s">
        <v>53</v>
      </c>
      <c r="E319" s="19" t="s">
        <v>54</v>
      </c>
      <c r="F319" s="20" t="s">
        <v>341</v>
      </c>
      <c r="G319" s="20" t="s">
        <v>342</v>
      </c>
      <c r="H319" s="19" t="s">
        <v>1210</v>
      </c>
      <c r="I319" s="20" t="s">
        <v>58</v>
      </c>
      <c r="J319" s="20" t="s">
        <v>344</v>
      </c>
      <c r="K319" s="20" t="s">
        <v>1211</v>
      </c>
      <c r="L319" s="19" t="s">
        <v>61</v>
      </c>
      <c r="M319" s="19" t="s">
        <v>62</v>
      </c>
      <c r="N319" s="20" t="s">
        <v>63</v>
      </c>
      <c r="O319" s="19">
        <v>21</v>
      </c>
      <c r="P319" s="19">
        <v>3.73</v>
      </c>
      <c r="Q319" s="19">
        <v>1</v>
      </c>
      <c r="R319" s="20">
        <v>7</v>
      </c>
      <c r="S319" s="19">
        <v>6.6000000000000003E-2</v>
      </c>
      <c r="T319" s="19" t="s">
        <v>64</v>
      </c>
      <c r="U319" s="19" t="s">
        <v>65</v>
      </c>
      <c r="V319" s="19" t="s">
        <v>66</v>
      </c>
      <c r="W319" s="19" t="s">
        <v>67</v>
      </c>
      <c r="X319" s="19" t="s">
        <v>68</v>
      </c>
      <c r="Y319" s="21" t="s">
        <v>69</v>
      </c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2"/>
      <c r="AK319" s="22"/>
      <c r="AL319" s="22"/>
      <c r="AM319" s="21" t="s">
        <v>70</v>
      </c>
      <c r="AN319" s="21" t="s">
        <v>70</v>
      </c>
      <c r="AO319" s="21" t="str">
        <f>_xlfn.XLOOKUP(A:A,[1]TAGS!$A:$A,[1]TAGS!$BG:$BG)</f>
        <v>Montado</v>
      </c>
      <c r="AP319" s="21"/>
      <c r="AQ319" s="21"/>
      <c r="AR319" s="21"/>
      <c r="AS319" s="21"/>
      <c r="AT319" s="21"/>
      <c r="AU319" s="21"/>
    </row>
    <row r="320" spans="1:47" x14ac:dyDescent="0.35">
      <c r="A320" s="19" t="s">
        <v>1212</v>
      </c>
      <c r="B320" s="19" t="s">
        <v>52</v>
      </c>
      <c r="C320" s="19"/>
      <c r="D320" s="19" t="s">
        <v>53</v>
      </c>
      <c r="E320" s="19" t="s">
        <v>54</v>
      </c>
      <c r="F320" s="20" t="s">
        <v>341</v>
      </c>
      <c r="G320" s="20" t="s">
        <v>866</v>
      </c>
      <c r="H320" s="19" t="s">
        <v>1213</v>
      </c>
      <c r="I320" s="20" t="s">
        <v>124</v>
      </c>
      <c r="J320" s="20" t="s">
        <v>868</v>
      </c>
      <c r="K320" s="20" t="s">
        <v>1214</v>
      </c>
      <c r="L320" s="19" t="s">
        <v>61</v>
      </c>
      <c r="M320" s="19" t="s">
        <v>62</v>
      </c>
      <c r="N320" s="20" t="s">
        <v>63</v>
      </c>
      <c r="O320" s="19">
        <v>21</v>
      </c>
      <c r="P320" s="19">
        <v>3.73</v>
      </c>
      <c r="Q320" s="19">
        <v>1</v>
      </c>
      <c r="R320" s="20">
        <v>7</v>
      </c>
      <c r="S320" s="19">
        <v>6.6000000000000003E-2</v>
      </c>
      <c r="T320" s="19" t="s">
        <v>64</v>
      </c>
      <c r="U320" s="19" t="s">
        <v>65</v>
      </c>
      <c r="V320" s="19" t="s">
        <v>66</v>
      </c>
      <c r="W320" s="19" t="s">
        <v>67</v>
      </c>
      <c r="X320" s="19" t="s">
        <v>68</v>
      </c>
      <c r="Y320" s="21" t="s">
        <v>69</v>
      </c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2"/>
      <c r="AK320" s="22"/>
      <c r="AL320" s="22"/>
      <c r="AM320" s="21" t="s">
        <v>70</v>
      </c>
      <c r="AN320" s="21" t="s">
        <v>70</v>
      </c>
      <c r="AO320" s="21" t="str">
        <f>_xlfn.XLOOKUP(A:A,[1]TAGS!$A:$A,[1]TAGS!$BG:$BG)</f>
        <v>Montado</v>
      </c>
      <c r="AP320" s="21"/>
      <c r="AQ320" s="21"/>
      <c r="AR320" s="21"/>
      <c r="AS320" s="21"/>
      <c r="AT320" s="21"/>
      <c r="AU320" s="21"/>
    </row>
    <row r="321" spans="1:47" x14ac:dyDescent="0.35">
      <c r="A321" s="19" t="s">
        <v>1215</v>
      </c>
      <c r="B321" s="19" t="s">
        <v>52</v>
      </c>
      <c r="C321" s="19"/>
      <c r="D321" s="19" t="s">
        <v>53</v>
      </c>
      <c r="E321" s="19" t="s">
        <v>54</v>
      </c>
      <c r="F321" s="20" t="s">
        <v>341</v>
      </c>
      <c r="G321" s="20" t="s">
        <v>347</v>
      </c>
      <c r="H321" s="19" t="s">
        <v>1216</v>
      </c>
      <c r="I321" s="20" t="s">
        <v>124</v>
      </c>
      <c r="J321" s="20" t="s">
        <v>349</v>
      </c>
      <c r="K321" s="20" t="s">
        <v>1217</v>
      </c>
      <c r="L321" s="19" t="s">
        <v>61</v>
      </c>
      <c r="M321" s="19" t="s">
        <v>62</v>
      </c>
      <c r="N321" s="20" t="s">
        <v>63</v>
      </c>
      <c r="O321" s="19">
        <v>21</v>
      </c>
      <c r="P321" s="19">
        <v>3.73</v>
      </c>
      <c r="Q321" s="19">
        <v>1</v>
      </c>
      <c r="R321" s="20">
        <v>7</v>
      </c>
      <c r="S321" s="19">
        <v>6.6000000000000003E-2</v>
      </c>
      <c r="T321" s="19" t="s">
        <v>64</v>
      </c>
      <c r="U321" s="19" t="s">
        <v>65</v>
      </c>
      <c r="V321" s="19" t="s">
        <v>66</v>
      </c>
      <c r="W321" s="19" t="s">
        <v>67</v>
      </c>
      <c r="X321" s="19" t="s">
        <v>68</v>
      </c>
      <c r="Y321" s="21" t="s">
        <v>69</v>
      </c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2"/>
      <c r="AK321" s="22"/>
      <c r="AL321" s="22"/>
      <c r="AM321" s="21" t="s">
        <v>70</v>
      </c>
      <c r="AN321" s="21" t="s">
        <v>70</v>
      </c>
      <c r="AO321" s="21" t="str">
        <f>_xlfn.XLOOKUP(A:A,[1]TAGS!$A:$A,[1]TAGS!$BG:$BG)</f>
        <v>Montado</v>
      </c>
      <c r="AP321" s="21"/>
      <c r="AQ321" s="21"/>
      <c r="AR321" s="21"/>
      <c r="AS321" s="21"/>
      <c r="AT321" s="21"/>
      <c r="AU321" s="21"/>
    </row>
    <row r="322" spans="1:47" x14ac:dyDescent="0.35">
      <c r="A322" s="19" t="s">
        <v>1218</v>
      </c>
      <c r="B322" s="19" t="s">
        <v>52</v>
      </c>
      <c r="C322" s="19"/>
      <c r="D322" s="19" t="s">
        <v>53</v>
      </c>
      <c r="E322" s="19" t="s">
        <v>54</v>
      </c>
      <c r="F322" s="20" t="s">
        <v>116</v>
      </c>
      <c r="G322" s="20" t="s">
        <v>117</v>
      </c>
      <c r="H322" s="19" t="s">
        <v>1219</v>
      </c>
      <c r="I322" s="20" t="s">
        <v>58</v>
      </c>
      <c r="J322" s="20" t="s">
        <v>119</v>
      </c>
      <c r="K322" s="20" t="s">
        <v>1220</v>
      </c>
      <c r="L322" s="19" t="s">
        <v>61</v>
      </c>
      <c r="M322" s="19" t="s">
        <v>62</v>
      </c>
      <c r="N322" s="20" t="s">
        <v>63</v>
      </c>
      <c r="O322" s="19">
        <v>21</v>
      </c>
      <c r="P322" s="19">
        <v>3.73</v>
      </c>
      <c r="Q322" s="19">
        <v>1</v>
      </c>
      <c r="R322" s="20">
        <v>7</v>
      </c>
      <c r="S322" s="19">
        <v>6.6000000000000003E-2</v>
      </c>
      <c r="T322" s="19" t="s">
        <v>64</v>
      </c>
      <c r="U322" s="19" t="s">
        <v>65</v>
      </c>
      <c r="V322" s="19" t="s">
        <v>66</v>
      </c>
      <c r="W322" s="19" t="s">
        <v>67</v>
      </c>
      <c r="X322" s="19" t="s">
        <v>68</v>
      </c>
      <c r="Y322" s="21" t="s">
        <v>69</v>
      </c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2"/>
      <c r="AK322" s="22"/>
      <c r="AL322" s="22"/>
      <c r="AM322" s="21" t="s">
        <v>70</v>
      </c>
      <c r="AN322" s="21" t="s">
        <v>70</v>
      </c>
      <c r="AO322" s="21" t="str">
        <f>_xlfn.XLOOKUP(A:A,[1]TAGS!$A:$A,[1]TAGS!$BG:$BG)</f>
        <v>Montado</v>
      </c>
      <c r="AP322" s="21"/>
      <c r="AQ322" s="21"/>
      <c r="AR322" s="21"/>
      <c r="AS322" s="21"/>
      <c r="AT322" s="21"/>
      <c r="AU322" s="21"/>
    </row>
    <row r="323" spans="1:47" x14ac:dyDescent="0.35">
      <c r="A323" s="19" t="s">
        <v>1221</v>
      </c>
      <c r="B323" s="19" t="s">
        <v>52</v>
      </c>
      <c r="C323" s="19"/>
      <c r="D323" s="19" t="s">
        <v>53</v>
      </c>
      <c r="E323" s="19" t="s">
        <v>54</v>
      </c>
      <c r="F323" s="20" t="s">
        <v>116</v>
      </c>
      <c r="G323" s="20" t="s">
        <v>117</v>
      </c>
      <c r="H323" s="19" t="s">
        <v>1222</v>
      </c>
      <c r="I323" s="20" t="s">
        <v>58</v>
      </c>
      <c r="J323" s="20" t="s">
        <v>119</v>
      </c>
      <c r="K323" s="20" t="s">
        <v>1223</v>
      </c>
      <c r="L323" s="19" t="s">
        <v>61</v>
      </c>
      <c r="M323" s="19" t="s">
        <v>62</v>
      </c>
      <c r="N323" s="20" t="s">
        <v>63</v>
      </c>
      <c r="O323" s="19">
        <v>21</v>
      </c>
      <c r="P323" s="19">
        <v>3.73</v>
      </c>
      <c r="Q323" s="19">
        <v>1</v>
      </c>
      <c r="R323" s="20">
        <v>7</v>
      </c>
      <c r="S323" s="19">
        <v>6.6000000000000003E-2</v>
      </c>
      <c r="T323" s="19" t="s">
        <v>64</v>
      </c>
      <c r="U323" s="19" t="s">
        <v>65</v>
      </c>
      <c r="V323" s="19" t="s">
        <v>66</v>
      </c>
      <c r="W323" s="19" t="s">
        <v>67</v>
      </c>
      <c r="X323" s="19" t="s">
        <v>68</v>
      </c>
      <c r="Y323" s="21" t="s">
        <v>69</v>
      </c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2"/>
      <c r="AK323" s="22"/>
      <c r="AL323" s="22"/>
      <c r="AM323" s="21" t="s">
        <v>70</v>
      </c>
      <c r="AN323" s="21" t="s">
        <v>70</v>
      </c>
      <c r="AO323" s="21" t="str">
        <f>_xlfn.XLOOKUP(A:A,[1]TAGS!$A:$A,[1]TAGS!$BG:$BG)</f>
        <v>Montado</v>
      </c>
      <c r="AP323" s="21"/>
      <c r="AQ323" s="21"/>
      <c r="AR323" s="21"/>
      <c r="AS323" s="21"/>
      <c r="AT323" s="21"/>
      <c r="AU323" s="21"/>
    </row>
    <row r="324" spans="1:47" x14ac:dyDescent="0.35">
      <c r="A324" s="19" t="s">
        <v>1224</v>
      </c>
      <c r="B324" s="19" t="s">
        <v>52</v>
      </c>
      <c r="C324" s="19"/>
      <c r="D324" s="19" t="s">
        <v>53</v>
      </c>
      <c r="E324" s="19" t="s">
        <v>54</v>
      </c>
      <c r="F324" s="20" t="s">
        <v>116</v>
      </c>
      <c r="G324" s="20" t="s">
        <v>122</v>
      </c>
      <c r="H324" s="19" t="s">
        <v>1225</v>
      </c>
      <c r="I324" s="20" t="s">
        <v>124</v>
      </c>
      <c r="J324" s="20" t="s">
        <v>125</v>
      </c>
      <c r="K324" s="20" t="s">
        <v>1226</v>
      </c>
      <c r="L324" s="19" t="s">
        <v>61</v>
      </c>
      <c r="M324" s="19" t="s">
        <v>62</v>
      </c>
      <c r="N324" s="20" t="s">
        <v>63</v>
      </c>
      <c r="O324" s="19">
        <v>21</v>
      </c>
      <c r="P324" s="19">
        <v>3.73</v>
      </c>
      <c r="Q324" s="19">
        <v>1</v>
      </c>
      <c r="R324" s="20">
        <v>7</v>
      </c>
      <c r="S324" s="19">
        <v>6.6000000000000003E-2</v>
      </c>
      <c r="T324" s="19" t="s">
        <v>64</v>
      </c>
      <c r="U324" s="19" t="s">
        <v>65</v>
      </c>
      <c r="V324" s="19" t="s">
        <v>66</v>
      </c>
      <c r="W324" s="19" t="s">
        <v>67</v>
      </c>
      <c r="X324" s="19" t="s">
        <v>68</v>
      </c>
      <c r="Y324" s="21" t="s">
        <v>69</v>
      </c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2"/>
      <c r="AK324" s="22"/>
      <c r="AL324" s="22"/>
      <c r="AM324" s="21" t="s">
        <v>70</v>
      </c>
      <c r="AN324" s="21" t="s">
        <v>70</v>
      </c>
      <c r="AO324" s="21" t="str">
        <f>_xlfn.XLOOKUP(A:A,[1]TAGS!$A:$A,[1]TAGS!$BG:$BG)</f>
        <v>Montado</v>
      </c>
      <c r="AP324" s="21"/>
      <c r="AQ324" s="21"/>
      <c r="AR324" s="21"/>
      <c r="AS324" s="21"/>
      <c r="AT324" s="21"/>
      <c r="AU324" s="21"/>
    </row>
    <row r="325" spans="1:47" x14ac:dyDescent="0.35">
      <c r="A325" s="19" t="s">
        <v>1227</v>
      </c>
      <c r="B325" s="19" t="s">
        <v>52</v>
      </c>
      <c r="C325" s="19"/>
      <c r="D325" s="19" t="s">
        <v>53</v>
      </c>
      <c r="E325" s="19" t="s">
        <v>54</v>
      </c>
      <c r="F325" s="20" t="s">
        <v>116</v>
      </c>
      <c r="G325" s="20" t="s">
        <v>122</v>
      </c>
      <c r="H325" s="19" t="s">
        <v>1228</v>
      </c>
      <c r="I325" s="20" t="s">
        <v>124</v>
      </c>
      <c r="J325" s="20" t="s">
        <v>125</v>
      </c>
      <c r="K325" s="20" t="s">
        <v>1229</v>
      </c>
      <c r="L325" s="19" t="s">
        <v>61</v>
      </c>
      <c r="M325" s="19" t="s">
        <v>62</v>
      </c>
      <c r="N325" s="20" t="s">
        <v>63</v>
      </c>
      <c r="O325" s="19">
        <v>21</v>
      </c>
      <c r="P325" s="19">
        <v>3.73</v>
      </c>
      <c r="Q325" s="19">
        <v>1</v>
      </c>
      <c r="R325" s="20">
        <v>7</v>
      </c>
      <c r="S325" s="19">
        <v>6.6000000000000003E-2</v>
      </c>
      <c r="T325" s="19" t="s">
        <v>64</v>
      </c>
      <c r="U325" s="19" t="s">
        <v>65</v>
      </c>
      <c r="V325" s="19" t="s">
        <v>66</v>
      </c>
      <c r="W325" s="19" t="s">
        <v>67</v>
      </c>
      <c r="X325" s="19" t="s">
        <v>68</v>
      </c>
      <c r="Y325" s="21" t="s">
        <v>69</v>
      </c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2"/>
      <c r="AK325" s="22"/>
      <c r="AL325" s="22"/>
      <c r="AM325" s="21" t="s">
        <v>70</v>
      </c>
      <c r="AN325" s="21" t="s">
        <v>70</v>
      </c>
      <c r="AO325" s="21" t="str">
        <f>_xlfn.XLOOKUP(A:A,[1]TAGS!$A:$A,[1]TAGS!$BG:$BG)</f>
        <v>Montado</v>
      </c>
      <c r="AP325" s="21"/>
      <c r="AQ325" s="21"/>
      <c r="AR325" s="21"/>
      <c r="AS325" s="21"/>
      <c r="AT325" s="21"/>
      <c r="AU325" s="21"/>
    </row>
    <row r="326" spans="1:47" x14ac:dyDescent="0.35">
      <c r="A326" s="19" t="s">
        <v>1230</v>
      </c>
      <c r="B326" s="19" t="s">
        <v>52</v>
      </c>
      <c r="C326" s="19"/>
      <c r="D326" s="19" t="s">
        <v>53</v>
      </c>
      <c r="E326" s="19" t="s">
        <v>54</v>
      </c>
      <c r="F326" s="20" t="s">
        <v>101</v>
      </c>
      <c r="G326" s="20" t="s">
        <v>102</v>
      </c>
      <c r="H326" s="19" t="s">
        <v>1231</v>
      </c>
      <c r="I326" s="20" t="s">
        <v>58</v>
      </c>
      <c r="J326" s="20" t="s">
        <v>104</v>
      </c>
      <c r="K326" s="20" t="s">
        <v>1232</v>
      </c>
      <c r="L326" s="19" t="s">
        <v>61</v>
      </c>
      <c r="M326" s="19" t="s">
        <v>62</v>
      </c>
      <c r="N326" s="20" t="s">
        <v>63</v>
      </c>
      <c r="O326" s="19">
        <v>21</v>
      </c>
      <c r="P326" s="19">
        <v>3.73</v>
      </c>
      <c r="Q326" s="19">
        <v>1</v>
      </c>
      <c r="R326" s="20">
        <v>7</v>
      </c>
      <c r="S326" s="19">
        <v>6.6000000000000003E-2</v>
      </c>
      <c r="T326" s="19" t="s">
        <v>64</v>
      </c>
      <c r="U326" s="19" t="s">
        <v>65</v>
      </c>
      <c r="V326" s="19" t="s">
        <v>66</v>
      </c>
      <c r="W326" s="19" t="s">
        <v>67</v>
      </c>
      <c r="X326" s="19" t="s">
        <v>68</v>
      </c>
      <c r="Y326" s="21" t="s">
        <v>69</v>
      </c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2"/>
      <c r="AK326" s="22"/>
      <c r="AL326" s="22"/>
      <c r="AM326" s="21" t="s">
        <v>70</v>
      </c>
      <c r="AN326" s="21" t="s">
        <v>70</v>
      </c>
      <c r="AO326" s="21" t="str">
        <f>_xlfn.XLOOKUP(A:A,[1]TAGS!$A:$A,[1]TAGS!$BG:$BG)</f>
        <v>Montado</v>
      </c>
      <c r="AP326" s="21"/>
      <c r="AQ326" s="21"/>
      <c r="AR326" s="21"/>
      <c r="AS326" s="21"/>
      <c r="AT326" s="21"/>
      <c r="AU326" s="21"/>
    </row>
    <row r="327" spans="1:47" x14ac:dyDescent="0.35">
      <c r="A327" s="19" t="s">
        <v>1233</v>
      </c>
      <c r="B327" s="19" t="s">
        <v>52</v>
      </c>
      <c r="C327" s="19"/>
      <c r="D327" s="19" t="s">
        <v>53</v>
      </c>
      <c r="E327" s="19" t="s">
        <v>54</v>
      </c>
      <c r="F327" s="20" t="s">
        <v>101</v>
      </c>
      <c r="G327" s="20" t="s">
        <v>102</v>
      </c>
      <c r="H327" s="19" t="s">
        <v>1234</v>
      </c>
      <c r="I327" s="20" t="s">
        <v>58</v>
      </c>
      <c r="J327" s="20" t="s">
        <v>104</v>
      </c>
      <c r="K327" s="20" t="s">
        <v>1235</v>
      </c>
      <c r="L327" s="19" t="s">
        <v>61</v>
      </c>
      <c r="M327" s="19" t="s">
        <v>62</v>
      </c>
      <c r="N327" s="20" t="s">
        <v>63</v>
      </c>
      <c r="O327" s="19">
        <v>21</v>
      </c>
      <c r="P327" s="19">
        <v>3.73</v>
      </c>
      <c r="Q327" s="19">
        <v>1</v>
      </c>
      <c r="R327" s="20">
        <v>7</v>
      </c>
      <c r="S327" s="19">
        <v>6.6000000000000003E-2</v>
      </c>
      <c r="T327" s="19" t="s">
        <v>64</v>
      </c>
      <c r="U327" s="19" t="s">
        <v>65</v>
      </c>
      <c r="V327" s="19" t="s">
        <v>66</v>
      </c>
      <c r="W327" s="19" t="s">
        <v>67</v>
      </c>
      <c r="X327" s="19" t="s">
        <v>68</v>
      </c>
      <c r="Y327" s="21" t="s">
        <v>69</v>
      </c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2"/>
      <c r="AK327" s="22"/>
      <c r="AL327" s="22"/>
      <c r="AM327" s="21" t="s">
        <v>70</v>
      </c>
      <c r="AN327" s="21" t="s">
        <v>70</v>
      </c>
      <c r="AO327" s="21" t="str">
        <f>_xlfn.XLOOKUP(A:A,[1]TAGS!$A:$A,[1]TAGS!$BG:$BG)</f>
        <v>Montado</v>
      </c>
      <c r="AP327" s="21"/>
      <c r="AQ327" s="21"/>
      <c r="AR327" s="21"/>
      <c r="AS327" s="21"/>
      <c r="AT327" s="21"/>
      <c r="AU327" s="21"/>
    </row>
    <row r="328" spans="1:47" x14ac:dyDescent="0.35">
      <c r="A328" s="19" t="s">
        <v>1236</v>
      </c>
      <c r="B328" s="19" t="s">
        <v>52</v>
      </c>
      <c r="C328" s="19"/>
      <c r="D328" s="19" t="s">
        <v>53</v>
      </c>
      <c r="E328" s="19" t="s">
        <v>54</v>
      </c>
      <c r="F328" s="20" t="s">
        <v>116</v>
      </c>
      <c r="G328" s="20" t="s">
        <v>117</v>
      </c>
      <c r="H328" s="19" t="s">
        <v>1237</v>
      </c>
      <c r="I328" s="20" t="s">
        <v>58</v>
      </c>
      <c r="J328" s="20" t="s">
        <v>119</v>
      </c>
      <c r="K328" s="20" t="s">
        <v>1238</v>
      </c>
      <c r="L328" s="19" t="s">
        <v>61</v>
      </c>
      <c r="M328" s="19" t="s">
        <v>62</v>
      </c>
      <c r="N328" s="20" t="s">
        <v>63</v>
      </c>
      <c r="O328" s="19">
        <v>21</v>
      </c>
      <c r="P328" s="19">
        <v>3.73</v>
      </c>
      <c r="Q328" s="19">
        <v>1</v>
      </c>
      <c r="R328" s="20">
        <v>7</v>
      </c>
      <c r="S328" s="19">
        <v>6.6000000000000003E-2</v>
      </c>
      <c r="T328" s="19" t="s">
        <v>64</v>
      </c>
      <c r="U328" s="19" t="s">
        <v>65</v>
      </c>
      <c r="V328" s="19" t="s">
        <v>66</v>
      </c>
      <c r="W328" s="19" t="s">
        <v>67</v>
      </c>
      <c r="X328" s="19" t="s">
        <v>68</v>
      </c>
      <c r="Y328" s="21" t="s">
        <v>69</v>
      </c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2"/>
      <c r="AK328" s="22"/>
      <c r="AL328" s="22"/>
      <c r="AM328" s="21" t="s">
        <v>70</v>
      </c>
      <c r="AN328" s="21" t="s">
        <v>70</v>
      </c>
      <c r="AO328" s="21" t="str">
        <f>_xlfn.XLOOKUP(A:A,[1]TAGS!$A:$A,[1]TAGS!$BG:$BG)</f>
        <v>Não Montado</v>
      </c>
      <c r="AP328" s="21"/>
      <c r="AQ328" s="21"/>
      <c r="AR328" s="21"/>
      <c r="AS328" s="21"/>
      <c r="AT328" s="21"/>
      <c r="AU328" s="21"/>
    </row>
    <row r="329" spans="1:47" x14ac:dyDescent="0.35">
      <c r="A329" s="19" t="s">
        <v>1239</v>
      </c>
      <c r="B329" s="19" t="s">
        <v>52</v>
      </c>
      <c r="C329" s="19"/>
      <c r="D329" s="19" t="s">
        <v>53</v>
      </c>
      <c r="E329" s="19" t="s">
        <v>54</v>
      </c>
      <c r="F329" s="20" t="s">
        <v>116</v>
      </c>
      <c r="G329" s="20" t="s">
        <v>122</v>
      </c>
      <c r="H329" s="19" t="s">
        <v>1240</v>
      </c>
      <c r="I329" s="20" t="s">
        <v>124</v>
      </c>
      <c r="J329" s="20" t="s">
        <v>125</v>
      </c>
      <c r="K329" s="20" t="s">
        <v>1241</v>
      </c>
      <c r="L329" s="19" t="s">
        <v>61</v>
      </c>
      <c r="M329" s="19" t="s">
        <v>62</v>
      </c>
      <c r="N329" s="20" t="s">
        <v>63</v>
      </c>
      <c r="O329" s="19">
        <v>21</v>
      </c>
      <c r="P329" s="19">
        <v>3.73</v>
      </c>
      <c r="Q329" s="19">
        <v>1</v>
      </c>
      <c r="R329" s="20">
        <v>7</v>
      </c>
      <c r="S329" s="19">
        <v>6.6000000000000003E-2</v>
      </c>
      <c r="T329" s="19" t="s">
        <v>64</v>
      </c>
      <c r="U329" s="19" t="s">
        <v>65</v>
      </c>
      <c r="V329" s="19" t="s">
        <v>66</v>
      </c>
      <c r="W329" s="19" t="s">
        <v>67</v>
      </c>
      <c r="X329" s="19" t="s">
        <v>68</v>
      </c>
      <c r="Y329" s="21" t="s">
        <v>69</v>
      </c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2"/>
      <c r="AK329" s="22"/>
      <c r="AL329" s="22"/>
      <c r="AM329" s="21" t="s">
        <v>70</v>
      </c>
      <c r="AN329" s="21" t="s">
        <v>70</v>
      </c>
      <c r="AO329" s="21" t="str">
        <f>_xlfn.XLOOKUP(A:A,[1]TAGS!$A:$A,[1]TAGS!$BG:$BG)</f>
        <v>Montado</v>
      </c>
      <c r="AP329" s="21"/>
      <c r="AQ329" s="21"/>
      <c r="AR329" s="21"/>
      <c r="AS329" s="21"/>
      <c r="AT329" s="21"/>
      <c r="AU329" s="21"/>
    </row>
    <row r="330" spans="1:47" x14ac:dyDescent="0.35">
      <c r="A330" s="19" t="s">
        <v>1242</v>
      </c>
      <c r="B330" s="19" t="s">
        <v>52</v>
      </c>
      <c r="C330" s="19"/>
      <c r="D330" s="19" t="s">
        <v>53</v>
      </c>
      <c r="E330" s="19" t="s">
        <v>54</v>
      </c>
      <c r="F330" s="20" t="s">
        <v>116</v>
      </c>
      <c r="G330" s="20" t="s">
        <v>1243</v>
      </c>
      <c r="H330" s="19" t="s">
        <v>1244</v>
      </c>
      <c r="I330" s="20" t="s">
        <v>124</v>
      </c>
      <c r="J330" s="20" t="s">
        <v>1245</v>
      </c>
      <c r="K330" s="20" t="s">
        <v>1246</v>
      </c>
      <c r="L330" s="19" t="s">
        <v>61</v>
      </c>
      <c r="M330" s="19" t="s">
        <v>62</v>
      </c>
      <c r="N330" s="20" t="s">
        <v>63</v>
      </c>
      <c r="O330" s="19">
        <v>21</v>
      </c>
      <c r="P330" s="19">
        <v>3.73</v>
      </c>
      <c r="Q330" s="19">
        <v>1</v>
      </c>
      <c r="R330" s="20">
        <v>7</v>
      </c>
      <c r="S330" s="19">
        <v>6.6000000000000003E-2</v>
      </c>
      <c r="T330" s="19" t="s">
        <v>64</v>
      </c>
      <c r="U330" s="19" t="s">
        <v>65</v>
      </c>
      <c r="V330" s="19" t="s">
        <v>66</v>
      </c>
      <c r="W330" s="19" t="s">
        <v>67</v>
      </c>
      <c r="X330" s="19" t="s">
        <v>68</v>
      </c>
      <c r="Y330" s="21" t="s">
        <v>69</v>
      </c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2"/>
      <c r="AK330" s="22"/>
      <c r="AL330" s="22"/>
      <c r="AM330" s="21" t="s">
        <v>70</v>
      </c>
      <c r="AN330" s="21" t="s">
        <v>70</v>
      </c>
      <c r="AO330" s="21" t="str">
        <f>_xlfn.XLOOKUP(A:A,[1]TAGS!$A:$A,[1]TAGS!$BG:$BG)</f>
        <v>Montado</v>
      </c>
      <c r="AP330" s="21"/>
      <c r="AQ330" s="21"/>
      <c r="AR330" s="21"/>
      <c r="AS330" s="21"/>
      <c r="AT330" s="21"/>
      <c r="AU330" s="21"/>
    </row>
    <row r="331" spans="1:47" x14ac:dyDescent="0.35">
      <c r="A331" s="19" t="s">
        <v>1247</v>
      </c>
      <c r="B331" s="19" t="s">
        <v>52</v>
      </c>
      <c r="C331" s="19"/>
      <c r="D331" s="19" t="s">
        <v>53</v>
      </c>
      <c r="E331" s="19" t="s">
        <v>54</v>
      </c>
      <c r="F331" s="20" t="s">
        <v>116</v>
      </c>
      <c r="G331" s="20" t="s">
        <v>117</v>
      </c>
      <c r="H331" s="19" t="s">
        <v>1248</v>
      </c>
      <c r="I331" s="20" t="s">
        <v>58</v>
      </c>
      <c r="J331" s="20" t="s">
        <v>119</v>
      </c>
      <c r="K331" s="20" t="s">
        <v>1249</v>
      </c>
      <c r="L331" s="19" t="s">
        <v>61</v>
      </c>
      <c r="M331" s="19" t="s">
        <v>62</v>
      </c>
      <c r="N331" s="20" t="s">
        <v>63</v>
      </c>
      <c r="O331" s="19">
        <v>21</v>
      </c>
      <c r="P331" s="19">
        <v>3.73</v>
      </c>
      <c r="Q331" s="19">
        <v>1</v>
      </c>
      <c r="R331" s="20">
        <v>7</v>
      </c>
      <c r="S331" s="19">
        <v>6.6000000000000003E-2</v>
      </c>
      <c r="T331" s="19" t="s">
        <v>64</v>
      </c>
      <c r="U331" s="19" t="s">
        <v>65</v>
      </c>
      <c r="V331" s="19" t="s">
        <v>66</v>
      </c>
      <c r="W331" s="19" t="s">
        <v>67</v>
      </c>
      <c r="X331" s="19" t="s">
        <v>68</v>
      </c>
      <c r="Y331" s="21" t="s">
        <v>69</v>
      </c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2"/>
      <c r="AK331" s="22"/>
      <c r="AL331" s="22"/>
      <c r="AM331" s="21" t="s">
        <v>70</v>
      </c>
      <c r="AN331" s="21" t="s">
        <v>70</v>
      </c>
      <c r="AO331" s="21" t="str">
        <f>_xlfn.XLOOKUP(A:A,[1]TAGS!$A:$A,[1]TAGS!$BG:$BG)</f>
        <v>Montado</v>
      </c>
      <c r="AP331" s="21"/>
      <c r="AQ331" s="21"/>
      <c r="AR331" s="21"/>
      <c r="AS331" s="21"/>
      <c r="AT331" s="21"/>
      <c r="AU331" s="21"/>
    </row>
    <row r="332" spans="1:47" x14ac:dyDescent="0.35">
      <c r="A332" s="19" t="s">
        <v>1250</v>
      </c>
      <c r="B332" s="19" t="s">
        <v>52</v>
      </c>
      <c r="C332" s="19"/>
      <c r="D332" s="19" t="s">
        <v>53</v>
      </c>
      <c r="E332" s="19" t="s">
        <v>54</v>
      </c>
      <c r="F332" s="20" t="s">
        <v>116</v>
      </c>
      <c r="G332" s="20" t="s">
        <v>284</v>
      </c>
      <c r="H332" s="19" t="s">
        <v>1251</v>
      </c>
      <c r="I332" s="20" t="s">
        <v>58</v>
      </c>
      <c r="J332" s="20" t="s">
        <v>286</v>
      </c>
      <c r="K332" s="20" t="s">
        <v>1252</v>
      </c>
      <c r="L332" s="19" t="s">
        <v>61</v>
      </c>
      <c r="M332" s="19" t="s">
        <v>62</v>
      </c>
      <c r="N332" s="20" t="s">
        <v>63</v>
      </c>
      <c r="O332" s="19">
        <v>21</v>
      </c>
      <c r="P332" s="19">
        <v>3.73</v>
      </c>
      <c r="Q332" s="19">
        <v>1</v>
      </c>
      <c r="R332" s="20">
        <v>7</v>
      </c>
      <c r="S332" s="19">
        <v>6.6000000000000003E-2</v>
      </c>
      <c r="T332" s="19" t="s">
        <v>64</v>
      </c>
      <c r="U332" s="19" t="s">
        <v>65</v>
      </c>
      <c r="V332" s="19" t="s">
        <v>66</v>
      </c>
      <c r="W332" s="19" t="s">
        <v>67</v>
      </c>
      <c r="X332" s="19" t="s">
        <v>68</v>
      </c>
      <c r="Y332" s="21" t="s">
        <v>69</v>
      </c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2"/>
      <c r="AK332" s="22"/>
      <c r="AL332" s="22"/>
      <c r="AM332" s="21" t="s">
        <v>70</v>
      </c>
      <c r="AN332" s="21" t="s">
        <v>70</v>
      </c>
      <c r="AO332" s="21" t="str">
        <f>_xlfn.XLOOKUP(A:A,[1]TAGS!$A:$A,[1]TAGS!$BG:$BG)</f>
        <v>Montado</v>
      </c>
      <c r="AP332" s="21"/>
      <c r="AQ332" s="21"/>
      <c r="AR332" s="21"/>
      <c r="AS332" s="21"/>
      <c r="AT332" s="21"/>
      <c r="AU332" s="21"/>
    </row>
    <row r="333" spans="1:47" x14ac:dyDescent="0.35">
      <c r="A333" s="19" t="s">
        <v>1253</v>
      </c>
      <c r="B333" s="19" t="s">
        <v>52</v>
      </c>
      <c r="C333" s="19"/>
      <c r="D333" s="19" t="s">
        <v>53</v>
      </c>
      <c r="E333" s="19" t="s">
        <v>54</v>
      </c>
      <c r="F333" s="20" t="s">
        <v>116</v>
      </c>
      <c r="G333" s="20" t="s">
        <v>289</v>
      </c>
      <c r="H333" s="19" t="s">
        <v>1254</v>
      </c>
      <c r="I333" s="20" t="s">
        <v>58</v>
      </c>
      <c r="J333" s="20" t="s">
        <v>291</v>
      </c>
      <c r="K333" s="20" t="s">
        <v>1255</v>
      </c>
      <c r="L333" s="19" t="s">
        <v>61</v>
      </c>
      <c r="M333" s="19" t="s">
        <v>62</v>
      </c>
      <c r="N333" s="20" t="s">
        <v>63</v>
      </c>
      <c r="O333" s="19">
        <v>21</v>
      </c>
      <c r="P333" s="19">
        <v>3.73</v>
      </c>
      <c r="Q333" s="19">
        <v>1</v>
      </c>
      <c r="R333" s="20">
        <v>7</v>
      </c>
      <c r="S333" s="19">
        <v>6.6000000000000003E-2</v>
      </c>
      <c r="T333" s="19" t="s">
        <v>64</v>
      </c>
      <c r="U333" s="19" t="s">
        <v>65</v>
      </c>
      <c r="V333" s="19" t="s">
        <v>66</v>
      </c>
      <c r="W333" s="19" t="s">
        <v>67</v>
      </c>
      <c r="X333" s="19" t="s">
        <v>68</v>
      </c>
      <c r="Y333" s="21" t="s">
        <v>69</v>
      </c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2"/>
      <c r="AK333" s="22"/>
      <c r="AL333" s="22"/>
      <c r="AM333" s="21" t="s">
        <v>70</v>
      </c>
      <c r="AN333" s="21" t="s">
        <v>70</v>
      </c>
      <c r="AO333" s="21" t="str">
        <f>_xlfn.XLOOKUP(A:A,[1]TAGS!$A:$A,[1]TAGS!$BG:$BG)</f>
        <v>Montado</v>
      </c>
      <c r="AP333" s="21"/>
      <c r="AQ333" s="21"/>
      <c r="AR333" s="21"/>
      <c r="AS333" s="21"/>
      <c r="AT333" s="21"/>
      <c r="AU333" s="21"/>
    </row>
    <row r="334" spans="1:47" x14ac:dyDescent="0.35">
      <c r="A334" s="19" t="s">
        <v>1256</v>
      </c>
      <c r="B334" s="19" t="s">
        <v>52</v>
      </c>
      <c r="C334" s="19"/>
      <c r="D334" s="19" t="s">
        <v>53</v>
      </c>
      <c r="E334" s="19" t="s">
        <v>54</v>
      </c>
      <c r="F334" s="20" t="s">
        <v>141</v>
      </c>
      <c r="G334" s="20" t="s">
        <v>142</v>
      </c>
      <c r="H334" s="19" t="s">
        <v>1257</v>
      </c>
      <c r="I334" s="20" t="s">
        <v>58</v>
      </c>
      <c r="J334" s="20" t="s">
        <v>144</v>
      </c>
      <c r="K334" s="20" t="s">
        <v>1258</v>
      </c>
      <c r="L334" s="19" t="s">
        <v>61</v>
      </c>
      <c r="M334" s="19" t="s">
        <v>62</v>
      </c>
      <c r="N334" s="20" t="s">
        <v>63</v>
      </c>
      <c r="O334" s="19">
        <v>21</v>
      </c>
      <c r="P334" s="19">
        <v>3.73</v>
      </c>
      <c r="Q334" s="19">
        <v>1</v>
      </c>
      <c r="R334" s="20">
        <v>7</v>
      </c>
      <c r="S334" s="19">
        <v>6.6000000000000003E-2</v>
      </c>
      <c r="T334" s="19" t="s">
        <v>64</v>
      </c>
      <c r="U334" s="19" t="s">
        <v>65</v>
      </c>
      <c r="V334" s="19" t="s">
        <v>66</v>
      </c>
      <c r="W334" s="19" t="s">
        <v>67</v>
      </c>
      <c r="X334" s="19" t="s">
        <v>68</v>
      </c>
      <c r="Y334" s="21" t="s">
        <v>69</v>
      </c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2"/>
      <c r="AK334" s="22"/>
      <c r="AL334" s="22"/>
      <c r="AM334" s="21" t="s">
        <v>70</v>
      </c>
      <c r="AN334" s="21" t="s">
        <v>70</v>
      </c>
      <c r="AO334" s="21" t="str">
        <f>_xlfn.XLOOKUP(A:A,[1]TAGS!$A:$A,[1]TAGS!$BG:$BG)</f>
        <v>Montado</v>
      </c>
      <c r="AP334" s="21"/>
      <c r="AQ334" s="21"/>
      <c r="AR334" s="21"/>
      <c r="AS334" s="21"/>
      <c r="AT334" s="21"/>
      <c r="AU334" s="21"/>
    </row>
    <row r="335" spans="1:47" x14ac:dyDescent="0.35">
      <c r="A335" s="19" t="s">
        <v>1259</v>
      </c>
      <c r="B335" s="19" t="s">
        <v>52</v>
      </c>
      <c r="C335" s="19"/>
      <c r="D335" s="19" t="s">
        <v>53</v>
      </c>
      <c r="E335" s="19" t="s">
        <v>54</v>
      </c>
      <c r="F335" s="20" t="s">
        <v>141</v>
      </c>
      <c r="G335" s="20" t="s">
        <v>142</v>
      </c>
      <c r="H335" s="19" t="s">
        <v>1260</v>
      </c>
      <c r="I335" s="20" t="s">
        <v>58</v>
      </c>
      <c r="J335" s="20" t="s">
        <v>144</v>
      </c>
      <c r="K335" s="20" t="s">
        <v>1261</v>
      </c>
      <c r="L335" s="19" t="s">
        <v>61</v>
      </c>
      <c r="M335" s="19" t="s">
        <v>62</v>
      </c>
      <c r="N335" s="20" t="s">
        <v>63</v>
      </c>
      <c r="O335" s="19">
        <v>21</v>
      </c>
      <c r="P335" s="19">
        <v>3.73</v>
      </c>
      <c r="Q335" s="19">
        <v>1</v>
      </c>
      <c r="R335" s="20">
        <v>7</v>
      </c>
      <c r="S335" s="19">
        <v>6.6000000000000003E-2</v>
      </c>
      <c r="T335" s="19" t="s">
        <v>64</v>
      </c>
      <c r="U335" s="19" t="s">
        <v>65</v>
      </c>
      <c r="V335" s="19" t="s">
        <v>66</v>
      </c>
      <c r="W335" s="19" t="s">
        <v>67</v>
      </c>
      <c r="X335" s="19" t="s">
        <v>68</v>
      </c>
      <c r="Y335" s="21" t="s">
        <v>69</v>
      </c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2"/>
      <c r="AK335" s="22"/>
      <c r="AL335" s="22"/>
      <c r="AM335" s="21" t="s">
        <v>70</v>
      </c>
      <c r="AN335" s="21" t="s">
        <v>70</v>
      </c>
      <c r="AO335" s="21" t="str">
        <f>_xlfn.XLOOKUP(A:A,[1]TAGS!$A:$A,[1]TAGS!$BG:$BG)</f>
        <v>Montado</v>
      </c>
      <c r="AP335" s="21"/>
      <c r="AQ335" s="21"/>
      <c r="AR335" s="21"/>
      <c r="AS335" s="21"/>
      <c r="AT335" s="21"/>
      <c r="AU335" s="21"/>
    </row>
    <row r="336" spans="1:47" x14ac:dyDescent="0.35">
      <c r="A336" s="19" t="s">
        <v>1262</v>
      </c>
      <c r="B336" s="19" t="s">
        <v>52</v>
      </c>
      <c r="C336" s="19"/>
      <c r="D336" s="19" t="s">
        <v>53</v>
      </c>
      <c r="E336" s="19" t="s">
        <v>54</v>
      </c>
      <c r="F336" s="20" t="s">
        <v>141</v>
      </c>
      <c r="G336" s="20" t="s">
        <v>142</v>
      </c>
      <c r="H336" s="19" t="s">
        <v>1263</v>
      </c>
      <c r="I336" s="20" t="s">
        <v>58</v>
      </c>
      <c r="J336" s="20" t="s">
        <v>144</v>
      </c>
      <c r="K336" s="20" t="s">
        <v>1264</v>
      </c>
      <c r="L336" s="19" t="s">
        <v>61</v>
      </c>
      <c r="M336" s="19" t="s">
        <v>62</v>
      </c>
      <c r="N336" s="20" t="s">
        <v>63</v>
      </c>
      <c r="O336" s="19">
        <v>21</v>
      </c>
      <c r="P336" s="19">
        <v>3.73</v>
      </c>
      <c r="Q336" s="19">
        <v>1</v>
      </c>
      <c r="R336" s="20">
        <v>7</v>
      </c>
      <c r="S336" s="19">
        <v>6.6000000000000003E-2</v>
      </c>
      <c r="T336" s="19" t="s">
        <v>64</v>
      </c>
      <c r="U336" s="19" t="s">
        <v>65</v>
      </c>
      <c r="V336" s="19" t="s">
        <v>66</v>
      </c>
      <c r="W336" s="19" t="s">
        <v>67</v>
      </c>
      <c r="X336" s="19" t="s">
        <v>68</v>
      </c>
      <c r="Y336" s="21" t="s">
        <v>69</v>
      </c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2"/>
      <c r="AK336" s="22"/>
      <c r="AL336" s="22"/>
      <c r="AM336" s="21" t="s">
        <v>70</v>
      </c>
      <c r="AN336" s="21" t="s">
        <v>70</v>
      </c>
      <c r="AO336" s="21" t="str">
        <f>_xlfn.XLOOKUP(A:A,[1]TAGS!$A:$A,[1]TAGS!$BG:$BG)</f>
        <v>Montado</v>
      </c>
      <c r="AP336" s="21"/>
      <c r="AQ336" s="21"/>
      <c r="AR336" s="21"/>
      <c r="AS336" s="21"/>
      <c r="AT336" s="21"/>
      <c r="AU336" s="21"/>
    </row>
    <row r="337" spans="1:47" x14ac:dyDescent="0.35">
      <c r="A337" s="19" t="s">
        <v>1265</v>
      </c>
      <c r="B337" s="19" t="s">
        <v>52</v>
      </c>
      <c r="C337" s="19"/>
      <c r="D337" s="19" t="s">
        <v>53</v>
      </c>
      <c r="E337" s="19" t="s">
        <v>54</v>
      </c>
      <c r="F337" s="20" t="s">
        <v>141</v>
      </c>
      <c r="G337" s="20" t="s">
        <v>142</v>
      </c>
      <c r="H337" s="19" t="s">
        <v>1266</v>
      </c>
      <c r="I337" s="20" t="s">
        <v>58</v>
      </c>
      <c r="J337" s="20" t="s">
        <v>144</v>
      </c>
      <c r="K337" s="20" t="s">
        <v>1267</v>
      </c>
      <c r="L337" s="19" t="s">
        <v>61</v>
      </c>
      <c r="M337" s="19" t="s">
        <v>62</v>
      </c>
      <c r="N337" s="20" t="s">
        <v>63</v>
      </c>
      <c r="O337" s="19">
        <v>21</v>
      </c>
      <c r="P337" s="19">
        <v>3.73</v>
      </c>
      <c r="Q337" s="19">
        <v>1</v>
      </c>
      <c r="R337" s="20">
        <v>7</v>
      </c>
      <c r="S337" s="19">
        <v>6.6000000000000003E-2</v>
      </c>
      <c r="T337" s="19" t="s">
        <v>64</v>
      </c>
      <c r="U337" s="19" t="s">
        <v>65</v>
      </c>
      <c r="V337" s="19" t="s">
        <v>66</v>
      </c>
      <c r="W337" s="19" t="s">
        <v>67</v>
      </c>
      <c r="X337" s="19" t="s">
        <v>68</v>
      </c>
      <c r="Y337" s="21" t="s">
        <v>69</v>
      </c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2"/>
      <c r="AK337" s="22"/>
      <c r="AL337" s="22"/>
      <c r="AM337" s="21" t="s">
        <v>70</v>
      </c>
      <c r="AN337" s="21" t="s">
        <v>70</v>
      </c>
      <c r="AO337" s="21" t="str">
        <f>_xlfn.XLOOKUP(A:A,[1]TAGS!$A:$A,[1]TAGS!$BG:$BG)</f>
        <v>Montado</v>
      </c>
      <c r="AP337" s="21"/>
      <c r="AQ337" s="21"/>
      <c r="AR337" s="21"/>
      <c r="AS337" s="21"/>
      <c r="AT337" s="21"/>
      <c r="AU337" s="21"/>
    </row>
    <row r="338" spans="1:47" x14ac:dyDescent="0.35">
      <c r="A338" s="19" t="s">
        <v>1268</v>
      </c>
      <c r="B338" s="19" t="s">
        <v>52</v>
      </c>
      <c r="C338" s="19"/>
      <c r="D338" s="19" t="s">
        <v>53</v>
      </c>
      <c r="E338" s="19" t="s">
        <v>54</v>
      </c>
      <c r="F338" s="20" t="s">
        <v>141</v>
      </c>
      <c r="G338" s="20" t="s">
        <v>142</v>
      </c>
      <c r="H338" s="19" t="s">
        <v>1269</v>
      </c>
      <c r="I338" s="20" t="s">
        <v>58</v>
      </c>
      <c r="J338" s="20" t="s">
        <v>144</v>
      </c>
      <c r="K338" s="20" t="s">
        <v>1270</v>
      </c>
      <c r="L338" s="19" t="s">
        <v>61</v>
      </c>
      <c r="M338" s="19" t="s">
        <v>62</v>
      </c>
      <c r="N338" s="20" t="s">
        <v>63</v>
      </c>
      <c r="O338" s="19">
        <v>21</v>
      </c>
      <c r="P338" s="19">
        <v>3.73</v>
      </c>
      <c r="Q338" s="19">
        <v>1</v>
      </c>
      <c r="R338" s="20">
        <v>7</v>
      </c>
      <c r="S338" s="19">
        <v>6.6000000000000003E-2</v>
      </c>
      <c r="T338" s="19" t="s">
        <v>64</v>
      </c>
      <c r="U338" s="19" t="s">
        <v>65</v>
      </c>
      <c r="V338" s="19" t="s">
        <v>66</v>
      </c>
      <c r="W338" s="19" t="s">
        <v>67</v>
      </c>
      <c r="X338" s="19" t="s">
        <v>68</v>
      </c>
      <c r="Y338" s="21" t="s">
        <v>69</v>
      </c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2"/>
      <c r="AK338" s="22"/>
      <c r="AL338" s="22"/>
      <c r="AM338" s="21" t="s">
        <v>70</v>
      </c>
      <c r="AN338" s="21" t="s">
        <v>70</v>
      </c>
      <c r="AO338" s="21" t="str">
        <f>_xlfn.XLOOKUP(A:A,[1]TAGS!$A:$A,[1]TAGS!$BG:$BG)</f>
        <v>Montado</v>
      </c>
      <c r="AP338" s="21"/>
      <c r="AQ338" s="21"/>
      <c r="AR338" s="21"/>
      <c r="AS338" s="21"/>
      <c r="AT338" s="21"/>
      <c r="AU338" s="21"/>
    </row>
    <row r="339" spans="1:47" x14ac:dyDescent="0.35">
      <c r="A339" s="19" t="s">
        <v>1271</v>
      </c>
      <c r="B339" s="19" t="s">
        <v>52</v>
      </c>
      <c r="C339" s="19"/>
      <c r="D339" s="19" t="s">
        <v>53</v>
      </c>
      <c r="E339" s="19" t="s">
        <v>54</v>
      </c>
      <c r="F339" s="20" t="s">
        <v>141</v>
      </c>
      <c r="G339" s="20" t="s">
        <v>142</v>
      </c>
      <c r="H339" s="19" t="s">
        <v>1272</v>
      </c>
      <c r="I339" s="20" t="s">
        <v>58</v>
      </c>
      <c r="J339" s="20" t="s">
        <v>144</v>
      </c>
      <c r="K339" s="20" t="s">
        <v>1273</v>
      </c>
      <c r="L339" s="19" t="s">
        <v>61</v>
      </c>
      <c r="M339" s="19" t="s">
        <v>62</v>
      </c>
      <c r="N339" s="20" t="s">
        <v>63</v>
      </c>
      <c r="O339" s="19">
        <v>21</v>
      </c>
      <c r="P339" s="19">
        <v>3.73</v>
      </c>
      <c r="Q339" s="19">
        <v>1</v>
      </c>
      <c r="R339" s="20">
        <v>7</v>
      </c>
      <c r="S339" s="19">
        <v>6.6000000000000003E-2</v>
      </c>
      <c r="T339" s="19" t="s">
        <v>64</v>
      </c>
      <c r="U339" s="19" t="s">
        <v>65</v>
      </c>
      <c r="V339" s="19" t="s">
        <v>66</v>
      </c>
      <c r="W339" s="19" t="s">
        <v>67</v>
      </c>
      <c r="X339" s="19" t="s">
        <v>68</v>
      </c>
      <c r="Y339" s="21" t="s">
        <v>69</v>
      </c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2"/>
      <c r="AK339" s="22"/>
      <c r="AL339" s="22"/>
      <c r="AM339" s="21" t="s">
        <v>70</v>
      </c>
      <c r="AN339" s="21" t="s">
        <v>70</v>
      </c>
      <c r="AO339" s="21" t="str">
        <f>_xlfn.XLOOKUP(A:A,[1]TAGS!$A:$A,[1]TAGS!$BG:$BG)</f>
        <v>Não Montado</v>
      </c>
      <c r="AP339" s="21"/>
      <c r="AQ339" s="21"/>
      <c r="AR339" s="21"/>
      <c r="AS339" s="21"/>
      <c r="AT339" s="21"/>
      <c r="AU339" s="21"/>
    </row>
    <row r="340" spans="1:47" x14ac:dyDescent="0.35">
      <c r="A340" s="19" t="s">
        <v>1274</v>
      </c>
      <c r="B340" s="19" t="s">
        <v>52</v>
      </c>
      <c r="C340" s="19"/>
      <c r="D340" s="19" t="s">
        <v>53</v>
      </c>
      <c r="E340" s="19" t="s">
        <v>54</v>
      </c>
      <c r="F340" s="20" t="s">
        <v>141</v>
      </c>
      <c r="G340" s="20" t="s">
        <v>174</v>
      </c>
      <c r="H340" s="19" t="s">
        <v>1275</v>
      </c>
      <c r="I340" s="20" t="s">
        <v>58</v>
      </c>
      <c r="J340" s="20" t="s">
        <v>176</v>
      </c>
      <c r="K340" s="20" t="s">
        <v>1276</v>
      </c>
      <c r="L340" s="19" t="s">
        <v>61</v>
      </c>
      <c r="M340" s="19" t="s">
        <v>62</v>
      </c>
      <c r="N340" s="20" t="s">
        <v>63</v>
      </c>
      <c r="O340" s="19">
        <v>21</v>
      </c>
      <c r="P340" s="19">
        <v>3.73</v>
      </c>
      <c r="Q340" s="19">
        <v>1</v>
      </c>
      <c r="R340" s="20">
        <v>7</v>
      </c>
      <c r="S340" s="19">
        <v>6.6000000000000003E-2</v>
      </c>
      <c r="T340" s="19" t="s">
        <v>64</v>
      </c>
      <c r="U340" s="19" t="s">
        <v>65</v>
      </c>
      <c r="V340" s="19" t="s">
        <v>66</v>
      </c>
      <c r="W340" s="19" t="s">
        <v>67</v>
      </c>
      <c r="X340" s="19" t="s">
        <v>68</v>
      </c>
      <c r="Y340" s="21" t="s">
        <v>69</v>
      </c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2"/>
      <c r="AK340" s="22"/>
      <c r="AL340" s="22"/>
      <c r="AM340" s="21" t="s">
        <v>70</v>
      </c>
      <c r="AN340" s="21" t="s">
        <v>70</v>
      </c>
      <c r="AO340" s="21" t="str">
        <f>_xlfn.XLOOKUP(A:A,[1]TAGS!$A:$A,[1]TAGS!$BG:$BG)</f>
        <v>Não Montado</v>
      </c>
      <c r="AP340" s="21"/>
      <c r="AQ340" s="21"/>
      <c r="AR340" s="21"/>
      <c r="AS340" s="21"/>
      <c r="AT340" s="21"/>
      <c r="AU340" s="21"/>
    </row>
    <row r="341" spans="1:47" x14ac:dyDescent="0.35">
      <c r="A341" s="19" t="s">
        <v>1277</v>
      </c>
      <c r="B341" s="19" t="s">
        <v>52</v>
      </c>
      <c r="C341" s="19"/>
      <c r="D341" s="19" t="s">
        <v>53</v>
      </c>
      <c r="E341" s="19" t="s">
        <v>54</v>
      </c>
      <c r="F341" s="20" t="s">
        <v>141</v>
      </c>
      <c r="G341" s="20" t="s">
        <v>142</v>
      </c>
      <c r="H341" s="19" t="s">
        <v>1278</v>
      </c>
      <c r="I341" s="20" t="s">
        <v>58</v>
      </c>
      <c r="J341" s="20" t="s">
        <v>144</v>
      </c>
      <c r="K341" s="20" t="s">
        <v>1279</v>
      </c>
      <c r="L341" s="19" t="s">
        <v>61</v>
      </c>
      <c r="M341" s="19" t="s">
        <v>62</v>
      </c>
      <c r="N341" s="20" t="s">
        <v>63</v>
      </c>
      <c r="O341" s="19">
        <v>21</v>
      </c>
      <c r="P341" s="19">
        <v>3.73</v>
      </c>
      <c r="Q341" s="19">
        <v>1</v>
      </c>
      <c r="R341" s="20">
        <v>7</v>
      </c>
      <c r="S341" s="19">
        <v>6.6000000000000003E-2</v>
      </c>
      <c r="T341" s="19" t="s">
        <v>64</v>
      </c>
      <c r="U341" s="19" t="s">
        <v>65</v>
      </c>
      <c r="V341" s="19" t="s">
        <v>66</v>
      </c>
      <c r="W341" s="19" t="s">
        <v>67</v>
      </c>
      <c r="X341" s="19" t="s">
        <v>68</v>
      </c>
      <c r="Y341" s="21" t="s">
        <v>69</v>
      </c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2"/>
      <c r="AK341" s="22"/>
      <c r="AL341" s="22"/>
      <c r="AM341" s="21" t="s">
        <v>70</v>
      </c>
      <c r="AN341" s="21" t="s">
        <v>70</v>
      </c>
      <c r="AO341" s="21" t="str">
        <f>_xlfn.XLOOKUP(A:A,[1]TAGS!$A:$A,[1]TAGS!$BG:$BG)</f>
        <v>Não Montado</v>
      </c>
      <c r="AP341" s="21"/>
      <c r="AQ341" s="21"/>
      <c r="AR341" s="21"/>
      <c r="AS341" s="21"/>
      <c r="AT341" s="21"/>
      <c r="AU341" s="21"/>
    </row>
    <row r="342" spans="1:47" x14ac:dyDescent="0.35">
      <c r="A342" s="19" t="s">
        <v>1280</v>
      </c>
      <c r="B342" s="19" t="s">
        <v>52</v>
      </c>
      <c r="C342" s="19"/>
      <c r="D342" s="19" t="s">
        <v>53</v>
      </c>
      <c r="E342" s="19" t="s">
        <v>54</v>
      </c>
      <c r="F342" s="20" t="s">
        <v>141</v>
      </c>
      <c r="G342" s="20" t="s">
        <v>142</v>
      </c>
      <c r="H342" s="19" t="s">
        <v>1281</v>
      </c>
      <c r="I342" s="20" t="s">
        <v>58</v>
      </c>
      <c r="J342" s="20" t="s">
        <v>144</v>
      </c>
      <c r="K342" s="20" t="s">
        <v>1282</v>
      </c>
      <c r="L342" s="19" t="s">
        <v>61</v>
      </c>
      <c r="M342" s="19" t="s">
        <v>62</v>
      </c>
      <c r="N342" s="20" t="s">
        <v>63</v>
      </c>
      <c r="O342" s="19">
        <v>21</v>
      </c>
      <c r="P342" s="19">
        <v>3.73</v>
      </c>
      <c r="Q342" s="19">
        <v>1</v>
      </c>
      <c r="R342" s="20">
        <v>7</v>
      </c>
      <c r="S342" s="19">
        <v>6.6000000000000003E-2</v>
      </c>
      <c r="T342" s="19" t="s">
        <v>64</v>
      </c>
      <c r="U342" s="19" t="s">
        <v>65</v>
      </c>
      <c r="V342" s="19" t="s">
        <v>66</v>
      </c>
      <c r="W342" s="19" t="s">
        <v>67</v>
      </c>
      <c r="X342" s="19" t="s">
        <v>68</v>
      </c>
      <c r="Y342" s="21" t="s">
        <v>69</v>
      </c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2"/>
      <c r="AK342" s="22"/>
      <c r="AL342" s="22"/>
      <c r="AM342" s="21" t="s">
        <v>70</v>
      </c>
      <c r="AN342" s="21" t="s">
        <v>70</v>
      </c>
      <c r="AO342" s="21" t="str">
        <f>_xlfn.XLOOKUP(A:A,[1]TAGS!$A:$A,[1]TAGS!$BG:$BG)</f>
        <v>Não Montado</v>
      </c>
      <c r="AP342" s="21"/>
      <c r="AQ342" s="21"/>
      <c r="AR342" s="21"/>
      <c r="AS342" s="21"/>
      <c r="AT342" s="21"/>
      <c r="AU342" s="21"/>
    </row>
    <row r="343" spans="1:47" x14ac:dyDescent="0.35">
      <c r="A343" s="19" t="s">
        <v>1283</v>
      </c>
      <c r="B343" s="19" t="s">
        <v>52</v>
      </c>
      <c r="C343" s="19"/>
      <c r="D343" s="19" t="s">
        <v>53</v>
      </c>
      <c r="E343" s="19" t="s">
        <v>54</v>
      </c>
      <c r="F343" s="20" t="s">
        <v>141</v>
      </c>
      <c r="G343" s="20" t="s">
        <v>142</v>
      </c>
      <c r="H343" s="19" t="s">
        <v>1284</v>
      </c>
      <c r="I343" s="20" t="s">
        <v>58</v>
      </c>
      <c r="J343" s="20" t="s">
        <v>144</v>
      </c>
      <c r="K343" s="20" t="s">
        <v>1285</v>
      </c>
      <c r="L343" s="19" t="s">
        <v>61</v>
      </c>
      <c r="M343" s="19" t="s">
        <v>62</v>
      </c>
      <c r="N343" s="20" t="s">
        <v>63</v>
      </c>
      <c r="O343" s="19">
        <v>21</v>
      </c>
      <c r="P343" s="19">
        <v>3.73</v>
      </c>
      <c r="Q343" s="19">
        <v>1</v>
      </c>
      <c r="R343" s="20">
        <v>7</v>
      </c>
      <c r="S343" s="19">
        <v>6.6000000000000003E-2</v>
      </c>
      <c r="T343" s="19" t="s">
        <v>64</v>
      </c>
      <c r="U343" s="19" t="s">
        <v>65</v>
      </c>
      <c r="V343" s="19" t="s">
        <v>66</v>
      </c>
      <c r="W343" s="19" t="s">
        <v>67</v>
      </c>
      <c r="X343" s="19" t="s">
        <v>68</v>
      </c>
      <c r="Y343" s="21" t="s">
        <v>69</v>
      </c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2"/>
      <c r="AK343" s="22"/>
      <c r="AL343" s="22"/>
      <c r="AM343" s="21" t="s">
        <v>70</v>
      </c>
      <c r="AN343" s="21" t="s">
        <v>70</v>
      </c>
      <c r="AO343" s="21" t="str">
        <f>_xlfn.XLOOKUP(A:A,[1]TAGS!$A:$A,[1]TAGS!$BG:$BG)</f>
        <v>Montado</v>
      </c>
      <c r="AP343" s="21"/>
      <c r="AQ343" s="21"/>
      <c r="AR343" s="21"/>
      <c r="AS343" s="21"/>
      <c r="AT343" s="21"/>
      <c r="AU343" s="21"/>
    </row>
    <row r="344" spans="1:47" x14ac:dyDescent="0.35">
      <c r="A344" s="19" t="s">
        <v>1286</v>
      </c>
      <c r="B344" s="19" t="s">
        <v>52</v>
      </c>
      <c r="C344" s="19"/>
      <c r="D344" s="19" t="s">
        <v>53</v>
      </c>
      <c r="E344" s="19" t="s">
        <v>54</v>
      </c>
      <c r="F344" s="20" t="s">
        <v>141</v>
      </c>
      <c r="G344" s="20" t="s">
        <v>142</v>
      </c>
      <c r="H344" s="19" t="s">
        <v>1287</v>
      </c>
      <c r="I344" s="20" t="s">
        <v>58</v>
      </c>
      <c r="J344" s="20" t="s">
        <v>144</v>
      </c>
      <c r="K344" s="20" t="s">
        <v>1288</v>
      </c>
      <c r="L344" s="19" t="s">
        <v>61</v>
      </c>
      <c r="M344" s="19" t="s">
        <v>62</v>
      </c>
      <c r="N344" s="20" t="s">
        <v>63</v>
      </c>
      <c r="O344" s="19">
        <v>21</v>
      </c>
      <c r="P344" s="19">
        <v>3.73</v>
      </c>
      <c r="Q344" s="19">
        <v>1</v>
      </c>
      <c r="R344" s="20">
        <v>7</v>
      </c>
      <c r="S344" s="19">
        <v>6.6000000000000003E-2</v>
      </c>
      <c r="T344" s="19" t="s">
        <v>64</v>
      </c>
      <c r="U344" s="19" t="s">
        <v>65</v>
      </c>
      <c r="V344" s="19" t="s">
        <v>66</v>
      </c>
      <c r="W344" s="19" t="s">
        <v>67</v>
      </c>
      <c r="X344" s="19" t="s">
        <v>68</v>
      </c>
      <c r="Y344" s="21" t="s">
        <v>69</v>
      </c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2"/>
      <c r="AK344" s="22"/>
      <c r="AL344" s="22"/>
      <c r="AM344" s="21" t="s">
        <v>70</v>
      </c>
      <c r="AN344" s="21" t="s">
        <v>70</v>
      </c>
      <c r="AO344" s="21" t="str">
        <f>_xlfn.XLOOKUP(A:A,[1]TAGS!$A:$A,[1]TAGS!$BG:$BG)</f>
        <v>Não Montado</v>
      </c>
      <c r="AP344" s="21"/>
      <c r="AQ344" s="21"/>
      <c r="AR344" s="21"/>
      <c r="AS344" s="21"/>
      <c r="AT344" s="21"/>
      <c r="AU344" s="21"/>
    </row>
    <row r="345" spans="1:47" x14ac:dyDescent="0.35">
      <c r="A345" s="19" t="s">
        <v>1289</v>
      </c>
      <c r="B345" s="19" t="s">
        <v>52</v>
      </c>
      <c r="C345" s="19"/>
      <c r="D345" s="19" t="s">
        <v>53</v>
      </c>
      <c r="E345" s="19" t="s">
        <v>54</v>
      </c>
      <c r="F345" s="20" t="s">
        <v>141</v>
      </c>
      <c r="G345" s="20" t="s">
        <v>142</v>
      </c>
      <c r="H345" s="19" t="s">
        <v>1290</v>
      </c>
      <c r="I345" s="20" t="s">
        <v>58</v>
      </c>
      <c r="J345" s="20" t="s">
        <v>144</v>
      </c>
      <c r="K345" s="20" t="s">
        <v>1291</v>
      </c>
      <c r="L345" s="19" t="s">
        <v>61</v>
      </c>
      <c r="M345" s="19" t="s">
        <v>62</v>
      </c>
      <c r="N345" s="20" t="s">
        <v>63</v>
      </c>
      <c r="O345" s="19">
        <v>21</v>
      </c>
      <c r="P345" s="19">
        <v>3.73</v>
      </c>
      <c r="Q345" s="19">
        <v>1</v>
      </c>
      <c r="R345" s="20">
        <v>7</v>
      </c>
      <c r="S345" s="19">
        <v>6.6000000000000003E-2</v>
      </c>
      <c r="T345" s="19" t="s">
        <v>64</v>
      </c>
      <c r="U345" s="19" t="s">
        <v>65</v>
      </c>
      <c r="V345" s="19" t="s">
        <v>66</v>
      </c>
      <c r="W345" s="19" t="s">
        <v>67</v>
      </c>
      <c r="X345" s="19" t="s">
        <v>68</v>
      </c>
      <c r="Y345" s="21" t="s">
        <v>69</v>
      </c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2"/>
      <c r="AK345" s="22"/>
      <c r="AL345" s="22"/>
      <c r="AM345" s="21" t="s">
        <v>70</v>
      </c>
      <c r="AN345" s="21" t="s">
        <v>70</v>
      </c>
      <c r="AO345" s="21" t="str">
        <f>_xlfn.XLOOKUP(A:A,[1]TAGS!$A:$A,[1]TAGS!$BG:$BG)</f>
        <v>Montado</v>
      </c>
      <c r="AP345" s="21"/>
      <c r="AQ345" s="21"/>
      <c r="AR345" s="21"/>
      <c r="AS345" s="21"/>
      <c r="AT345" s="21"/>
      <c r="AU345" s="21"/>
    </row>
    <row r="346" spans="1:47" x14ac:dyDescent="0.35">
      <c r="A346" s="19" t="s">
        <v>1292</v>
      </c>
      <c r="B346" s="19" t="s">
        <v>52</v>
      </c>
      <c r="C346" s="19"/>
      <c r="D346" s="19" t="s">
        <v>53</v>
      </c>
      <c r="E346" s="19" t="s">
        <v>54</v>
      </c>
      <c r="F346" s="20" t="s">
        <v>141</v>
      </c>
      <c r="G346" s="20" t="s">
        <v>142</v>
      </c>
      <c r="H346" s="19" t="s">
        <v>1293</v>
      </c>
      <c r="I346" s="20" t="s">
        <v>58</v>
      </c>
      <c r="J346" s="20" t="s">
        <v>144</v>
      </c>
      <c r="K346" s="20" t="s">
        <v>1294</v>
      </c>
      <c r="L346" s="19" t="s">
        <v>61</v>
      </c>
      <c r="M346" s="19" t="s">
        <v>62</v>
      </c>
      <c r="N346" s="20" t="s">
        <v>63</v>
      </c>
      <c r="O346" s="19">
        <v>21</v>
      </c>
      <c r="P346" s="19">
        <v>3.73</v>
      </c>
      <c r="Q346" s="19">
        <v>1</v>
      </c>
      <c r="R346" s="20">
        <v>7</v>
      </c>
      <c r="S346" s="19">
        <v>6.6000000000000003E-2</v>
      </c>
      <c r="T346" s="19" t="s">
        <v>64</v>
      </c>
      <c r="U346" s="19" t="s">
        <v>65</v>
      </c>
      <c r="V346" s="19" t="s">
        <v>66</v>
      </c>
      <c r="W346" s="19" t="s">
        <v>67</v>
      </c>
      <c r="X346" s="19" t="s">
        <v>68</v>
      </c>
      <c r="Y346" s="21" t="s">
        <v>69</v>
      </c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2"/>
      <c r="AK346" s="22"/>
      <c r="AL346" s="22"/>
      <c r="AM346" s="21" t="s">
        <v>70</v>
      </c>
      <c r="AN346" s="21" t="s">
        <v>70</v>
      </c>
      <c r="AO346" s="21" t="str">
        <f>_xlfn.XLOOKUP(A:A,[1]TAGS!$A:$A,[1]TAGS!$BG:$BG)</f>
        <v>Montado</v>
      </c>
      <c r="AP346" s="21"/>
      <c r="AQ346" s="21"/>
      <c r="AR346" s="21"/>
      <c r="AS346" s="21"/>
      <c r="AT346" s="21"/>
      <c r="AU346" s="21"/>
    </row>
    <row r="347" spans="1:47" x14ac:dyDescent="0.35">
      <c r="A347" s="19" t="s">
        <v>1295</v>
      </c>
      <c r="B347" s="19" t="s">
        <v>52</v>
      </c>
      <c r="C347" s="19"/>
      <c r="D347" s="19" t="s">
        <v>53</v>
      </c>
      <c r="E347" s="19" t="s">
        <v>54</v>
      </c>
      <c r="F347" s="20" t="s">
        <v>141</v>
      </c>
      <c r="G347" s="20" t="s">
        <v>142</v>
      </c>
      <c r="H347" s="19" t="s">
        <v>1296</v>
      </c>
      <c r="I347" s="20" t="s">
        <v>58</v>
      </c>
      <c r="J347" s="20" t="s">
        <v>144</v>
      </c>
      <c r="K347" s="20" t="s">
        <v>1297</v>
      </c>
      <c r="L347" s="19" t="s">
        <v>61</v>
      </c>
      <c r="M347" s="19" t="s">
        <v>62</v>
      </c>
      <c r="N347" s="20" t="s">
        <v>63</v>
      </c>
      <c r="O347" s="19">
        <v>21</v>
      </c>
      <c r="P347" s="19">
        <v>3.73</v>
      </c>
      <c r="Q347" s="19">
        <v>1</v>
      </c>
      <c r="R347" s="20">
        <v>7</v>
      </c>
      <c r="S347" s="19">
        <v>6.6000000000000003E-2</v>
      </c>
      <c r="T347" s="19" t="s">
        <v>64</v>
      </c>
      <c r="U347" s="19" t="s">
        <v>65</v>
      </c>
      <c r="V347" s="19" t="s">
        <v>66</v>
      </c>
      <c r="W347" s="19" t="s">
        <v>67</v>
      </c>
      <c r="X347" s="19" t="s">
        <v>68</v>
      </c>
      <c r="Y347" s="21" t="s">
        <v>69</v>
      </c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2"/>
      <c r="AK347" s="22"/>
      <c r="AL347" s="22"/>
      <c r="AM347" s="21" t="s">
        <v>70</v>
      </c>
      <c r="AN347" s="21" t="s">
        <v>70</v>
      </c>
      <c r="AO347" s="21" t="str">
        <f>_xlfn.XLOOKUP(A:A,[1]TAGS!$A:$A,[1]TAGS!$BG:$BG)</f>
        <v>Montado</v>
      </c>
      <c r="AP347" s="21"/>
      <c r="AQ347" s="21"/>
      <c r="AR347" s="21"/>
      <c r="AS347" s="21"/>
      <c r="AT347" s="21"/>
      <c r="AU347" s="21"/>
    </row>
    <row r="348" spans="1:47" x14ac:dyDescent="0.35">
      <c r="A348" s="19" t="s">
        <v>1298</v>
      </c>
      <c r="B348" s="19" t="s">
        <v>52</v>
      </c>
      <c r="C348" s="19"/>
      <c r="D348" s="19" t="s">
        <v>53</v>
      </c>
      <c r="E348" s="19" t="s">
        <v>54</v>
      </c>
      <c r="F348" s="20" t="s">
        <v>141</v>
      </c>
      <c r="G348" s="20" t="s">
        <v>142</v>
      </c>
      <c r="H348" s="19" t="s">
        <v>1299</v>
      </c>
      <c r="I348" s="20" t="s">
        <v>58</v>
      </c>
      <c r="J348" s="20" t="s">
        <v>144</v>
      </c>
      <c r="K348" s="20" t="s">
        <v>1300</v>
      </c>
      <c r="L348" s="19" t="s">
        <v>61</v>
      </c>
      <c r="M348" s="19" t="s">
        <v>62</v>
      </c>
      <c r="N348" s="20" t="s">
        <v>63</v>
      </c>
      <c r="O348" s="19">
        <v>21</v>
      </c>
      <c r="P348" s="19">
        <v>3.73</v>
      </c>
      <c r="Q348" s="19">
        <v>1</v>
      </c>
      <c r="R348" s="20">
        <v>7</v>
      </c>
      <c r="S348" s="19">
        <v>6.6000000000000003E-2</v>
      </c>
      <c r="T348" s="19" t="s">
        <v>64</v>
      </c>
      <c r="U348" s="19" t="s">
        <v>65</v>
      </c>
      <c r="V348" s="19" t="s">
        <v>66</v>
      </c>
      <c r="W348" s="19" t="s">
        <v>67</v>
      </c>
      <c r="X348" s="19" t="s">
        <v>68</v>
      </c>
      <c r="Y348" s="21" t="s">
        <v>69</v>
      </c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2"/>
      <c r="AK348" s="22"/>
      <c r="AL348" s="22"/>
      <c r="AM348" s="21" t="s">
        <v>70</v>
      </c>
      <c r="AN348" s="21" t="s">
        <v>70</v>
      </c>
      <c r="AO348" s="21" t="str">
        <f>_xlfn.XLOOKUP(A:A,[1]TAGS!$A:$A,[1]TAGS!$BG:$BG)</f>
        <v>Montado</v>
      </c>
      <c r="AP348" s="21"/>
      <c r="AQ348" s="21"/>
      <c r="AR348" s="21"/>
      <c r="AS348" s="21"/>
      <c r="AT348" s="21"/>
      <c r="AU348" s="21"/>
    </row>
    <row r="349" spans="1:47" x14ac:dyDescent="0.35">
      <c r="A349" s="19" t="s">
        <v>1301</v>
      </c>
      <c r="B349" s="19" t="s">
        <v>52</v>
      </c>
      <c r="C349" s="19"/>
      <c r="D349" s="19" t="s">
        <v>53</v>
      </c>
      <c r="E349" s="19" t="s">
        <v>54</v>
      </c>
      <c r="F349" s="20" t="s">
        <v>141</v>
      </c>
      <c r="G349" s="20" t="s">
        <v>142</v>
      </c>
      <c r="H349" s="19" t="s">
        <v>1302</v>
      </c>
      <c r="I349" s="20" t="s">
        <v>58</v>
      </c>
      <c r="J349" s="20" t="s">
        <v>144</v>
      </c>
      <c r="K349" s="20" t="s">
        <v>1303</v>
      </c>
      <c r="L349" s="19" t="s">
        <v>61</v>
      </c>
      <c r="M349" s="19" t="s">
        <v>62</v>
      </c>
      <c r="N349" s="20" t="s">
        <v>63</v>
      </c>
      <c r="O349" s="19">
        <v>21</v>
      </c>
      <c r="P349" s="19">
        <v>3.73</v>
      </c>
      <c r="Q349" s="19">
        <v>1</v>
      </c>
      <c r="R349" s="20">
        <v>7</v>
      </c>
      <c r="S349" s="19">
        <v>6.6000000000000003E-2</v>
      </c>
      <c r="T349" s="19" t="s">
        <v>64</v>
      </c>
      <c r="U349" s="19" t="s">
        <v>65</v>
      </c>
      <c r="V349" s="19" t="s">
        <v>66</v>
      </c>
      <c r="W349" s="19" t="s">
        <v>67</v>
      </c>
      <c r="X349" s="19" t="s">
        <v>68</v>
      </c>
      <c r="Y349" s="21" t="s">
        <v>69</v>
      </c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2"/>
      <c r="AK349" s="22"/>
      <c r="AL349" s="22"/>
      <c r="AM349" s="21" t="s">
        <v>70</v>
      </c>
      <c r="AN349" s="21" t="s">
        <v>70</v>
      </c>
      <c r="AO349" s="21" t="str">
        <f>_xlfn.XLOOKUP(A:A,[1]TAGS!$A:$A,[1]TAGS!$BG:$BG)</f>
        <v>Montado</v>
      </c>
      <c r="AP349" s="21"/>
      <c r="AQ349" s="21"/>
      <c r="AR349" s="21"/>
      <c r="AS349" s="21"/>
      <c r="AT349" s="21"/>
      <c r="AU349" s="21"/>
    </row>
    <row r="350" spans="1:47" x14ac:dyDescent="0.35">
      <c r="A350" s="19" t="s">
        <v>1304</v>
      </c>
      <c r="B350" s="19" t="s">
        <v>52</v>
      </c>
      <c r="C350" s="19"/>
      <c r="D350" s="19" t="s">
        <v>53</v>
      </c>
      <c r="E350" s="19" t="s">
        <v>54</v>
      </c>
      <c r="F350" s="20" t="s">
        <v>141</v>
      </c>
      <c r="G350" s="20" t="s">
        <v>142</v>
      </c>
      <c r="H350" s="19" t="s">
        <v>1305</v>
      </c>
      <c r="I350" s="20" t="s">
        <v>58</v>
      </c>
      <c r="J350" s="20" t="s">
        <v>144</v>
      </c>
      <c r="K350" s="20" t="s">
        <v>1306</v>
      </c>
      <c r="L350" s="19" t="s">
        <v>61</v>
      </c>
      <c r="M350" s="19" t="s">
        <v>62</v>
      </c>
      <c r="N350" s="20" t="s">
        <v>63</v>
      </c>
      <c r="O350" s="19">
        <v>21</v>
      </c>
      <c r="P350" s="19">
        <v>3.73</v>
      </c>
      <c r="Q350" s="19">
        <v>1</v>
      </c>
      <c r="R350" s="20">
        <v>7</v>
      </c>
      <c r="S350" s="19">
        <v>6.6000000000000003E-2</v>
      </c>
      <c r="T350" s="19" t="s">
        <v>64</v>
      </c>
      <c r="U350" s="19" t="s">
        <v>65</v>
      </c>
      <c r="V350" s="19" t="s">
        <v>66</v>
      </c>
      <c r="W350" s="19" t="s">
        <v>67</v>
      </c>
      <c r="X350" s="19" t="s">
        <v>68</v>
      </c>
      <c r="Y350" s="21" t="s">
        <v>69</v>
      </c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2"/>
      <c r="AK350" s="22"/>
      <c r="AL350" s="22"/>
      <c r="AM350" s="21" t="s">
        <v>70</v>
      </c>
      <c r="AN350" s="21" t="s">
        <v>70</v>
      </c>
      <c r="AO350" s="21" t="str">
        <f>_xlfn.XLOOKUP(A:A,[1]TAGS!$A:$A,[1]TAGS!$BG:$BG)</f>
        <v>Montado</v>
      </c>
      <c r="AP350" s="21"/>
      <c r="AQ350" s="21"/>
      <c r="AR350" s="21"/>
      <c r="AS350" s="21"/>
      <c r="AT350" s="21"/>
      <c r="AU350" s="21"/>
    </row>
    <row r="351" spans="1:47" x14ac:dyDescent="0.35">
      <c r="A351" s="19" t="s">
        <v>1307</v>
      </c>
      <c r="B351" s="19" t="s">
        <v>52</v>
      </c>
      <c r="C351" s="19"/>
      <c r="D351" s="19" t="s">
        <v>53</v>
      </c>
      <c r="E351" s="19" t="s">
        <v>54</v>
      </c>
      <c r="F351" s="20" t="s">
        <v>254</v>
      </c>
      <c r="G351" s="20" t="s">
        <v>255</v>
      </c>
      <c r="H351" s="19" t="s">
        <v>1308</v>
      </c>
      <c r="I351" s="20" t="s">
        <v>58</v>
      </c>
      <c r="J351" s="20" t="s">
        <v>257</v>
      </c>
      <c r="K351" s="20" t="s">
        <v>1309</v>
      </c>
      <c r="L351" s="19" t="s">
        <v>61</v>
      </c>
      <c r="M351" s="19" t="s">
        <v>62</v>
      </c>
      <c r="N351" s="20" t="s">
        <v>63</v>
      </c>
      <c r="O351" s="19">
        <v>21</v>
      </c>
      <c r="P351" s="19">
        <v>3.73</v>
      </c>
      <c r="Q351" s="19">
        <v>1</v>
      </c>
      <c r="R351" s="20">
        <v>7</v>
      </c>
      <c r="S351" s="19">
        <v>6.6000000000000003E-2</v>
      </c>
      <c r="T351" s="19" t="s">
        <v>64</v>
      </c>
      <c r="U351" s="19" t="s">
        <v>65</v>
      </c>
      <c r="V351" s="19" t="s">
        <v>66</v>
      </c>
      <c r="W351" s="19" t="s">
        <v>67</v>
      </c>
      <c r="X351" s="19" t="s">
        <v>68</v>
      </c>
      <c r="Y351" s="21" t="s">
        <v>69</v>
      </c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2"/>
      <c r="AK351" s="22"/>
      <c r="AL351" s="22"/>
      <c r="AM351" s="21" t="s">
        <v>70</v>
      </c>
      <c r="AN351" s="21" t="s">
        <v>70</v>
      </c>
      <c r="AO351" s="21" t="str">
        <f>_xlfn.XLOOKUP(A:A,[1]TAGS!$A:$A,[1]TAGS!$BG:$BG)</f>
        <v>Montado</v>
      </c>
      <c r="AP351" s="21"/>
      <c r="AQ351" s="21"/>
      <c r="AR351" s="21"/>
      <c r="AS351" s="21"/>
      <c r="AT351" s="21"/>
      <c r="AU351" s="21"/>
    </row>
    <row r="352" spans="1:47" x14ac:dyDescent="0.35">
      <c r="A352" s="19" t="s">
        <v>1310</v>
      </c>
      <c r="B352" s="19" t="s">
        <v>52</v>
      </c>
      <c r="C352" s="19"/>
      <c r="D352" s="19" t="s">
        <v>53</v>
      </c>
      <c r="E352" s="19" t="s">
        <v>54</v>
      </c>
      <c r="F352" s="20" t="s">
        <v>141</v>
      </c>
      <c r="G352" s="20" t="s">
        <v>142</v>
      </c>
      <c r="H352" s="19" t="s">
        <v>1311</v>
      </c>
      <c r="I352" s="20" t="s">
        <v>58</v>
      </c>
      <c r="J352" s="20" t="s">
        <v>144</v>
      </c>
      <c r="K352" s="20" t="s">
        <v>1312</v>
      </c>
      <c r="L352" s="19" t="s">
        <v>61</v>
      </c>
      <c r="M352" s="19" t="s">
        <v>62</v>
      </c>
      <c r="N352" s="20" t="s">
        <v>63</v>
      </c>
      <c r="O352" s="19">
        <v>21</v>
      </c>
      <c r="P352" s="19">
        <v>3.73</v>
      </c>
      <c r="Q352" s="19">
        <v>1</v>
      </c>
      <c r="R352" s="20">
        <v>7</v>
      </c>
      <c r="S352" s="19">
        <v>6.6000000000000003E-2</v>
      </c>
      <c r="T352" s="19" t="s">
        <v>64</v>
      </c>
      <c r="U352" s="19" t="s">
        <v>65</v>
      </c>
      <c r="V352" s="19" t="s">
        <v>66</v>
      </c>
      <c r="W352" s="19" t="s">
        <v>67</v>
      </c>
      <c r="X352" s="19" t="s">
        <v>68</v>
      </c>
      <c r="Y352" s="21" t="s">
        <v>69</v>
      </c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2"/>
      <c r="AK352" s="22"/>
      <c r="AL352" s="22"/>
      <c r="AM352" s="21" t="s">
        <v>70</v>
      </c>
      <c r="AN352" s="21" t="s">
        <v>70</v>
      </c>
      <c r="AO352" s="21" t="str">
        <f>_xlfn.XLOOKUP(A:A,[1]TAGS!$A:$A,[1]TAGS!$BG:$BG)</f>
        <v>Montado</v>
      </c>
      <c r="AP352" s="21"/>
      <c r="AQ352" s="21"/>
      <c r="AR352" s="21"/>
      <c r="AS352" s="21"/>
      <c r="AT352" s="21"/>
      <c r="AU352" s="21"/>
    </row>
    <row r="353" spans="1:47" x14ac:dyDescent="0.35">
      <c r="A353" s="19" t="s">
        <v>1313</v>
      </c>
      <c r="B353" s="19" t="s">
        <v>52</v>
      </c>
      <c r="C353" s="19"/>
      <c r="D353" s="19" t="s">
        <v>53</v>
      </c>
      <c r="E353" s="19" t="s">
        <v>54</v>
      </c>
      <c r="F353" s="20" t="s">
        <v>141</v>
      </c>
      <c r="G353" s="20" t="s">
        <v>142</v>
      </c>
      <c r="H353" s="19" t="s">
        <v>1314</v>
      </c>
      <c r="I353" s="20" t="s">
        <v>58</v>
      </c>
      <c r="J353" s="20" t="s">
        <v>144</v>
      </c>
      <c r="K353" s="20" t="s">
        <v>1315</v>
      </c>
      <c r="L353" s="19" t="s">
        <v>61</v>
      </c>
      <c r="M353" s="19" t="s">
        <v>62</v>
      </c>
      <c r="N353" s="20" t="s">
        <v>63</v>
      </c>
      <c r="O353" s="19">
        <v>21</v>
      </c>
      <c r="P353" s="19">
        <v>3.73</v>
      </c>
      <c r="Q353" s="19">
        <v>1</v>
      </c>
      <c r="R353" s="20">
        <v>7</v>
      </c>
      <c r="S353" s="19">
        <v>6.6000000000000003E-2</v>
      </c>
      <c r="T353" s="19" t="s">
        <v>64</v>
      </c>
      <c r="U353" s="19" t="s">
        <v>65</v>
      </c>
      <c r="V353" s="19" t="s">
        <v>66</v>
      </c>
      <c r="W353" s="19" t="s">
        <v>67</v>
      </c>
      <c r="X353" s="19" t="s">
        <v>68</v>
      </c>
      <c r="Y353" s="21" t="s">
        <v>69</v>
      </c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2"/>
      <c r="AK353" s="22"/>
      <c r="AL353" s="22"/>
      <c r="AM353" s="21" t="s">
        <v>70</v>
      </c>
      <c r="AN353" s="21" t="s">
        <v>70</v>
      </c>
      <c r="AO353" s="21" t="str">
        <f>_xlfn.XLOOKUP(A:A,[1]TAGS!$A:$A,[1]TAGS!$BG:$BG)</f>
        <v>Montado</v>
      </c>
      <c r="AP353" s="21"/>
      <c r="AQ353" s="21"/>
      <c r="AR353" s="21"/>
      <c r="AS353" s="21"/>
      <c r="AT353" s="21"/>
      <c r="AU353" s="21"/>
    </row>
    <row r="354" spans="1:47" x14ac:dyDescent="0.35">
      <c r="A354" s="19" t="s">
        <v>1316</v>
      </c>
      <c r="B354" s="19" t="s">
        <v>52</v>
      </c>
      <c r="C354" s="19"/>
      <c r="D354" s="19" t="s">
        <v>53</v>
      </c>
      <c r="E354" s="19" t="s">
        <v>54</v>
      </c>
      <c r="F354" s="20" t="s">
        <v>141</v>
      </c>
      <c r="G354" s="20" t="s">
        <v>142</v>
      </c>
      <c r="H354" s="19" t="s">
        <v>1317</v>
      </c>
      <c r="I354" s="20" t="s">
        <v>58</v>
      </c>
      <c r="J354" s="20" t="s">
        <v>144</v>
      </c>
      <c r="K354" s="20" t="s">
        <v>1318</v>
      </c>
      <c r="L354" s="19" t="s">
        <v>61</v>
      </c>
      <c r="M354" s="19" t="s">
        <v>62</v>
      </c>
      <c r="N354" s="20" t="s">
        <v>63</v>
      </c>
      <c r="O354" s="19">
        <v>21</v>
      </c>
      <c r="P354" s="19">
        <v>3.73</v>
      </c>
      <c r="Q354" s="19">
        <v>1</v>
      </c>
      <c r="R354" s="20">
        <v>7</v>
      </c>
      <c r="S354" s="19">
        <v>6.6000000000000003E-2</v>
      </c>
      <c r="T354" s="19" t="s">
        <v>64</v>
      </c>
      <c r="U354" s="19" t="s">
        <v>65</v>
      </c>
      <c r="V354" s="19" t="s">
        <v>66</v>
      </c>
      <c r="W354" s="19" t="s">
        <v>67</v>
      </c>
      <c r="X354" s="19" t="s">
        <v>68</v>
      </c>
      <c r="Y354" s="21" t="s">
        <v>69</v>
      </c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2"/>
      <c r="AK354" s="22"/>
      <c r="AL354" s="22"/>
      <c r="AM354" s="21" t="s">
        <v>70</v>
      </c>
      <c r="AN354" s="21" t="s">
        <v>70</v>
      </c>
      <c r="AO354" s="21" t="str">
        <f>_xlfn.XLOOKUP(A:A,[1]TAGS!$A:$A,[1]TAGS!$BG:$BG)</f>
        <v>Montado</v>
      </c>
      <c r="AP354" s="21"/>
      <c r="AQ354" s="21"/>
      <c r="AR354" s="21"/>
      <c r="AS354" s="21"/>
      <c r="AT354" s="21"/>
      <c r="AU354" s="21"/>
    </row>
    <row r="355" spans="1:47" x14ac:dyDescent="0.35">
      <c r="A355" s="19" t="s">
        <v>1319</v>
      </c>
      <c r="B355" s="19" t="s">
        <v>52</v>
      </c>
      <c r="C355" s="19"/>
      <c r="D355" s="19" t="s">
        <v>53</v>
      </c>
      <c r="E355" s="19" t="s">
        <v>54</v>
      </c>
      <c r="F355" s="20" t="s">
        <v>141</v>
      </c>
      <c r="G355" s="20" t="s">
        <v>142</v>
      </c>
      <c r="H355" s="19" t="s">
        <v>1320</v>
      </c>
      <c r="I355" s="20" t="s">
        <v>58</v>
      </c>
      <c r="J355" s="20" t="s">
        <v>144</v>
      </c>
      <c r="K355" s="20" t="s">
        <v>1321</v>
      </c>
      <c r="L355" s="19" t="s">
        <v>61</v>
      </c>
      <c r="M355" s="19" t="s">
        <v>62</v>
      </c>
      <c r="N355" s="20" t="s">
        <v>63</v>
      </c>
      <c r="O355" s="19">
        <v>21</v>
      </c>
      <c r="P355" s="19">
        <v>3.73</v>
      </c>
      <c r="Q355" s="19">
        <v>1</v>
      </c>
      <c r="R355" s="20">
        <v>7</v>
      </c>
      <c r="S355" s="19">
        <v>6.6000000000000003E-2</v>
      </c>
      <c r="T355" s="19" t="s">
        <v>64</v>
      </c>
      <c r="U355" s="19" t="s">
        <v>65</v>
      </c>
      <c r="V355" s="19" t="s">
        <v>66</v>
      </c>
      <c r="W355" s="19" t="s">
        <v>67</v>
      </c>
      <c r="X355" s="19" t="s">
        <v>68</v>
      </c>
      <c r="Y355" s="21" t="s">
        <v>69</v>
      </c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2"/>
      <c r="AK355" s="22"/>
      <c r="AL355" s="22"/>
      <c r="AM355" s="21" t="s">
        <v>70</v>
      </c>
      <c r="AN355" s="21" t="s">
        <v>70</v>
      </c>
      <c r="AO355" s="21" t="str">
        <f>_xlfn.XLOOKUP(A:A,[1]TAGS!$A:$A,[1]TAGS!$BG:$BG)</f>
        <v>Montado</v>
      </c>
      <c r="AP355" s="21"/>
      <c r="AQ355" s="21"/>
      <c r="AR355" s="21"/>
      <c r="AS355" s="21"/>
      <c r="AT355" s="21"/>
      <c r="AU355" s="21"/>
    </row>
    <row r="356" spans="1:47" x14ac:dyDescent="0.35">
      <c r="A356" s="19" t="s">
        <v>1322</v>
      </c>
      <c r="B356" s="19" t="s">
        <v>52</v>
      </c>
      <c r="C356" s="19"/>
      <c r="D356" s="19" t="s">
        <v>53</v>
      </c>
      <c r="E356" s="19" t="s">
        <v>54</v>
      </c>
      <c r="F356" s="20" t="s">
        <v>141</v>
      </c>
      <c r="G356" s="20" t="s">
        <v>174</v>
      </c>
      <c r="H356" s="19" t="s">
        <v>1323</v>
      </c>
      <c r="I356" s="20" t="s">
        <v>58</v>
      </c>
      <c r="J356" s="20" t="s">
        <v>176</v>
      </c>
      <c r="K356" s="20" t="s">
        <v>1324</v>
      </c>
      <c r="L356" s="19" t="s">
        <v>61</v>
      </c>
      <c r="M356" s="19" t="s">
        <v>62</v>
      </c>
      <c r="N356" s="20" t="s">
        <v>63</v>
      </c>
      <c r="O356" s="19">
        <v>21</v>
      </c>
      <c r="P356" s="19">
        <v>3.73</v>
      </c>
      <c r="Q356" s="19">
        <v>1</v>
      </c>
      <c r="R356" s="20">
        <v>7</v>
      </c>
      <c r="S356" s="19">
        <v>6.6000000000000003E-2</v>
      </c>
      <c r="T356" s="19" t="s">
        <v>64</v>
      </c>
      <c r="U356" s="19" t="s">
        <v>65</v>
      </c>
      <c r="V356" s="19" t="s">
        <v>66</v>
      </c>
      <c r="W356" s="19" t="s">
        <v>67</v>
      </c>
      <c r="X356" s="19" t="s">
        <v>68</v>
      </c>
      <c r="Y356" s="21" t="s">
        <v>69</v>
      </c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2"/>
      <c r="AK356" s="22"/>
      <c r="AL356" s="22"/>
      <c r="AM356" s="21" t="s">
        <v>70</v>
      </c>
      <c r="AN356" s="21" t="s">
        <v>70</v>
      </c>
      <c r="AO356" s="21" t="str">
        <f>_xlfn.XLOOKUP(A:A,[1]TAGS!$A:$A,[1]TAGS!$BG:$BG)</f>
        <v>Montado</v>
      </c>
      <c r="AP356" s="21"/>
      <c r="AQ356" s="21"/>
      <c r="AR356" s="21"/>
      <c r="AS356" s="21"/>
      <c r="AT356" s="21"/>
      <c r="AU356" s="21"/>
    </row>
    <row r="357" spans="1:47" x14ac:dyDescent="0.35">
      <c r="A357" s="19" t="s">
        <v>1325</v>
      </c>
      <c r="B357" s="19" t="s">
        <v>52</v>
      </c>
      <c r="C357" s="19"/>
      <c r="D357" s="19" t="s">
        <v>53</v>
      </c>
      <c r="E357" s="19" t="s">
        <v>54</v>
      </c>
      <c r="F357" s="20" t="s">
        <v>141</v>
      </c>
      <c r="G357" s="20" t="s">
        <v>174</v>
      </c>
      <c r="H357" s="19" t="s">
        <v>1326</v>
      </c>
      <c r="I357" s="20" t="s">
        <v>58</v>
      </c>
      <c r="J357" s="20" t="s">
        <v>176</v>
      </c>
      <c r="K357" s="20" t="s">
        <v>1327</v>
      </c>
      <c r="L357" s="19" t="s">
        <v>61</v>
      </c>
      <c r="M357" s="19" t="s">
        <v>62</v>
      </c>
      <c r="N357" s="20" t="s">
        <v>63</v>
      </c>
      <c r="O357" s="19">
        <v>21</v>
      </c>
      <c r="P357" s="19">
        <v>3.73</v>
      </c>
      <c r="Q357" s="19">
        <v>1</v>
      </c>
      <c r="R357" s="20">
        <v>7</v>
      </c>
      <c r="S357" s="19">
        <v>6.6000000000000003E-2</v>
      </c>
      <c r="T357" s="19" t="s">
        <v>64</v>
      </c>
      <c r="U357" s="19" t="s">
        <v>65</v>
      </c>
      <c r="V357" s="19" t="s">
        <v>66</v>
      </c>
      <c r="W357" s="19" t="s">
        <v>67</v>
      </c>
      <c r="X357" s="19" t="s">
        <v>68</v>
      </c>
      <c r="Y357" s="21" t="s">
        <v>69</v>
      </c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2"/>
      <c r="AK357" s="22"/>
      <c r="AL357" s="22"/>
      <c r="AM357" s="21" t="s">
        <v>70</v>
      </c>
      <c r="AN357" s="21" t="s">
        <v>70</v>
      </c>
      <c r="AO357" s="21" t="str">
        <f>_xlfn.XLOOKUP(A:A,[1]TAGS!$A:$A,[1]TAGS!$BG:$BG)</f>
        <v>Montado</v>
      </c>
      <c r="AP357" s="21"/>
      <c r="AQ357" s="21"/>
      <c r="AR357" s="21"/>
      <c r="AS357" s="21"/>
      <c r="AT357" s="21"/>
      <c r="AU357" s="21"/>
    </row>
    <row r="358" spans="1:47" x14ac:dyDescent="0.35">
      <c r="A358" s="19" t="s">
        <v>1328</v>
      </c>
      <c r="B358" s="19" t="s">
        <v>52</v>
      </c>
      <c r="C358" s="19"/>
      <c r="D358" s="19" t="s">
        <v>53</v>
      </c>
      <c r="E358" s="19" t="s">
        <v>54</v>
      </c>
      <c r="F358" s="20" t="s">
        <v>141</v>
      </c>
      <c r="G358" s="20" t="s">
        <v>174</v>
      </c>
      <c r="H358" s="19" t="s">
        <v>1329</v>
      </c>
      <c r="I358" s="20" t="s">
        <v>58</v>
      </c>
      <c r="J358" s="20" t="s">
        <v>176</v>
      </c>
      <c r="K358" s="20" t="s">
        <v>1330</v>
      </c>
      <c r="L358" s="19" t="s">
        <v>61</v>
      </c>
      <c r="M358" s="19" t="s">
        <v>62</v>
      </c>
      <c r="N358" s="20" t="s">
        <v>63</v>
      </c>
      <c r="O358" s="19">
        <v>21</v>
      </c>
      <c r="P358" s="19">
        <v>3.73</v>
      </c>
      <c r="Q358" s="19">
        <v>1</v>
      </c>
      <c r="R358" s="20">
        <v>7</v>
      </c>
      <c r="S358" s="19">
        <v>6.6000000000000003E-2</v>
      </c>
      <c r="T358" s="19" t="s">
        <v>64</v>
      </c>
      <c r="U358" s="19" t="s">
        <v>65</v>
      </c>
      <c r="V358" s="19" t="s">
        <v>66</v>
      </c>
      <c r="W358" s="19" t="s">
        <v>67</v>
      </c>
      <c r="X358" s="19" t="s">
        <v>68</v>
      </c>
      <c r="Y358" s="21" t="s">
        <v>69</v>
      </c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2"/>
      <c r="AK358" s="22"/>
      <c r="AL358" s="22"/>
      <c r="AM358" s="21" t="s">
        <v>70</v>
      </c>
      <c r="AN358" s="21" t="s">
        <v>70</v>
      </c>
      <c r="AO358" s="21" t="str">
        <f>_xlfn.XLOOKUP(A:A,[1]TAGS!$A:$A,[1]TAGS!$BG:$BG)</f>
        <v>Montado</v>
      </c>
      <c r="AP358" s="21"/>
      <c r="AQ358" s="21"/>
      <c r="AR358" s="21"/>
      <c r="AS358" s="21"/>
      <c r="AT358" s="21"/>
      <c r="AU358" s="21"/>
    </row>
    <row r="359" spans="1:47" x14ac:dyDescent="0.35">
      <c r="A359" s="19" t="s">
        <v>1331</v>
      </c>
      <c r="B359" s="19" t="s">
        <v>52</v>
      </c>
      <c r="C359" s="19"/>
      <c r="D359" s="19" t="s">
        <v>53</v>
      </c>
      <c r="E359" s="19" t="s">
        <v>54</v>
      </c>
      <c r="F359" s="20" t="s">
        <v>141</v>
      </c>
      <c r="G359" s="20" t="s">
        <v>174</v>
      </c>
      <c r="H359" s="19" t="s">
        <v>1332</v>
      </c>
      <c r="I359" s="20" t="s">
        <v>58</v>
      </c>
      <c r="J359" s="20" t="s">
        <v>176</v>
      </c>
      <c r="K359" s="20" t="s">
        <v>1333</v>
      </c>
      <c r="L359" s="19" t="s">
        <v>61</v>
      </c>
      <c r="M359" s="19" t="s">
        <v>62</v>
      </c>
      <c r="N359" s="20" t="s">
        <v>63</v>
      </c>
      <c r="O359" s="19">
        <v>21</v>
      </c>
      <c r="P359" s="19">
        <v>3.73</v>
      </c>
      <c r="Q359" s="19">
        <v>1</v>
      </c>
      <c r="R359" s="20">
        <v>7</v>
      </c>
      <c r="S359" s="19">
        <v>6.6000000000000003E-2</v>
      </c>
      <c r="T359" s="19" t="s">
        <v>64</v>
      </c>
      <c r="U359" s="19" t="s">
        <v>65</v>
      </c>
      <c r="V359" s="19" t="s">
        <v>66</v>
      </c>
      <c r="W359" s="19" t="s">
        <v>67</v>
      </c>
      <c r="X359" s="19" t="s">
        <v>68</v>
      </c>
      <c r="Y359" s="21" t="s">
        <v>69</v>
      </c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2"/>
      <c r="AK359" s="22"/>
      <c r="AL359" s="22"/>
      <c r="AM359" s="21" t="s">
        <v>70</v>
      </c>
      <c r="AN359" s="21" t="s">
        <v>70</v>
      </c>
      <c r="AO359" s="21" t="str">
        <f>_xlfn.XLOOKUP(A:A,[1]TAGS!$A:$A,[1]TAGS!$BG:$BG)</f>
        <v>Montado</v>
      </c>
      <c r="AP359" s="21"/>
      <c r="AQ359" s="21"/>
      <c r="AR359" s="21"/>
      <c r="AS359" s="21"/>
      <c r="AT359" s="21"/>
      <c r="AU359" s="21"/>
    </row>
    <row r="360" spans="1:47" x14ac:dyDescent="0.35">
      <c r="A360" s="19" t="s">
        <v>1334</v>
      </c>
      <c r="B360" s="19" t="s">
        <v>52</v>
      </c>
      <c r="C360" s="19"/>
      <c r="D360" s="19" t="s">
        <v>53</v>
      </c>
      <c r="E360" s="19" t="s">
        <v>54</v>
      </c>
      <c r="F360" s="20" t="s">
        <v>664</v>
      </c>
      <c r="G360" s="20" t="s">
        <v>665</v>
      </c>
      <c r="H360" s="19" t="s">
        <v>1335</v>
      </c>
      <c r="I360" s="20" t="s">
        <v>58</v>
      </c>
      <c r="J360" s="20" t="s">
        <v>667</v>
      </c>
      <c r="K360" s="20" t="s">
        <v>1336</v>
      </c>
      <c r="L360" s="19" t="s">
        <v>61</v>
      </c>
      <c r="M360" s="19" t="s">
        <v>62</v>
      </c>
      <c r="N360" s="20" t="s">
        <v>63</v>
      </c>
      <c r="O360" s="19">
        <v>21</v>
      </c>
      <c r="P360" s="19">
        <v>3.73</v>
      </c>
      <c r="Q360" s="19">
        <v>1</v>
      </c>
      <c r="R360" s="20">
        <v>7</v>
      </c>
      <c r="S360" s="19">
        <v>6.6000000000000003E-2</v>
      </c>
      <c r="T360" s="19" t="s">
        <v>64</v>
      </c>
      <c r="U360" s="19" t="s">
        <v>65</v>
      </c>
      <c r="V360" s="19" t="s">
        <v>66</v>
      </c>
      <c r="W360" s="19" t="s">
        <v>67</v>
      </c>
      <c r="X360" s="19" t="s">
        <v>68</v>
      </c>
      <c r="Y360" s="21" t="s">
        <v>69</v>
      </c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2"/>
      <c r="AK360" s="22"/>
      <c r="AL360" s="22"/>
      <c r="AM360" s="21" t="s">
        <v>70</v>
      </c>
      <c r="AN360" s="21" t="s">
        <v>70</v>
      </c>
      <c r="AO360" s="21" t="str">
        <f>_xlfn.XLOOKUP(A:A,[1]TAGS!$A:$A,[1]TAGS!$BG:$BG)</f>
        <v>Montado</v>
      </c>
      <c r="AP360" s="21"/>
      <c r="AQ360" s="21"/>
      <c r="AR360" s="21"/>
      <c r="AS360" s="21"/>
      <c r="AT360" s="21"/>
      <c r="AU360" s="21"/>
    </row>
    <row r="361" spans="1:47" x14ac:dyDescent="0.35">
      <c r="A361" s="19" t="s">
        <v>1337</v>
      </c>
      <c r="B361" s="19" t="s">
        <v>52</v>
      </c>
      <c r="C361" s="19"/>
      <c r="D361" s="19" t="s">
        <v>53</v>
      </c>
      <c r="E361" s="19" t="s">
        <v>54</v>
      </c>
      <c r="F361" s="20" t="s">
        <v>664</v>
      </c>
      <c r="G361" s="20" t="s">
        <v>665</v>
      </c>
      <c r="H361" s="19" t="s">
        <v>1338</v>
      </c>
      <c r="I361" s="20" t="s">
        <v>58</v>
      </c>
      <c r="J361" s="20" t="s">
        <v>667</v>
      </c>
      <c r="K361" s="20" t="s">
        <v>1339</v>
      </c>
      <c r="L361" s="19" t="s">
        <v>61</v>
      </c>
      <c r="M361" s="19" t="s">
        <v>62</v>
      </c>
      <c r="N361" s="20" t="s">
        <v>63</v>
      </c>
      <c r="O361" s="19">
        <v>21</v>
      </c>
      <c r="P361" s="19">
        <v>3.73</v>
      </c>
      <c r="Q361" s="19">
        <v>1</v>
      </c>
      <c r="R361" s="20">
        <v>7</v>
      </c>
      <c r="S361" s="19">
        <v>6.6000000000000003E-2</v>
      </c>
      <c r="T361" s="19" t="s">
        <v>64</v>
      </c>
      <c r="U361" s="19" t="s">
        <v>65</v>
      </c>
      <c r="V361" s="19" t="s">
        <v>66</v>
      </c>
      <c r="W361" s="19" t="s">
        <v>67</v>
      </c>
      <c r="X361" s="19" t="s">
        <v>68</v>
      </c>
      <c r="Y361" s="21" t="s">
        <v>69</v>
      </c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2"/>
      <c r="AK361" s="22"/>
      <c r="AL361" s="22"/>
      <c r="AM361" s="21" t="s">
        <v>70</v>
      </c>
      <c r="AN361" s="21" t="s">
        <v>70</v>
      </c>
      <c r="AO361" s="21" t="str">
        <f>_xlfn.XLOOKUP(A:A,[1]TAGS!$A:$A,[1]TAGS!$BG:$BG)</f>
        <v>Montado</v>
      </c>
      <c r="AP361" s="21"/>
      <c r="AQ361" s="21"/>
      <c r="AR361" s="21"/>
      <c r="AS361" s="21"/>
      <c r="AT361" s="21"/>
      <c r="AU361" s="21"/>
    </row>
    <row r="362" spans="1:47" x14ac:dyDescent="0.35">
      <c r="A362" s="19" t="s">
        <v>1340</v>
      </c>
      <c r="B362" s="19" t="s">
        <v>52</v>
      </c>
      <c r="C362" s="19"/>
      <c r="D362" s="19" t="s">
        <v>53</v>
      </c>
      <c r="E362" s="19" t="s">
        <v>54</v>
      </c>
      <c r="F362" s="20" t="s">
        <v>1341</v>
      </c>
      <c r="G362" s="20" t="s">
        <v>1342</v>
      </c>
      <c r="H362" s="19" t="s">
        <v>1343</v>
      </c>
      <c r="I362" s="20" t="s">
        <v>58</v>
      </c>
      <c r="J362" s="20" t="s">
        <v>1344</v>
      </c>
      <c r="K362" s="20" t="s">
        <v>1345</v>
      </c>
      <c r="L362" s="19" t="s">
        <v>61</v>
      </c>
      <c r="M362" s="19" t="s">
        <v>62</v>
      </c>
      <c r="N362" s="20" t="s">
        <v>63</v>
      </c>
      <c r="O362" s="19">
        <v>21</v>
      </c>
      <c r="P362" s="19">
        <v>3.73</v>
      </c>
      <c r="Q362" s="19">
        <v>1</v>
      </c>
      <c r="R362" s="20">
        <v>7</v>
      </c>
      <c r="S362" s="19">
        <v>6.6000000000000003E-2</v>
      </c>
      <c r="T362" s="19" t="s">
        <v>64</v>
      </c>
      <c r="U362" s="19" t="s">
        <v>65</v>
      </c>
      <c r="V362" s="19" t="s">
        <v>66</v>
      </c>
      <c r="W362" s="19" t="s">
        <v>67</v>
      </c>
      <c r="X362" s="19" t="s">
        <v>68</v>
      </c>
      <c r="Y362" s="21" t="s">
        <v>69</v>
      </c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2"/>
      <c r="AK362" s="22"/>
      <c r="AL362" s="22"/>
      <c r="AM362" s="21" t="s">
        <v>70</v>
      </c>
      <c r="AN362" s="21" t="s">
        <v>70</v>
      </c>
      <c r="AO362" s="21" t="str">
        <f>_xlfn.XLOOKUP(A:A,[1]TAGS!$A:$A,[1]TAGS!$BG:$BG)</f>
        <v>Montado</v>
      </c>
      <c r="AP362" s="21"/>
      <c r="AQ362" s="21"/>
      <c r="AR362" s="21"/>
      <c r="AS362" s="21"/>
      <c r="AT362" s="21"/>
      <c r="AU362" s="21"/>
    </row>
    <row r="363" spans="1:47" x14ac:dyDescent="0.35">
      <c r="A363" s="19" t="s">
        <v>1346</v>
      </c>
      <c r="B363" s="19" t="s">
        <v>52</v>
      </c>
      <c r="C363" s="19"/>
      <c r="D363" s="19" t="s">
        <v>53</v>
      </c>
      <c r="E363" s="19" t="s">
        <v>54</v>
      </c>
      <c r="F363" s="20" t="s">
        <v>746</v>
      </c>
      <c r="G363" s="20" t="s">
        <v>747</v>
      </c>
      <c r="H363" s="19" t="s">
        <v>1347</v>
      </c>
      <c r="I363" s="20" t="s">
        <v>58</v>
      </c>
      <c r="J363" s="20" t="s">
        <v>749</v>
      </c>
      <c r="K363" s="20" t="s">
        <v>1348</v>
      </c>
      <c r="L363" s="19" t="s">
        <v>61</v>
      </c>
      <c r="M363" s="19" t="s">
        <v>62</v>
      </c>
      <c r="N363" s="20" t="s">
        <v>63</v>
      </c>
      <c r="O363" s="19">
        <v>21</v>
      </c>
      <c r="P363" s="19">
        <v>3.73</v>
      </c>
      <c r="Q363" s="19">
        <v>1</v>
      </c>
      <c r="R363" s="20">
        <v>7</v>
      </c>
      <c r="S363" s="19">
        <v>6.6000000000000003E-2</v>
      </c>
      <c r="T363" s="19" t="s">
        <v>64</v>
      </c>
      <c r="U363" s="19" t="s">
        <v>65</v>
      </c>
      <c r="V363" s="19" t="s">
        <v>66</v>
      </c>
      <c r="W363" s="19" t="s">
        <v>67</v>
      </c>
      <c r="X363" s="19" t="s">
        <v>68</v>
      </c>
      <c r="Y363" s="21" t="s">
        <v>69</v>
      </c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2"/>
      <c r="AK363" s="22"/>
      <c r="AL363" s="22"/>
      <c r="AM363" s="21" t="s">
        <v>70</v>
      </c>
      <c r="AN363" s="21" t="s">
        <v>70</v>
      </c>
      <c r="AO363" s="21" t="str">
        <f>_xlfn.XLOOKUP(A:A,[1]TAGS!$A:$A,[1]TAGS!$BG:$BG)</f>
        <v>Montado</v>
      </c>
      <c r="AP363" s="21"/>
      <c r="AQ363" s="21"/>
      <c r="AR363" s="21"/>
      <c r="AS363" s="21"/>
      <c r="AT363" s="21"/>
      <c r="AU363" s="21"/>
    </row>
    <row r="364" spans="1:47" x14ac:dyDescent="0.35">
      <c r="A364" s="19" t="s">
        <v>1349</v>
      </c>
      <c r="B364" s="19" t="s">
        <v>52</v>
      </c>
      <c r="C364" s="19"/>
      <c r="D364" s="19" t="s">
        <v>53</v>
      </c>
      <c r="E364" s="19" t="s">
        <v>54</v>
      </c>
      <c r="F364" s="20" t="s">
        <v>937</v>
      </c>
      <c r="G364" s="20" t="s">
        <v>938</v>
      </c>
      <c r="H364" s="19" t="s">
        <v>1350</v>
      </c>
      <c r="I364" s="20" t="s">
        <v>58</v>
      </c>
      <c r="J364" s="20" t="s">
        <v>940</v>
      </c>
      <c r="K364" s="20" t="s">
        <v>1351</v>
      </c>
      <c r="L364" s="19" t="s">
        <v>61</v>
      </c>
      <c r="M364" s="19" t="s">
        <v>62</v>
      </c>
      <c r="N364" s="20" t="s">
        <v>63</v>
      </c>
      <c r="O364" s="19">
        <v>21</v>
      </c>
      <c r="P364" s="19">
        <v>3.73</v>
      </c>
      <c r="Q364" s="19">
        <v>1</v>
      </c>
      <c r="R364" s="20">
        <v>7</v>
      </c>
      <c r="S364" s="19">
        <v>6.6000000000000003E-2</v>
      </c>
      <c r="T364" s="19" t="s">
        <v>64</v>
      </c>
      <c r="U364" s="19" t="s">
        <v>65</v>
      </c>
      <c r="V364" s="19" t="s">
        <v>66</v>
      </c>
      <c r="W364" s="19" t="s">
        <v>67</v>
      </c>
      <c r="X364" s="19" t="s">
        <v>68</v>
      </c>
      <c r="Y364" s="21" t="s">
        <v>69</v>
      </c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2"/>
      <c r="AK364" s="22"/>
      <c r="AL364" s="22"/>
      <c r="AM364" s="21" t="s">
        <v>70</v>
      </c>
      <c r="AN364" s="21" t="s">
        <v>70</v>
      </c>
      <c r="AO364" s="21" t="str">
        <f>_xlfn.XLOOKUP(A:A,[1]TAGS!$A:$A,[1]TAGS!$BG:$BG)</f>
        <v>Montado</v>
      </c>
      <c r="AP364" s="21"/>
      <c r="AQ364" s="21"/>
      <c r="AR364" s="21"/>
      <c r="AS364" s="21"/>
      <c r="AT364" s="21"/>
      <c r="AU364" s="21"/>
    </row>
    <row r="365" spans="1:47" x14ac:dyDescent="0.35">
      <c r="A365" s="19" t="s">
        <v>1352</v>
      </c>
      <c r="B365" s="19" t="s">
        <v>52</v>
      </c>
      <c r="C365" s="19"/>
      <c r="D365" s="19" t="s">
        <v>53</v>
      </c>
      <c r="E365" s="19" t="s">
        <v>54</v>
      </c>
      <c r="F365" s="20" t="s">
        <v>233</v>
      </c>
      <c r="G365" s="20" t="s">
        <v>234</v>
      </c>
      <c r="H365" s="19" t="s">
        <v>1353</v>
      </c>
      <c r="I365" s="20" t="s">
        <v>58</v>
      </c>
      <c r="J365" s="20" t="s">
        <v>236</v>
      </c>
      <c r="K365" s="20" t="s">
        <v>1354</v>
      </c>
      <c r="L365" s="19" t="s">
        <v>61</v>
      </c>
      <c r="M365" s="19" t="s">
        <v>62</v>
      </c>
      <c r="N365" s="20" t="s">
        <v>63</v>
      </c>
      <c r="O365" s="19">
        <v>21</v>
      </c>
      <c r="P365" s="19">
        <v>3.73</v>
      </c>
      <c r="Q365" s="19">
        <v>1</v>
      </c>
      <c r="R365" s="20">
        <v>7</v>
      </c>
      <c r="S365" s="19">
        <v>6.6000000000000003E-2</v>
      </c>
      <c r="T365" s="19" t="s">
        <v>64</v>
      </c>
      <c r="U365" s="19" t="s">
        <v>65</v>
      </c>
      <c r="V365" s="19" t="s">
        <v>66</v>
      </c>
      <c r="W365" s="19" t="s">
        <v>67</v>
      </c>
      <c r="X365" s="19" t="s">
        <v>68</v>
      </c>
      <c r="Y365" s="21" t="s">
        <v>69</v>
      </c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2"/>
      <c r="AK365" s="22"/>
      <c r="AL365" s="22"/>
      <c r="AM365" s="21" t="s">
        <v>70</v>
      </c>
      <c r="AN365" s="21" t="s">
        <v>70</v>
      </c>
      <c r="AO365" s="21" t="str">
        <f>_xlfn.XLOOKUP(A:A,[1]TAGS!$A:$A,[1]TAGS!$BG:$BG)</f>
        <v>Não Montado</v>
      </c>
      <c r="AP365" s="21"/>
      <c r="AQ365" s="21"/>
      <c r="AR365" s="21"/>
      <c r="AS365" s="21"/>
      <c r="AT365" s="21"/>
      <c r="AU365" s="21"/>
    </row>
    <row r="366" spans="1:47" x14ac:dyDescent="0.35">
      <c r="A366" s="19" t="s">
        <v>1355</v>
      </c>
      <c r="B366" s="19" t="s">
        <v>52</v>
      </c>
      <c r="C366" s="19"/>
      <c r="D366" s="19" t="s">
        <v>53</v>
      </c>
      <c r="E366" s="19" t="s">
        <v>54</v>
      </c>
      <c r="F366" s="20" t="s">
        <v>233</v>
      </c>
      <c r="G366" s="20" t="s">
        <v>234</v>
      </c>
      <c r="H366" s="19" t="s">
        <v>1356</v>
      </c>
      <c r="I366" s="20" t="s">
        <v>58</v>
      </c>
      <c r="J366" s="20" t="s">
        <v>236</v>
      </c>
      <c r="K366" s="20" t="s">
        <v>1357</v>
      </c>
      <c r="L366" s="19" t="s">
        <v>61</v>
      </c>
      <c r="M366" s="19" t="s">
        <v>62</v>
      </c>
      <c r="N366" s="20" t="s">
        <v>63</v>
      </c>
      <c r="O366" s="19">
        <v>21</v>
      </c>
      <c r="P366" s="19">
        <v>3.73</v>
      </c>
      <c r="Q366" s="19">
        <v>1</v>
      </c>
      <c r="R366" s="20">
        <v>7</v>
      </c>
      <c r="S366" s="19">
        <v>6.6000000000000003E-2</v>
      </c>
      <c r="T366" s="19" t="s">
        <v>64</v>
      </c>
      <c r="U366" s="19" t="s">
        <v>65</v>
      </c>
      <c r="V366" s="19" t="s">
        <v>66</v>
      </c>
      <c r="W366" s="19" t="s">
        <v>67</v>
      </c>
      <c r="X366" s="19" t="s">
        <v>68</v>
      </c>
      <c r="Y366" s="21" t="s">
        <v>69</v>
      </c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2"/>
      <c r="AK366" s="22"/>
      <c r="AL366" s="22"/>
      <c r="AM366" s="21" t="s">
        <v>70</v>
      </c>
      <c r="AN366" s="21" t="s">
        <v>70</v>
      </c>
      <c r="AO366" s="21" t="str">
        <f>_xlfn.XLOOKUP(A:A,[1]TAGS!$A:$A,[1]TAGS!$BG:$BG)</f>
        <v>Não Montado</v>
      </c>
      <c r="AP366" s="21"/>
      <c r="AQ366" s="21"/>
      <c r="AR366" s="21"/>
      <c r="AS366" s="21"/>
      <c r="AT366" s="21"/>
      <c r="AU366" s="21"/>
    </row>
    <row r="367" spans="1:47" x14ac:dyDescent="0.35">
      <c r="A367" s="19" t="s">
        <v>1358</v>
      </c>
      <c r="B367" s="19" t="s">
        <v>52</v>
      </c>
      <c r="C367" s="19"/>
      <c r="D367" s="19" t="s">
        <v>53</v>
      </c>
      <c r="E367" s="19" t="s">
        <v>54</v>
      </c>
      <c r="F367" s="20" t="s">
        <v>233</v>
      </c>
      <c r="G367" s="20" t="s">
        <v>234</v>
      </c>
      <c r="H367" s="19" t="s">
        <v>1359</v>
      </c>
      <c r="I367" s="20" t="s">
        <v>58</v>
      </c>
      <c r="J367" s="20" t="s">
        <v>236</v>
      </c>
      <c r="K367" s="20" t="s">
        <v>1360</v>
      </c>
      <c r="L367" s="19" t="s">
        <v>61</v>
      </c>
      <c r="M367" s="19" t="s">
        <v>62</v>
      </c>
      <c r="N367" s="20" t="s">
        <v>63</v>
      </c>
      <c r="O367" s="19">
        <v>21</v>
      </c>
      <c r="P367" s="19">
        <v>3.73</v>
      </c>
      <c r="Q367" s="19">
        <v>1</v>
      </c>
      <c r="R367" s="20">
        <v>7</v>
      </c>
      <c r="S367" s="19">
        <v>6.6000000000000003E-2</v>
      </c>
      <c r="T367" s="19" t="s">
        <v>64</v>
      </c>
      <c r="U367" s="19" t="s">
        <v>65</v>
      </c>
      <c r="V367" s="19" t="s">
        <v>66</v>
      </c>
      <c r="W367" s="19" t="s">
        <v>67</v>
      </c>
      <c r="X367" s="19" t="s">
        <v>68</v>
      </c>
      <c r="Y367" s="21" t="s">
        <v>69</v>
      </c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2"/>
      <c r="AK367" s="22"/>
      <c r="AL367" s="22"/>
      <c r="AM367" s="21" t="s">
        <v>70</v>
      </c>
      <c r="AN367" s="21" t="s">
        <v>70</v>
      </c>
      <c r="AO367" s="21" t="str">
        <f>_xlfn.XLOOKUP(A:A,[1]TAGS!$A:$A,[1]TAGS!$BG:$BG)</f>
        <v>Montado</v>
      </c>
      <c r="AP367" s="21"/>
      <c r="AQ367" s="21"/>
      <c r="AR367" s="21"/>
      <c r="AS367" s="21"/>
      <c r="AT367" s="21"/>
      <c r="AU367" s="21"/>
    </row>
    <row r="368" spans="1:47" x14ac:dyDescent="0.35">
      <c r="A368" s="19" t="s">
        <v>1361</v>
      </c>
      <c r="B368" s="19" t="s">
        <v>52</v>
      </c>
      <c r="C368" s="19"/>
      <c r="D368" s="19" t="s">
        <v>53</v>
      </c>
      <c r="E368" s="19" t="s">
        <v>54</v>
      </c>
      <c r="F368" s="20" t="s">
        <v>294</v>
      </c>
      <c r="G368" s="20" t="s">
        <v>295</v>
      </c>
      <c r="H368" s="19" t="s">
        <v>1362</v>
      </c>
      <c r="I368" s="20" t="s">
        <v>58</v>
      </c>
      <c r="J368" s="20" t="s">
        <v>297</v>
      </c>
      <c r="K368" s="20" t="s">
        <v>1363</v>
      </c>
      <c r="L368" s="19" t="s">
        <v>61</v>
      </c>
      <c r="M368" s="19" t="s">
        <v>62</v>
      </c>
      <c r="N368" s="20" t="s">
        <v>63</v>
      </c>
      <c r="O368" s="19">
        <v>21</v>
      </c>
      <c r="P368" s="19">
        <v>3.73</v>
      </c>
      <c r="Q368" s="19">
        <v>1</v>
      </c>
      <c r="R368" s="20">
        <v>7</v>
      </c>
      <c r="S368" s="19">
        <v>6.6000000000000003E-2</v>
      </c>
      <c r="T368" s="19" t="s">
        <v>64</v>
      </c>
      <c r="U368" s="19" t="s">
        <v>65</v>
      </c>
      <c r="V368" s="19" t="s">
        <v>66</v>
      </c>
      <c r="W368" s="19" t="s">
        <v>67</v>
      </c>
      <c r="X368" s="19" t="s">
        <v>68</v>
      </c>
      <c r="Y368" s="21" t="s">
        <v>69</v>
      </c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2"/>
      <c r="AK368" s="22"/>
      <c r="AL368" s="22"/>
      <c r="AM368" s="21" t="s">
        <v>70</v>
      </c>
      <c r="AN368" s="21" t="s">
        <v>70</v>
      </c>
      <c r="AO368" s="21" t="str">
        <f>_xlfn.XLOOKUP(A:A,[1]TAGS!$A:$A,[1]TAGS!$BG:$BG)</f>
        <v>Não Montado</v>
      </c>
      <c r="AP368" s="21"/>
      <c r="AQ368" s="21"/>
      <c r="AR368" s="21"/>
      <c r="AS368" s="21"/>
      <c r="AT368" s="21"/>
      <c r="AU368" s="21"/>
    </row>
    <row r="369" spans="1:47" x14ac:dyDescent="0.35">
      <c r="A369" s="19" t="s">
        <v>1364</v>
      </c>
      <c r="B369" s="19" t="s">
        <v>52</v>
      </c>
      <c r="C369" s="19"/>
      <c r="D369" s="19" t="s">
        <v>53</v>
      </c>
      <c r="E369" s="19" t="s">
        <v>54</v>
      </c>
      <c r="F369" s="20" t="s">
        <v>294</v>
      </c>
      <c r="G369" s="20" t="s">
        <v>295</v>
      </c>
      <c r="H369" s="19" t="s">
        <v>1365</v>
      </c>
      <c r="I369" s="20" t="s">
        <v>58</v>
      </c>
      <c r="J369" s="20" t="s">
        <v>297</v>
      </c>
      <c r="K369" s="20" t="s">
        <v>1366</v>
      </c>
      <c r="L369" s="19" t="s">
        <v>61</v>
      </c>
      <c r="M369" s="19" t="s">
        <v>62</v>
      </c>
      <c r="N369" s="20" t="s">
        <v>63</v>
      </c>
      <c r="O369" s="19">
        <v>21</v>
      </c>
      <c r="P369" s="19">
        <v>3.73</v>
      </c>
      <c r="Q369" s="19">
        <v>1</v>
      </c>
      <c r="R369" s="20">
        <v>7</v>
      </c>
      <c r="S369" s="19">
        <v>6.6000000000000003E-2</v>
      </c>
      <c r="T369" s="19" t="s">
        <v>64</v>
      </c>
      <c r="U369" s="19" t="s">
        <v>65</v>
      </c>
      <c r="V369" s="19" t="s">
        <v>66</v>
      </c>
      <c r="W369" s="19" t="s">
        <v>67</v>
      </c>
      <c r="X369" s="19" t="s">
        <v>68</v>
      </c>
      <c r="Y369" s="21" t="s">
        <v>69</v>
      </c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2"/>
      <c r="AK369" s="22"/>
      <c r="AL369" s="22"/>
      <c r="AM369" s="21" t="s">
        <v>70</v>
      </c>
      <c r="AN369" s="21" t="s">
        <v>70</v>
      </c>
      <c r="AO369" s="21" t="str">
        <f>_xlfn.XLOOKUP(A:A,[1]TAGS!$A:$A,[1]TAGS!$BG:$BG)</f>
        <v>Não Montado</v>
      </c>
      <c r="AP369" s="21"/>
      <c r="AQ369" s="21"/>
      <c r="AR369" s="21"/>
      <c r="AS369" s="21"/>
      <c r="AT369" s="21"/>
      <c r="AU369" s="21"/>
    </row>
    <row r="370" spans="1:47" x14ac:dyDescent="0.35">
      <c r="A370" s="19" t="s">
        <v>1367</v>
      </c>
      <c r="B370" s="19" t="s">
        <v>52</v>
      </c>
      <c r="C370" s="19"/>
      <c r="D370" s="19" t="s">
        <v>53</v>
      </c>
      <c r="E370" s="19" t="s">
        <v>54</v>
      </c>
      <c r="F370" s="20" t="s">
        <v>294</v>
      </c>
      <c r="G370" s="20" t="s">
        <v>295</v>
      </c>
      <c r="H370" s="19" t="s">
        <v>1368</v>
      </c>
      <c r="I370" s="20" t="s">
        <v>58</v>
      </c>
      <c r="J370" s="20" t="s">
        <v>297</v>
      </c>
      <c r="K370" s="20" t="s">
        <v>1369</v>
      </c>
      <c r="L370" s="19" t="s">
        <v>61</v>
      </c>
      <c r="M370" s="19" t="s">
        <v>62</v>
      </c>
      <c r="N370" s="20" t="s">
        <v>63</v>
      </c>
      <c r="O370" s="19">
        <v>21</v>
      </c>
      <c r="P370" s="19">
        <v>3.73</v>
      </c>
      <c r="Q370" s="19">
        <v>1</v>
      </c>
      <c r="R370" s="20">
        <v>7</v>
      </c>
      <c r="S370" s="19">
        <v>6.6000000000000003E-2</v>
      </c>
      <c r="T370" s="19" t="s">
        <v>64</v>
      </c>
      <c r="U370" s="19" t="s">
        <v>65</v>
      </c>
      <c r="V370" s="19" t="s">
        <v>66</v>
      </c>
      <c r="W370" s="19" t="s">
        <v>67</v>
      </c>
      <c r="X370" s="19" t="s">
        <v>68</v>
      </c>
      <c r="Y370" s="21" t="s">
        <v>69</v>
      </c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2"/>
      <c r="AK370" s="22"/>
      <c r="AL370" s="22"/>
      <c r="AM370" s="21" t="s">
        <v>70</v>
      </c>
      <c r="AN370" s="21" t="s">
        <v>70</v>
      </c>
      <c r="AO370" s="21" t="str">
        <f>_xlfn.XLOOKUP(A:A,[1]TAGS!$A:$A,[1]TAGS!$BG:$BG)</f>
        <v>Não Montado</v>
      </c>
      <c r="AP370" s="21"/>
      <c r="AQ370" s="21"/>
      <c r="AR370" s="21"/>
      <c r="AS370" s="21"/>
      <c r="AT370" s="21"/>
      <c r="AU370" s="21"/>
    </row>
    <row r="371" spans="1:47" x14ac:dyDescent="0.35">
      <c r="A371" s="19" t="s">
        <v>1370</v>
      </c>
      <c r="B371" s="19" t="s">
        <v>52</v>
      </c>
      <c r="C371" s="19"/>
      <c r="D371" s="19" t="s">
        <v>53</v>
      </c>
      <c r="E371" s="19" t="s">
        <v>54</v>
      </c>
      <c r="F371" s="20" t="s">
        <v>89</v>
      </c>
      <c r="G371" s="20" t="s">
        <v>90</v>
      </c>
      <c r="H371" s="19" t="s">
        <v>1371</v>
      </c>
      <c r="I371" s="20" t="s">
        <v>58</v>
      </c>
      <c r="J371" s="20" t="s">
        <v>92</v>
      </c>
      <c r="K371" s="20" t="s">
        <v>1372</v>
      </c>
      <c r="L371" s="19" t="s">
        <v>61</v>
      </c>
      <c r="M371" s="19" t="s">
        <v>62</v>
      </c>
      <c r="N371" s="20" t="s">
        <v>63</v>
      </c>
      <c r="O371" s="19">
        <v>21</v>
      </c>
      <c r="P371" s="19">
        <v>3.73</v>
      </c>
      <c r="Q371" s="19">
        <v>1</v>
      </c>
      <c r="R371" s="20">
        <v>7</v>
      </c>
      <c r="S371" s="19">
        <v>6.6000000000000003E-2</v>
      </c>
      <c r="T371" s="19" t="s">
        <v>64</v>
      </c>
      <c r="U371" s="19" t="s">
        <v>65</v>
      </c>
      <c r="V371" s="19" t="s">
        <v>66</v>
      </c>
      <c r="W371" s="19" t="s">
        <v>67</v>
      </c>
      <c r="X371" s="19" t="s">
        <v>68</v>
      </c>
      <c r="Y371" s="21" t="s">
        <v>69</v>
      </c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2"/>
      <c r="AK371" s="22"/>
      <c r="AL371" s="22"/>
      <c r="AM371" s="21" t="s">
        <v>70</v>
      </c>
      <c r="AN371" s="21" t="s">
        <v>70</v>
      </c>
      <c r="AO371" s="21" t="str">
        <f>_xlfn.XLOOKUP(A:A,[1]TAGS!$A:$A,[1]TAGS!$BG:$BG)</f>
        <v>Montado</v>
      </c>
      <c r="AP371" s="21"/>
      <c r="AQ371" s="21"/>
      <c r="AR371" s="21"/>
      <c r="AS371" s="21"/>
      <c r="AT371" s="21"/>
      <c r="AU371" s="21"/>
    </row>
    <row r="372" spans="1:47" x14ac:dyDescent="0.35">
      <c r="A372" s="19" t="s">
        <v>1373</v>
      </c>
      <c r="B372" s="19" t="s">
        <v>52</v>
      </c>
      <c r="C372" s="19"/>
      <c r="D372" s="19" t="s">
        <v>53</v>
      </c>
      <c r="E372" s="19" t="s">
        <v>54</v>
      </c>
      <c r="F372" s="20" t="s">
        <v>218</v>
      </c>
      <c r="G372" s="20" t="s">
        <v>219</v>
      </c>
      <c r="H372" s="19" t="s">
        <v>1374</v>
      </c>
      <c r="I372" s="20" t="s">
        <v>58</v>
      </c>
      <c r="J372" s="20" t="s">
        <v>221</v>
      </c>
      <c r="K372" s="20" t="s">
        <v>1375</v>
      </c>
      <c r="L372" s="19" t="s">
        <v>61</v>
      </c>
      <c r="M372" s="19" t="s">
        <v>62</v>
      </c>
      <c r="N372" s="20" t="s">
        <v>63</v>
      </c>
      <c r="O372" s="19">
        <v>21</v>
      </c>
      <c r="P372" s="19">
        <v>3.73</v>
      </c>
      <c r="Q372" s="19">
        <v>1</v>
      </c>
      <c r="R372" s="20">
        <v>7</v>
      </c>
      <c r="S372" s="19">
        <v>6.6000000000000003E-2</v>
      </c>
      <c r="T372" s="19" t="s">
        <v>64</v>
      </c>
      <c r="U372" s="19" t="s">
        <v>65</v>
      </c>
      <c r="V372" s="19" t="s">
        <v>66</v>
      </c>
      <c r="W372" s="19" t="s">
        <v>67</v>
      </c>
      <c r="X372" s="19" t="s">
        <v>68</v>
      </c>
      <c r="Y372" s="21" t="s">
        <v>69</v>
      </c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2"/>
      <c r="AK372" s="22"/>
      <c r="AL372" s="22"/>
      <c r="AM372" s="21" t="s">
        <v>70</v>
      </c>
      <c r="AN372" s="21" t="s">
        <v>70</v>
      </c>
      <c r="AO372" s="21" t="str">
        <f>_xlfn.XLOOKUP(A:A,[1]TAGS!$A:$A,[1]TAGS!$BG:$BG)</f>
        <v>Montado</v>
      </c>
      <c r="AP372" s="21"/>
      <c r="AQ372" s="21"/>
      <c r="AR372" s="21"/>
      <c r="AS372" s="21"/>
      <c r="AT372" s="21"/>
      <c r="AU372" s="21"/>
    </row>
    <row r="373" spans="1:47" x14ac:dyDescent="0.35">
      <c r="A373" s="19" t="s">
        <v>1376</v>
      </c>
      <c r="B373" s="19" t="s">
        <v>52</v>
      </c>
      <c r="C373" s="19"/>
      <c r="D373" s="19" t="s">
        <v>53</v>
      </c>
      <c r="E373" s="19" t="s">
        <v>54</v>
      </c>
      <c r="F373" s="20" t="s">
        <v>89</v>
      </c>
      <c r="G373" s="20" t="s">
        <v>90</v>
      </c>
      <c r="H373" s="19" t="s">
        <v>1377</v>
      </c>
      <c r="I373" s="20" t="s">
        <v>58</v>
      </c>
      <c r="J373" s="20" t="s">
        <v>92</v>
      </c>
      <c r="K373" s="20" t="s">
        <v>1378</v>
      </c>
      <c r="L373" s="19" t="s">
        <v>61</v>
      </c>
      <c r="M373" s="19" t="s">
        <v>62</v>
      </c>
      <c r="N373" s="20" t="s">
        <v>63</v>
      </c>
      <c r="O373" s="19">
        <v>21</v>
      </c>
      <c r="P373" s="19">
        <v>3.73</v>
      </c>
      <c r="Q373" s="19">
        <v>1</v>
      </c>
      <c r="R373" s="20">
        <v>7</v>
      </c>
      <c r="S373" s="19">
        <v>6.6000000000000003E-2</v>
      </c>
      <c r="T373" s="19" t="s">
        <v>64</v>
      </c>
      <c r="U373" s="19" t="s">
        <v>65</v>
      </c>
      <c r="V373" s="19" t="s">
        <v>66</v>
      </c>
      <c r="W373" s="19" t="s">
        <v>67</v>
      </c>
      <c r="X373" s="19" t="s">
        <v>68</v>
      </c>
      <c r="Y373" s="21" t="s">
        <v>69</v>
      </c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2"/>
      <c r="AK373" s="22"/>
      <c r="AL373" s="22"/>
      <c r="AM373" s="21" t="s">
        <v>70</v>
      </c>
      <c r="AN373" s="21" t="s">
        <v>70</v>
      </c>
      <c r="AO373" s="21" t="str">
        <f>_xlfn.XLOOKUP(A:A,[1]TAGS!$A:$A,[1]TAGS!$BG:$BG)</f>
        <v>Montado</v>
      </c>
      <c r="AP373" s="21"/>
      <c r="AQ373" s="21"/>
      <c r="AR373" s="21"/>
      <c r="AS373" s="21"/>
      <c r="AT373" s="21"/>
      <c r="AU373" s="21"/>
    </row>
    <row r="374" spans="1:47" x14ac:dyDescent="0.35">
      <c r="A374" s="19" t="s">
        <v>1379</v>
      </c>
      <c r="B374" s="19" t="s">
        <v>52</v>
      </c>
      <c r="C374" s="19"/>
      <c r="D374" s="19" t="s">
        <v>53</v>
      </c>
      <c r="E374" s="19" t="s">
        <v>54</v>
      </c>
      <c r="F374" s="20" t="s">
        <v>89</v>
      </c>
      <c r="G374" s="20" t="s">
        <v>90</v>
      </c>
      <c r="H374" s="19" t="s">
        <v>1380</v>
      </c>
      <c r="I374" s="20" t="s">
        <v>58</v>
      </c>
      <c r="J374" s="20" t="s">
        <v>92</v>
      </c>
      <c r="K374" s="20" t="s">
        <v>1381</v>
      </c>
      <c r="L374" s="19" t="s">
        <v>61</v>
      </c>
      <c r="M374" s="19" t="s">
        <v>62</v>
      </c>
      <c r="N374" s="20" t="s">
        <v>63</v>
      </c>
      <c r="O374" s="19">
        <v>21</v>
      </c>
      <c r="P374" s="19">
        <v>3.73</v>
      </c>
      <c r="Q374" s="19">
        <v>1</v>
      </c>
      <c r="R374" s="20">
        <v>7</v>
      </c>
      <c r="S374" s="19">
        <v>6.6000000000000003E-2</v>
      </c>
      <c r="T374" s="19" t="s">
        <v>64</v>
      </c>
      <c r="U374" s="19" t="s">
        <v>65</v>
      </c>
      <c r="V374" s="19" t="s">
        <v>66</v>
      </c>
      <c r="W374" s="19" t="s">
        <v>67</v>
      </c>
      <c r="X374" s="19" t="s">
        <v>68</v>
      </c>
      <c r="Y374" s="21" t="s">
        <v>69</v>
      </c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2"/>
      <c r="AK374" s="22"/>
      <c r="AL374" s="22"/>
      <c r="AM374" s="21" t="s">
        <v>70</v>
      </c>
      <c r="AN374" s="21" t="s">
        <v>70</v>
      </c>
      <c r="AO374" s="21" t="str">
        <f>_xlfn.XLOOKUP(A:A,[1]TAGS!$A:$A,[1]TAGS!$BG:$BG)</f>
        <v>Não Montado</v>
      </c>
      <c r="AP374" s="21"/>
      <c r="AQ374" s="21"/>
      <c r="AR374" s="21"/>
      <c r="AS374" s="21"/>
      <c r="AT374" s="21"/>
      <c r="AU374" s="21"/>
    </row>
    <row r="375" spans="1:47" x14ac:dyDescent="0.35">
      <c r="A375" s="19" t="s">
        <v>1382</v>
      </c>
      <c r="B375" s="19" t="s">
        <v>52</v>
      </c>
      <c r="C375" s="19"/>
      <c r="D375" s="19" t="s">
        <v>53</v>
      </c>
      <c r="E375" s="19" t="s">
        <v>54</v>
      </c>
      <c r="F375" s="20" t="s">
        <v>95</v>
      </c>
      <c r="G375" s="20" t="s">
        <v>96</v>
      </c>
      <c r="H375" s="19" t="s">
        <v>1383</v>
      </c>
      <c r="I375" s="20" t="s">
        <v>58</v>
      </c>
      <c r="J375" s="20" t="s">
        <v>98</v>
      </c>
      <c r="K375" s="20" t="s">
        <v>1384</v>
      </c>
      <c r="L375" s="19" t="s">
        <v>61</v>
      </c>
      <c r="M375" s="19" t="s">
        <v>62</v>
      </c>
      <c r="N375" s="20" t="s">
        <v>63</v>
      </c>
      <c r="O375" s="19">
        <v>21</v>
      </c>
      <c r="P375" s="19">
        <v>3.73</v>
      </c>
      <c r="Q375" s="19">
        <v>1</v>
      </c>
      <c r="R375" s="20">
        <v>7</v>
      </c>
      <c r="S375" s="19">
        <v>6.6000000000000003E-2</v>
      </c>
      <c r="T375" s="19" t="s">
        <v>64</v>
      </c>
      <c r="U375" s="19" t="s">
        <v>65</v>
      </c>
      <c r="V375" s="19" t="s">
        <v>66</v>
      </c>
      <c r="W375" s="19" t="s">
        <v>67</v>
      </c>
      <c r="X375" s="19" t="s">
        <v>68</v>
      </c>
      <c r="Y375" s="21" t="s">
        <v>69</v>
      </c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2"/>
      <c r="AK375" s="22"/>
      <c r="AL375" s="22"/>
      <c r="AM375" s="21" t="s">
        <v>70</v>
      </c>
      <c r="AN375" s="21" t="s">
        <v>70</v>
      </c>
      <c r="AO375" s="21" t="str">
        <f>_xlfn.XLOOKUP(A:A,[1]TAGS!$A:$A,[1]TAGS!$BG:$BG)</f>
        <v>Montado</v>
      </c>
      <c r="AP375" s="21"/>
      <c r="AQ375" s="21"/>
      <c r="AR375" s="21"/>
      <c r="AS375" s="21"/>
      <c r="AT375" s="21"/>
      <c r="AU375" s="21"/>
    </row>
    <row r="376" spans="1:47" x14ac:dyDescent="0.35">
      <c r="A376" s="19" t="s">
        <v>1385</v>
      </c>
      <c r="B376" s="19" t="s">
        <v>52</v>
      </c>
      <c r="C376" s="19"/>
      <c r="D376" s="19" t="s">
        <v>53</v>
      </c>
      <c r="E376" s="19" t="s">
        <v>54</v>
      </c>
      <c r="F376" s="20" t="s">
        <v>200</v>
      </c>
      <c r="G376" s="20" t="s">
        <v>201</v>
      </c>
      <c r="H376" s="19" t="s">
        <v>1386</v>
      </c>
      <c r="I376" s="20" t="s">
        <v>58</v>
      </c>
      <c r="J376" s="20" t="s">
        <v>203</v>
      </c>
      <c r="K376" s="20" t="s">
        <v>1387</v>
      </c>
      <c r="L376" s="19" t="s">
        <v>61</v>
      </c>
      <c r="M376" s="19" t="s">
        <v>62</v>
      </c>
      <c r="N376" s="20" t="s">
        <v>63</v>
      </c>
      <c r="O376" s="19">
        <v>21</v>
      </c>
      <c r="P376" s="19">
        <v>3.73</v>
      </c>
      <c r="Q376" s="19">
        <v>1</v>
      </c>
      <c r="R376" s="20">
        <v>7</v>
      </c>
      <c r="S376" s="19">
        <v>6.6000000000000003E-2</v>
      </c>
      <c r="T376" s="19" t="s">
        <v>64</v>
      </c>
      <c r="U376" s="19" t="s">
        <v>65</v>
      </c>
      <c r="V376" s="19" t="s">
        <v>66</v>
      </c>
      <c r="W376" s="19" t="s">
        <v>67</v>
      </c>
      <c r="X376" s="19" t="s">
        <v>68</v>
      </c>
      <c r="Y376" s="21" t="s">
        <v>69</v>
      </c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2"/>
      <c r="AK376" s="22"/>
      <c r="AL376" s="22"/>
      <c r="AM376" s="21" t="s">
        <v>70</v>
      </c>
      <c r="AN376" s="21" t="s">
        <v>70</v>
      </c>
      <c r="AO376" s="21" t="str">
        <f>_xlfn.XLOOKUP(A:A,[1]TAGS!$A:$A,[1]TAGS!$BG:$BG)</f>
        <v>Montado</v>
      </c>
      <c r="AP376" s="21"/>
      <c r="AQ376" s="21"/>
      <c r="AR376" s="21"/>
      <c r="AS376" s="21"/>
      <c r="AT376" s="21"/>
      <c r="AU376" s="21"/>
    </row>
    <row r="377" spans="1:47" x14ac:dyDescent="0.35">
      <c r="A377" s="19" t="s">
        <v>1388</v>
      </c>
      <c r="B377" s="19" t="s">
        <v>52</v>
      </c>
      <c r="C377" s="19"/>
      <c r="D377" s="19" t="s">
        <v>53</v>
      </c>
      <c r="E377" s="19" t="s">
        <v>54</v>
      </c>
      <c r="F377" s="20" t="s">
        <v>200</v>
      </c>
      <c r="G377" s="20" t="s">
        <v>201</v>
      </c>
      <c r="H377" s="19" t="s">
        <v>1389</v>
      </c>
      <c r="I377" s="20" t="s">
        <v>58</v>
      </c>
      <c r="J377" s="20" t="s">
        <v>203</v>
      </c>
      <c r="K377" s="20" t="s">
        <v>1390</v>
      </c>
      <c r="L377" s="19" t="s">
        <v>61</v>
      </c>
      <c r="M377" s="19" t="s">
        <v>62</v>
      </c>
      <c r="N377" s="20" t="s">
        <v>63</v>
      </c>
      <c r="O377" s="19">
        <v>21</v>
      </c>
      <c r="P377" s="19">
        <v>3.73</v>
      </c>
      <c r="Q377" s="19">
        <v>1</v>
      </c>
      <c r="R377" s="20">
        <v>7</v>
      </c>
      <c r="S377" s="19">
        <v>6.6000000000000003E-2</v>
      </c>
      <c r="T377" s="19" t="s">
        <v>64</v>
      </c>
      <c r="U377" s="19" t="s">
        <v>65</v>
      </c>
      <c r="V377" s="19" t="s">
        <v>66</v>
      </c>
      <c r="W377" s="19" t="s">
        <v>67</v>
      </c>
      <c r="X377" s="19" t="s">
        <v>68</v>
      </c>
      <c r="Y377" s="21" t="s">
        <v>69</v>
      </c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2"/>
      <c r="AK377" s="22"/>
      <c r="AL377" s="22"/>
      <c r="AM377" s="21" t="s">
        <v>70</v>
      </c>
      <c r="AN377" s="21" t="s">
        <v>70</v>
      </c>
      <c r="AO377" s="21" t="str">
        <f>_xlfn.XLOOKUP(A:A,[1]TAGS!$A:$A,[1]TAGS!$BG:$BG)</f>
        <v>Não Montado</v>
      </c>
      <c r="AP377" s="21"/>
      <c r="AQ377" s="21"/>
      <c r="AR377" s="21"/>
      <c r="AS377" s="21"/>
      <c r="AT377" s="21"/>
      <c r="AU377" s="21"/>
    </row>
    <row r="378" spans="1:47" x14ac:dyDescent="0.35">
      <c r="A378" s="19" t="s">
        <v>1391</v>
      </c>
      <c r="B378" s="19" t="s">
        <v>52</v>
      </c>
      <c r="C378" s="19"/>
      <c r="D378" s="19" t="s">
        <v>53</v>
      </c>
      <c r="E378" s="19" t="s">
        <v>54</v>
      </c>
      <c r="F378" s="20" t="s">
        <v>206</v>
      </c>
      <c r="G378" s="20" t="s">
        <v>207</v>
      </c>
      <c r="H378" s="19" t="s">
        <v>1392</v>
      </c>
      <c r="I378" s="20" t="s">
        <v>58</v>
      </c>
      <c r="J378" s="20" t="s">
        <v>209</v>
      </c>
      <c r="K378" s="20" t="s">
        <v>1393</v>
      </c>
      <c r="L378" s="19" t="s">
        <v>61</v>
      </c>
      <c r="M378" s="19" t="s">
        <v>62</v>
      </c>
      <c r="N378" s="20" t="s">
        <v>63</v>
      </c>
      <c r="O378" s="19">
        <v>21</v>
      </c>
      <c r="P378" s="19">
        <v>3.73</v>
      </c>
      <c r="Q378" s="19">
        <v>1</v>
      </c>
      <c r="R378" s="20">
        <v>7</v>
      </c>
      <c r="S378" s="19">
        <v>6.6000000000000003E-2</v>
      </c>
      <c r="T378" s="19" t="s">
        <v>64</v>
      </c>
      <c r="U378" s="19" t="s">
        <v>65</v>
      </c>
      <c r="V378" s="19" t="s">
        <v>66</v>
      </c>
      <c r="W378" s="19" t="s">
        <v>67</v>
      </c>
      <c r="X378" s="19" t="s">
        <v>68</v>
      </c>
      <c r="Y378" s="21" t="s">
        <v>69</v>
      </c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2"/>
      <c r="AK378" s="22"/>
      <c r="AL378" s="22"/>
      <c r="AM378" s="21" t="s">
        <v>70</v>
      </c>
      <c r="AN378" s="21" t="s">
        <v>70</v>
      </c>
      <c r="AO378" s="21" t="str">
        <f>_xlfn.XLOOKUP(A:A,[1]TAGS!$A:$A,[1]TAGS!$BG:$BG)</f>
        <v>Não Montado</v>
      </c>
      <c r="AP378" s="21"/>
      <c r="AQ378" s="21"/>
      <c r="AR378" s="21"/>
      <c r="AS378" s="21"/>
      <c r="AT378" s="21"/>
      <c r="AU378" s="21"/>
    </row>
    <row r="379" spans="1:47" x14ac:dyDescent="0.35">
      <c r="A379" s="19" t="s">
        <v>1394</v>
      </c>
      <c r="B379" s="19" t="s">
        <v>52</v>
      </c>
      <c r="C379" s="19"/>
      <c r="D379" s="19" t="s">
        <v>53</v>
      </c>
      <c r="E379" s="19" t="s">
        <v>54</v>
      </c>
      <c r="F379" s="20" t="s">
        <v>206</v>
      </c>
      <c r="G379" s="20" t="s">
        <v>207</v>
      </c>
      <c r="H379" s="19" t="s">
        <v>1395</v>
      </c>
      <c r="I379" s="20" t="s">
        <v>58</v>
      </c>
      <c r="J379" s="20" t="s">
        <v>209</v>
      </c>
      <c r="K379" s="20" t="s">
        <v>1396</v>
      </c>
      <c r="L379" s="19" t="s">
        <v>61</v>
      </c>
      <c r="M379" s="19" t="s">
        <v>62</v>
      </c>
      <c r="N379" s="20" t="s">
        <v>63</v>
      </c>
      <c r="O379" s="19">
        <v>21</v>
      </c>
      <c r="P379" s="19">
        <v>3.73</v>
      </c>
      <c r="Q379" s="19">
        <v>1</v>
      </c>
      <c r="R379" s="20">
        <v>7</v>
      </c>
      <c r="S379" s="19">
        <v>6.6000000000000003E-2</v>
      </c>
      <c r="T379" s="19" t="s">
        <v>64</v>
      </c>
      <c r="U379" s="19" t="s">
        <v>65</v>
      </c>
      <c r="V379" s="19" t="s">
        <v>66</v>
      </c>
      <c r="W379" s="19" t="s">
        <v>67</v>
      </c>
      <c r="X379" s="19" t="s">
        <v>68</v>
      </c>
      <c r="Y379" s="21" t="s">
        <v>69</v>
      </c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2"/>
      <c r="AK379" s="22"/>
      <c r="AL379" s="22"/>
      <c r="AM379" s="21" t="s">
        <v>70</v>
      </c>
      <c r="AN379" s="21" t="s">
        <v>70</v>
      </c>
      <c r="AO379" s="21" t="str">
        <f>_xlfn.XLOOKUP(A:A,[1]TAGS!$A:$A,[1]TAGS!$BG:$BG)</f>
        <v>Não Montado</v>
      </c>
      <c r="AP379" s="21"/>
      <c r="AQ379" s="21"/>
      <c r="AR379" s="21"/>
      <c r="AS379" s="21"/>
      <c r="AT379" s="21"/>
      <c r="AU379" s="21"/>
    </row>
    <row r="380" spans="1:47" x14ac:dyDescent="0.35">
      <c r="A380" s="19" t="s">
        <v>1397</v>
      </c>
      <c r="B380" s="19" t="s">
        <v>52</v>
      </c>
      <c r="C380" s="19"/>
      <c r="D380" s="19" t="s">
        <v>53</v>
      </c>
      <c r="E380" s="19" t="s">
        <v>54</v>
      </c>
      <c r="F380" s="20" t="s">
        <v>212</v>
      </c>
      <c r="G380" s="20" t="s">
        <v>213</v>
      </c>
      <c r="H380" s="19" t="s">
        <v>1398</v>
      </c>
      <c r="I380" s="20" t="s">
        <v>58</v>
      </c>
      <c r="J380" s="20" t="s">
        <v>215</v>
      </c>
      <c r="K380" s="20" t="s">
        <v>1399</v>
      </c>
      <c r="L380" s="19" t="s">
        <v>61</v>
      </c>
      <c r="M380" s="19" t="s">
        <v>62</v>
      </c>
      <c r="N380" s="20" t="s">
        <v>63</v>
      </c>
      <c r="O380" s="19">
        <v>21</v>
      </c>
      <c r="P380" s="19">
        <v>3.73</v>
      </c>
      <c r="Q380" s="19">
        <v>1</v>
      </c>
      <c r="R380" s="20">
        <v>7</v>
      </c>
      <c r="S380" s="19">
        <v>6.6000000000000003E-2</v>
      </c>
      <c r="T380" s="19" t="s">
        <v>64</v>
      </c>
      <c r="U380" s="19" t="s">
        <v>65</v>
      </c>
      <c r="V380" s="19" t="s">
        <v>66</v>
      </c>
      <c r="W380" s="19" t="s">
        <v>67</v>
      </c>
      <c r="X380" s="19" t="s">
        <v>68</v>
      </c>
      <c r="Y380" s="21" t="s">
        <v>69</v>
      </c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2"/>
      <c r="AK380" s="22"/>
      <c r="AL380" s="22"/>
      <c r="AM380" s="21" t="s">
        <v>70</v>
      </c>
      <c r="AN380" s="21" t="s">
        <v>70</v>
      </c>
      <c r="AO380" s="21" t="str">
        <f>_xlfn.XLOOKUP(A:A,[1]TAGS!$A:$A,[1]TAGS!$BG:$BG)</f>
        <v>Não Montado</v>
      </c>
      <c r="AP380" s="21"/>
      <c r="AQ380" s="21"/>
      <c r="AR380" s="21"/>
      <c r="AS380" s="21"/>
      <c r="AT380" s="21"/>
      <c r="AU380" s="21"/>
    </row>
    <row r="381" spans="1:47" x14ac:dyDescent="0.35">
      <c r="A381" s="19" t="s">
        <v>1400</v>
      </c>
      <c r="B381" s="19" t="s">
        <v>52</v>
      </c>
      <c r="C381" s="19"/>
      <c r="D381" s="19" t="s">
        <v>53</v>
      </c>
      <c r="E381" s="19" t="s">
        <v>54</v>
      </c>
      <c r="F381" s="20" t="s">
        <v>664</v>
      </c>
      <c r="G381" s="20" t="s">
        <v>665</v>
      </c>
      <c r="H381" s="19" t="s">
        <v>1401</v>
      </c>
      <c r="I381" s="20" t="s">
        <v>58</v>
      </c>
      <c r="J381" s="20" t="s">
        <v>667</v>
      </c>
      <c r="K381" s="20" t="s">
        <v>1402</v>
      </c>
      <c r="L381" s="19" t="s">
        <v>61</v>
      </c>
      <c r="M381" s="19" t="s">
        <v>62</v>
      </c>
      <c r="N381" s="20" t="s">
        <v>63</v>
      </c>
      <c r="O381" s="19">
        <v>21</v>
      </c>
      <c r="P381" s="19">
        <v>3.73</v>
      </c>
      <c r="Q381" s="19">
        <v>1</v>
      </c>
      <c r="R381" s="20">
        <v>7</v>
      </c>
      <c r="S381" s="19">
        <v>6.6000000000000003E-2</v>
      </c>
      <c r="T381" s="19" t="s">
        <v>64</v>
      </c>
      <c r="U381" s="19" t="s">
        <v>65</v>
      </c>
      <c r="V381" s="19" t="s">
        <v>66</v>
      </c>
      <c r="W381" s="19" t="s">
        <v>67</v>
      </c>
      <c r="X381" s="19" t="s">
        <v>68</v>
      </c>
      <c r="Y381" s="21" t="s">
        <v>69</v>
      </c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2"/>
      <c r="AK381" s="22"/>
      <c r="AL381" s="22"/>
      <c r="AM381" s="21" t="s">
        <v>70</v>
      </c>
      <c r="AN381" s="21" t="s">
        <v>70</v>
      </c>
      <c r="AO381" s="21" t="str">
        <f>_xlfn.XLOOKUP(A:A,[1]TAGS!$A:$A,[1]TAGS!$BG:$BG)</f>
        <v>Montado</v>
      </c>
      <c r="AP381" s="21"/>
      <c r="AQ381" s="21"/>
      <c r="AR381" s="21"/>
      <c r="AS381" s="21"/>
      <c r="AT381" s="21"/>
      <c r="AU381" s="21"/>
    </row>
    <row r="382" spans="1:47" x14ac:dyDescent="0.35">
      <c r="A382" s="19" t="s">
        <v>1403</v>
      </c>
      <c r="B382" s="19" t="s">
        <v>52</v>
      </c>
      <c r="C382" s="19"/>
      <c r="D382" s="19" t="s">
        <v>53</v>
      </c>
      <c r="E382" s="19" t="s">
        <v>54</v>
      </c>
      <c r="F382" s="20" t="s">
        <v>300</v>
      </c>
      <c r="G382" s="20" t="s">
        <v>301</v>
      </c>
      <c r="H382" s="19" t="s">
        <v>1404</v>
      </c>
      <c r="I382" s="20" t="s">
        <v>58</v>
      </c>
      <c r="J382" s="20" t="s">
        <v>303</v>
      </c>
      <c r="K382" s="20" t="s">
        <v>1405</v>
      </c>
      <c r="L382" s="19" t="s">
        <v>61</v>
      </c>
      <c r="M382" s="19" t="s">
        <v>62</v>
      </c>
      <c r="N382" s="20" t="s">
        <v>63</v>
      </c>
      <c r="O382" s="19">
        <v>21</v>
      </c>
      <c r="P382" s="19">
        <v>3.73</v>
      </c>
      <c r="Q382" s="19">
        <v>1</v>
      </c>
      <c r="R382" s="20">
        <v>7</v>
      </c>
      <c r="S382" s="19">
        <v>6.6000000000000003E-2</v>
      </c>
      <c r="T382" s="19" t="s">
        <v>64</v>
      </c>
      <c r="U382" s="19" t="s">
        <v>65</v>
      </c>
      <c r="V382" s="19" t="s">
        <v>66</v>
      </c>
      <c r="W382" s="19" t="s">
        <v>67</v>
      </c>
      <c r="X382" s="19" t="s">
        <v>68</v>
      </c>
      <c r="Y382" s="21" t="s">
        <v>69</v>
      </c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2"/>
      <c r="AK382" s="22"/>
      <c r="AL382" s="22"/>
      <c r="AM382" s="21" t="s">
        <v>70</v>
      </c>
      <c r="AN382" s="21" t="s">
        <v>70</v>
      </c>
      <c r="AO382" s="21" t="str">
        <f>_xlfn.XLOOKUP(A:A,[1]TAGS!$A:$A,[1]TAGS!$BG:$BG)</f>
        <v>Não Montado</v>
      </c>
      <c r="AP382" s="21"/>
      <c r="AQ382" s="21"/>
      <c r="AR382" s="21"/>
      <c r="AS382" s="21"/>
      <c r="AT382" s="21"/>
      <c r="AU382" s="21"/>
    </row>
    <row r="383" spans="1:47" x14ac:dyDescent="0.35">
      <c r="A383" s="19" t="s">
        <v>1406</v>
      </c>
      <c r="B383" s="19" t="s">
        <v>52</v>
      </c>
      <c r="C383" s="19"/>
      <c r="D383" s="19" t="s">
        <v>53</v>
      </c>
      <c r="E383" s="19" t="s">
        <v>54</v>
      </c>
      <c r="F383" s="20" t="s">
        <v>300</v>
      </c>
      <c r="G383" s="20" t="s">
        <v>1407</v>
      </c>
      <c r="H383" s="19" t="s">
        <v>1408</v>
      </c>
      <c r="I383" s="20" t="s">
        <v>58</v>
      </c>
      <c r="J383" s="20" t="s">
        <v>1409</v>
      </c>
      <c r="K383" s="20" t="s">
        <v>1410</v>
      </c>
      <c r="L383" s="19" t="s">
        <v>61</v>
      </c>
      <c r="M383" s="19" t="s">
        <v>62</v>
      </c>
      <c r="N383" s="20" t="s">
        <v>63</v>
      </c>
      <c r="O383" s="19">
        <v>21</v>
      </c>
      <c r="P383" s="19">
        <v>3.73</v>
      </c>
      <c r="Q383" s="19">
        <v>1</v>
      </c>
      <c r="R383" s="20">
        <v>7</v>
      </c>
      <c r="S383" s="19">
        <v>6.6000000000000003E-2</v>
      </c>
      <c r="T383" s="19" t="s">
        <v>64</v>
      </c>
      <c r="U383" s="19" t="s">
        <v>65</v>
      </c>
      <c r="V383" s="19" t="s">
        <v>66</v>
      </c>
      <c r="W383" s="19" t="s">
        <v>67</v>
      </c>
      <c r="X383" s="19" t="s">
        <v>68</v>
      </c>
      <c r="Y383" s="21" t="s">
        <v>69</v>
      </c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2"/>
      <c r="AK383" s="22"/>
      <c r="AL383" s="22"/>
      <c r="AM383" s="21" t="s">
        <v>70</v>
      </c>
      <c r="AN383" s="21" t="s">
        <v>70</v>
      </c>
      <c r="AO383" s="21" t="str">
        <f>_xlfn.XLOOKUP(A:A,[1]TAGS!$A:$A,[1]TAGS!$BG:$BG)</f>
        <v>Não Montado</v>
      </c>
      <c r="AP383" s="21"/>
      <c r="AQ383" s="21"/>
      <c r="AR383" s="21"/>
      <c r="AS383" s="21"/>
      <c r="AT383" s="21"/>
      <c r="AU383" s="21"/>
    </row>
    <row r="384" spans="1:47" x14ac:dyDescent="0.35">
      <c r="A384" s="19" t="s">
        <v>1411</v>
      </c>
      <c r="B384" s="19" t="s">
        <v>52</v>
      </c>
      <c r="C384" s="19"/>
      <c r="D384" s="19" t="s">
        <v>53</v>
      </c>
      <c r="E384" s="19" t="s">
        <v>54</v>
      </c>
      <c r="F384" s="20" t="s">
        <v>300</v>
      </c>
      <c r="G384" s="20" t="s">
        <v>616</v>
      </c>
      <c r="H384" s="19" t="s">
        <v>1412</v>
      </c>
      <c r="I384" s="20" t="s">
        <v>124</v>
      </c>
      <c r="J384" s="20" t="s">
        <v>618</v>
      </c>
      <c r="K384" s="20" t="s">
        <v>1413</v>
      </c>
      <c r="L384" s="19" t="s">
        <v>61</v>
      </c>
      <c r="M384" s="19" t="s">
        <v>62</v>
      </c>
      <c r="N384" s="20" t="s">
        <v>63</v>
      </c>
      <c r="O384" s="19">
        <v>21</v>
      </c>
      <c r="P384" s="19">
        <v>3.73</v>
      </c>
      <c r="Q384" s="19">
        <v>1</v>
      </c>
      <c r="R384" s="20">
        <v>7</v>
      </c>
      <c r="S384" s="19">
        <v>6.6000000000000003E-2</v>
      </c>
      <c r="T384" s="19" t="s">
        <v>64</v>
      </c>
      <c r="U384" s="19" t="s">
        <v>65</v>
      </c>
      <c r="V384" s="19" t="s">
        <v>66</v>
      </c>
      <c r="W384" s="19" t="s">
        <v>67</v>
      </c>
      <c r="X384" s="19" t="s">
        <v>68</v>
      </c>
      <c r="Y384" s="21" t="s">
        <v>69</v>
      </c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2"/>
      <c r="AK384" s="22"/>
      <c r="AL384" s="22"/>
      <c r="AM384" s="21" t="s">
        <v>70</v>
      </c>
      <c r="AN384" s="21" t="s">
        <v>70</v>
      </c>
      <c r="AO384" s="21" t="str">
        <f>_xlfn.XLOOKUP(A:A,[1]TAGS!$A:$A,[1]TAGS!$BG:$BG)</f>
        <v>Não Montado</v>
      </c>
      <c r="AP384" s="21"/>
      <c r="AQ384" s="21"/>
      <c r="AR384" s="21"/>
      <c r="AS384" s="21"/>
      <c r="AT384" s="21"/>
      <c r="AU384" s="21"/>
    </row>
    <row r="385" spans="1:47" x14ac:dyDescent="0.35">
      <c r="A385" s="19" t="s">
        <v>1414</v>
      </c>
      <c r="B385" s="19" t="s">
        <v>52</v>
      </c>
      <c r="C385" s="19"/>
      <c r="D385" s="19" t="s">
        <v>53</v>
      </c>
      <c r="E385" s="19" t="s">
        <v>54</v>
      </c>
      <c r="F385" s="20" t="s">
        <v>300</v>
      </c>
      <c r="G385" s="20" t="s">
        <v>301</v>
      </c>
      <c r="H385" s="19" t="s">
        <v>1415</v>
      </c>
      <c r="I385" s="20" t="s">
        <v>58</v>
      </c>
      <c r="J385" s="20" t="s">
        <v>303</v>
      </c>
      <c r="K385" s="20" t="s">
        <v>1416</v>
      </c>
      <c r="L385" s="19" t="s">
        <v>61</v>
      </c>
      <c r="M385" s="19" t="s">
        <v>62</v>
      </c>
      <c r="N385" s="20" t="s">
        <v>63</v>
      </c>
      <c r="O385" s="19">
        <v>21</v>
      </c>
      <c r="P385" s="19">
        <v>3.73</v>
      </c>
      <c r="Q385" s="19">
        <v>1</v>
      </c>
      <c r="R385" s="20">
        <v>7</v>
      </c>
      <c r="S385" s="19">
        <v>6.6000000000000003E-2</v>
      </c>
      <c r="T385" s="19" t="s">
        <v>64</v>
      </c>
      <c r="U385" s="19" t="s">
        <v>65</v>
      </c>
      <c r="V385" s="19" t="s">
        <v>66</v>
      </c>
      <c r="W385" s="19" t="s">
        <v>67</v>
      </c>
      <c r="X385" s="19" t="s">
        <v>68</v>
      </c>
      <c r="Y385" s="21" t="s">
        <v>69</v>
      </c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2"/>
      <c r="AK385" s="22"/>
      <c r="AL385" s="22"/>
      <c r="AM385" s="21" t="s">
        <v>70</v>
      </c>
      <c r="AN385" s="21" t="s">
        <v>70</v>
      </c>
      <c r="AO385" s="21" t="str">
        <f>_xlfn.XLOOKUP(A:A,[1]TAGS!$A:$A,[1]TAGS!$BG:$BG)</f>
        <v>Montado</v>
      </c>
      <c r="AP385" s="21"/>
      <c r="AQ385" s="21"/>
      <c r="AR385" s="21"/>
      <c r="AS385" s="21"/>
      <c r="AT385" s="21"/>
      <c r="AU385" s="21"/>
    </row>
    <row r="386" spans="1:47" x14ac:dyDescent="0.35">
      <c r="A386" s="19" t="s">
        <v>1417</v>
      </c>
      <c r="B386" s="19" t="s">
        <v>52</v>
      </c>
      <c r="C386" s="19"/>
      <c r="D386" s="19" t="s">
        <v>53</v>
      </c>
      <c r="E386" s="19" t="s">
        <v>54</v>
      </c>
      <c r="F386" s="20" t="s">
        <v>300</v>
      </c>
      <c r="G386" s="20" t="s">
        <v>301</v>
      </c>
      <c r="H386" s="19" t="s">
        <v>1418</v>
      </c>
      <c r="I386" s="20" t="s">
        <v>58</v>
      </c>
      <c r="J386" s="20" t="s">
        <v>303</v>
      </c>
      <c r="K386" s="20" t="s">
        <v>1419</v>
      </c>
      <c r="L386" s="19" t="s">
        <v>61</v>
      </c>
      <c r="M386" s="19" t="s">
        <v>62</v>
      </c>
      <c r="N386" s="20" t="s">
        <v>63</v>
      </c>
      <c r="O386" s="19">
        <v>21</v>
      </c>
      <c r="P386" s="19">
        <v>3.73</v>
      </c>
      <c r="Q386" s="19">
        <v>1</v>
      </c>
      <c r="R386" s="20">
        <v>7</v>
      </c>
      <c r="S386" s="19">
        <v>6.6000000000000003E-2</v>
      </c>
      <c r="T386" s="19" t="s">
        <v>64</v>
      </c>
      <c r="U386" s="19" t="s">
        <v>65</v>
      </c>
      <c r="V386" s="19" t="s">
        <v>66</v>
      </c>
      <c r="W386" s="19" t="s">
        <v>67</v>
      </c>
      <c r="X386" s="19" t="s">
        <v>68</v>
      </c>
      <c r="Y386" s="21" t="s">
        <v>69</v>
      </c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2"/>
      <c r="AK386" s="22"/>
      <c r="AL386" s="22"/>
      <c r="AM386" s="21" t="s">
        <v>70</v>
      </c>
      <c r="AN386" s="21" t="s">
        <v>70</v>
      </c>
      <c r="AO386" s="21" t="str">
        <f>_xlfn.XLOOKUP(A:A,[1]TAGS!$A:$A,[1]TAGS!$BG:$BG)</f>
        <v>Montado</v>
      </c>
      <c r="AP386" s="21"/>
      <c r="AQ386" s="21"/>
      <c r="AR386" s="21"/>
      <c r="AS386" s="21"/>
      <c r="AT386" s="21"/>
      <c r="AU386" s="21"/>
    </row>
    <row r="387" spans="1:47" x14ac:dyDescent="0.35">
      <c r="A387" s="19" t="s">
        <v>1420</v>
      </c>
      <c r="B387" s="19" t="s">
        <v>52</v>
      </c>
      <c r="C387" s="19"/>
      <c r="D387" s="19" t="s">
        <v>53</v>
      </c>
      <c r="E387" s="19" t="s">
        <v>54</v>
      </c>
      <c r="F387" s="20" t="s">
        <v>300</v>
      </c>
      <c r="G387" s="20" t="s">
        <v>301</v>
      </c>
      <c r="H387" s="19" t="s">
        <v>1421</v>
      </c>
      <c r="I387" s="20" t="s">
        <v>58</v>
      </c>
      <c r="J387" s="20" t="s">
        <v>303</v>
      </c>
      <c r="K387" s="20" t="s">
        <v>1422</v>
      </c>
      <c r="L387" s="19" t="s">
        <v>61</v>
      </c>
      <c r="M387" s="19" t="s">
        <v>62</v>
      </c>
      <c r="N387" s="20" t="s">
        <v>63</v>
      </c>
      <c r="O387" s="19">
        <v>21</v>
      </c>
      <c r="P387" s="19">
        <v>3.73</v>
      </c>
      <c r="Q387" s="19">
        <v>1</v>
      </c>
      <c r="R387" s="20">
        <v>7</v>
      </c>
      <c r="S387" s="19">
        <v>6.6000000000000003E-2</v>
      </c>
      <c r="T387" s="19" t="s">
        <v>64</v>
      </c>
      <c r="U387" s="19" t="s">
        <v>65</v>
      </c>
      <c r="V387" s="19" t="s">
        <v>66</v>
      </c>
      <c r="W387" s="19" t="s">
        <v>67</v>
      </c>
      <c r="X387" s="19" t="s">
        <v>68</v>
      </c>
      <c r="Y387" s="21" t="s">
        <v>69</v>
      </c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2"/>
      <c r="AK387" s="22"/>
      <c r="AL387" s="22"/>
      <c r="AM387" s="21" t="s">
        <v>70</v>
      </c>
      <c r="AN387" s="21" t="s">
        <v>70</v>
      </c>
      <c r="AO387" s="21" t="str">
        <f>_xlfn.XLOOKUP(A:A,[1]TAGS!$A:$A,[1]TAGS!$BG:$BG)</f>
        <v>Montado</v>
      </c>
      <c r="AP387" s="21"/>
      <c r="AQ387" s="21"/>
      <c r="AR387" s="21"/>
      <c r="AS387" s="21"/>
      <c r="AT387" s="21"/>
      <c r="AU387" s="21"/>
    </row>
    <row r="388" spans="1:47" x14ac:dyDescent="0.35">
      <c r="A388" s="19" t="s">
        <v>1423</v>
      </c>
      <c r="B388" s="19" t="s">
        <v>52</v>
      </c>
      <c r="C388" s="19"/>
      <c r="D388" s="19" t="s">
        <v>53</v>
      </c>
      <c r="E388" s="19" t="s">
        <v>54</v>
      </c>
      <c r="F388" s="20" t="s">
        <v>300</v>
      </c>
      <c r="G388" s="20" t="s">
        <v>301</v>
      </c>
      <c r="H388" s="19" t="s">
        <v>1424</v>
      </c>
      <c r="I388" s="20" t="s">
        <v>58</v>
      </c>
      <c r="J388" s="20" t="s">
        <v>303</v>
      </c>
      <c r="K388" s="20" t="s">
        <v>1425</v>
      </c>
      <c r="L388" s="19" t="s">
        <v>61</v>
      </c>
      <c r="M388" s="19" t="s">
        <v>62</v>
      </c>
      <c r="N388" s="20" t="s">
        <v>63</v>
      </c>
      <c r="O388" s="19">
        <v>21</v>
      </c>
      <c r="P388" s="19">
        <v>3.73</v>
      </c>
      <c r="Q388" s="19">
        <v>1</v>
      </c>
      <c r="R388" s="20">
        <v>7</v>
      </c>
      <c r="S388" s="19">
        <v>6.6000000000000003E-2</v>
      </c>
      <c r="T388" s="19" t="s">
        <v>64</v>
      </c>
      <c r="U388" s="19" t="s">
        <v>65</v>
      </c>
      <c r="V388" s="19" t="s">
        <v>66</v>
      </c>
      <c r="W388" s="19" t="s">
        <v>67</v>
      </c>
      <c r="X388" s="19" t="s">
        <v>68</v>
      </c>
      <c r="Y388" s="21" t="s">
        <v>69</v>
      </c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2"/>
      <c r="AK388" s="22"/>
      <c r="AL388" s="22"/>
      <c r="AM388" s="21" t="s">
        <v>70</v>
      </c>
      <c r="AN388" s="21" t="s">
        <v>70</v>
      </c>
      <c r="AO388" s="21" t="str">
        <f>_xlfn.XLOOKUP(A:A,[1]TAGS!$A:$A,[1]TAGS!$BG:$BG)</f>
        <v>Não Montado</v>
      </c>
      <c r="AP388" s="21"/>
      <c r="AQ388" s="21"/>
      <c r="AR388" s="21"/>
      <c r="AS388" s="21"/>
      <c r="AT388" s="21"/>
      <c r="AU388" s="21"/>
    </row>
    <row r="389" spans="1:47" x14ac:dyDescent="0.35">
      <c r="A389" s="19" t="s">
        <v>1426</v>
      </c>
      <c r="B389" s="19" t="s">
        <v>52</v>
      </c>
      <c r="C389" s="19"/>
      <c r="D389" s="19" t="s">
        <v>53</v>
      </c>
      <c r="E389" s="19" t="s">
        <v>54</v>
      </c>
      <c r="F389" s="20" t="s">
        <v>300</v>
      </c>
      <c r="G389" s="20" t="s">
        <v>301</v>
      </c>
      <c r="H389" s="19" t="s">
        <v>1427</v>
      </c>
      <c r="I389" s="20" t="s">
        <v>58</v>
      </c>
      <c r="J389" s="20" t="s">
        <v>303</v>
      </c>
      <c r="K389" s="20" t="s">
        <v>1428</v>
      </c>
      <c r="L389" s="19" t="s">
        <v>61</v>
      </c>
      <c r="M389" s="19" t="s">
        <v>62</v>
      </c>
      <c r="N389" s="20" t="s">
        <v>63</v>
      </c>
      <c r="O389" s="19">
        <v>21</v>
      </c>
      <c r="P389" s="19">
        <v>3.73</v>
      </c>
      <c r="Q389" s="19">
        <v>1</v>
      </c>
      <c r="R389" s="20">
        <v>7</v>
      </c>
      <c r="S389" s="19">
        <v>6.6000000000000003E-2</v>
      </c>
      <c r="T389" s="19" t="s">
        <v>64</v>
      </c>
      <c r="U389" s="19" t="s">
        <v>65</v>
      </c>
      <c r="V389" s="19" t="s">
        <v>66</v>
      </c>
      <c r="W389" s="19" t="s">
        <v>67</v>
      </c>
      <c r="X389" s="19" t="s">
        <v>68</v>
      </c>
      <c r="Y389" s="21" t="s">
        <v>69</v>
      </c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2"/>
      <c r="AK389" s="22"/>
      <c r="AL389" s="22"/>
      <c r="AM389" s="21" t="s">
        <v>70</v>
      </c>
      <c r="AN389" s="21" t="s">
        <v>70</v>
      </c>
      <c r="AO389" s="21" t="str">
        <f>_xlfn.XLOOKUP(A:A,[1]TAGS!$A:$A,[1]TAGS!$BG:$BG)</f>
        <v>Não Montado</v>
      </c>
      <c r="AP389" s="21"/>
      <c r="AQ389" s="21"/>
      <c r="AR389" s="21"/>
      <c r="AS389" s="21"/>
      <c r="AT389" s="21"/>
      <c r="AU389" s="21"/>
    </row>
    <row r="390" spans="1:47" x14ac:dyDescent="0.35">
      <c r="A390" s="19" t="s">
        <v>1429</v>
      </c>
      <c r="B390" s="19" t="s">
        <v>52</v>
      </c>
      <c r="C390" s="19"/>
      <c r="D390" s="19" t="s">
        <v>53</v>
      </c>
      <c r="E390" s="19" t="s">
        <v>54</v>
      </c>
      <c r="F390" s="20" t="s">
        <v>300</v>
      </c>
      <c r="G390" s="20" t="s">
        <v>301</v>
      </c>
      <c r="H390" s="19" t="s">
        <v>1430</v>
      </c>
      <c r="I390" s="20" t="s">
        <v>58</v>
      </c>
      <c r="J390" s="20" t="s">
        <v>303</v>
      </c>
      <c r="K390" s="20" t="s">
        <v>1431</v>
      </c>
      <c r="L390" s="19" t="s">
        <v>61</v>
      </c>
      <c r="M390" s="19" t="s">
        <v>62</v>
      </c>
      <c r="N390" s="20" t="s">
        <v>63</v>
      </c>
      <c r="O390" s="19">
        <v>21</v>
      </c>
      <c r="P390" s="19">
        <v>3.73</v>
      </c>
      <c r="Q390" s="19">
        <v>1</v>
      </c>
      <c r="R390" s="20">
        <v>7</v>
      </c>
      <c r="S390" s="19">
        <v>6.6000000000000003E-2</v>
      </c>
      <c r="T390" s="19" t="s">
        <v>64</v>
      </c>
      <c r="U390" s="19" t="s">
        <v>65</v>
      </c>
      <c r="V390" s="19" t="s">
        <v>66</v>
      </c>
      <c r="W390" s="19" t="s">
        <v>67</v>
      </c>
      <c r="X390" s="19" t="s">
        <v>68</v>
      </c>
      <c r="Y390" s="21" t="s">
        <v>69</v>
      </c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2"/>
      <c r="AK390" s="22"/>
      <c r="AL390" s="22"/>
      <c r="AM390" s="21" t="s">
        <v>70</v>
      </c>
      <c r="AN390" s="21" t="s">
        <v>70</v>
      </c>
      <c r="AO390" s="21" t="str">
        <f>_xlfn.XLOOKUP(A:A,[1]TAGS!$A:$A,[1]TAGS!$BG:$BG)</f>
        <v>Montado</v>
      </c>
      <c r="AP390" s="21"/>
      <c r="AQ390" s="21"/>
      <c r="AR390" s="21"/>
      <c r="AS390" s="21"/>
      <c r="AT390" s="21"/>
      <c r="AU390" s="21"/>
    </row>
    <row r="391" spans="1:47" x14ac:dyDescent="0.35">
      <c r="A391" s="19" t="s">
        <v>1432</v>
      </c>
      <c r="B391" s="19" t="s">
        <v>52</v>
      </c>
      <c r="C391" s="19"/>
      <c r="D391" s="19" t="s">
        <v>53</v>
      </c>
      <c r="E391" s="19" t="s">
        <v>54</v>
      </c>
      <c r="F391" s="20" t="s">
        <v>300</v>
      </c>
      <c r="G391" s="20" t="s">
        <v>301</v>
      </c>
      <c r="H391" s="19" t="s">
        <v>1433</v>
      </c>
      <c r="I391" s="20" t="s">
        <v>58</v>
      </c>
      <c r="J391" s="20" t="s">
        <v>303</v>
      </c>
      <c r="K391" s="20" t="s">
        <v>1434</v>
      </c>
      <c r="L391" s="19" t="s">
        <v>61</v>
      </c>
      <c r="M391" s="19" t="s">
        <v>62</v>
      </c>
      <c r="N391" s="20" t="s">
        <v>63</v>
      </c>
      <c r="O391" s="19">
        <v>21</v>
      </c>
      <c r="P391" s="19">
        <v>3.73</v>
      </c>
      <c r="Q391" s="19">
        <v>1</v>
      </c>
      <c r="R391" s="20">
        <v>7</v>
      </c>
      <c r="S391" s="19">
        <v>6.6000000000000003E-2</v>
      </c>
      <c r="T391" s="19" t="s">
        <v>64</v>
      </c>
      <c r="U391" s="19" t="s">
        <v>65</v>
      </c>
      <c r="V391" s="19" t="s">
        <v>66</v>
      </c>
      <c r="W391" s="19" t="s">
        <v>67</v>
      </c>
      <c r="X391" s="19" t="s">
        <v>68</v>
      </c>
      <c r="Y391" s="21" t="s">
        <v>69</v>
      </c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2"/>
      <c r="AK391" s="22"/>
      <c r="AL391" s="22"/>
      <c r="AM391" s="21" t="s">
        <v>70</v>
      </c>
      <c r="AN391" s="21" t="s">
        <v>70</v>
      </c>
      <c r="AO391" s="21" t="str">
        <f>_xlfn.XLOOKUP(A:A,[1]TAGS!$A:$A,[1]TAGS!$BG:$BG)</f>
        <v>Montado</v>
      </c>
      <c r="AP391" s="21"/>
      <c r="AQ391" s="21"/>
      <c r="AR391" s="21"/>
      <c r="AS391" s="21"/>
      <c r="AT391" s="21"/>
      <c r="AU391" s="21"/>
    </row>
    <row r="392" spans="1:47" x14ac:dyDescent="0.35">
      <c r="A392" s="19" t="s">
        <v>1435</v>
      </c>
      <c r="B392" s="19" t="s">
        <v>52</v>
      </c>
      <c r="C392" s="19"/>
      <c r="D392" s="19" t="s">
        <v>53</v>
      </c>
      <c r="E392" s="19" t="s">
        <v>54</v>
      </c>
      <c r="F392" s="20" t="s">
        <v>306</v>
      </c>
      <c r="G392" s="20" t="s">
        <v>779</v>
      </c>
      <c r="H392" s="19" t="s">
        <v>1436</v>
      </c>
      <c r="I392" s="20" t="s">
        <v>124</v>
      </c>
      <c r="J392" s="20" t="s">
        <v>781</v>
      </c>
      <c r="K392" s="20" t="s">
        <v>1437</v>
      </c>
      <c r="L392" s="19" t="s">
        <v>61</v>
      </c>
      <c r="M392" s="19" t="s">
        <v>62</v>
      </c>
      <c r="N392" s="20" t="s">
        <v>63</v>
      </c>
      <c r="O392" s="19">
        <v>21</v>
      </c>
      <c r="P392" s="19">
        <v>3.73</v>
      </c>
      <c r="Q392" s="19">
        <v>1</v>
      </c>
      <c r="R392" s="20">
        <v>7</v>
      </c>
      <c r="S392" s="19">
        <v>6.6000000000000003E-2</v>
      </c>
      <c r="T392" s="19" t="s">
        <v>64</v>
      </c>
      <c r="U392" s="19" t="s">
        <v>65</v>
      </c>
      <c r="V392" s="19" t="s">
        <v>66</v>
      </c>
      <c r="W392" s="19" t="s">
        <v>67</v>
      </c>
      <c r="X392" s="19" t="s">
        <v>68</v>
      </c>
      <c r="Y392" s="21" t="s">
        <v>69</v>
      </c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2"/>
      <c r="AK392" s="22"/>
      <c r="AL392" s="22"/>
      <c r="AM392" s="21" t="s">
        <v>70</v>
      </c>
      <c r="AN392" s="21" t="s">
        <v>70</v>
      </c>
      <c r="AO392" s="21" t="str">
        <f>_xlfn.XLOOKUP(A:A,[1]TAGS!$A:$A,[1]TAGS!$BG:$BG)</f>
        <v>Montado</v>
      </c>
      <c r="AP392" s="21"/>
      <c r="AQ392" s="21"/>
      <c r="AR392" s="21"/>
      <c r="AS392" s="21"/>
      <c r="AT392" s="21"/>
      <c r="AU392" s="21"/>
    </row>
    <row r="393" spans="1:47" x14ac:dyDescent="0.35">
      <c r="A393" s="19" t="s">
        <v>1438</v>
      </c>
      <c r="B393" s="19" t="s">
        <v>52</v>
      </c>
      <c r="C393" s="19"/>
      <c r="D393" s="19" t="s">
        <v>53</v>
      </c>
      <c r="E393" s="19" t="s">
        <v>54</v>
      </c>
      <c r="F393" s="20" t="s">
        <v>306</v>
      </c>
      <c r="G393" s="20" t="s">
        <v>843</v>
      </c>
      <c r="H393" s="19" t="s">
        <v>1439</v>
      </c>
      <c r="I393" s="20" t="s">
        <v>124</v>
      </c>
      <c r="J393" s="20" t="s">
        <v>845</v>
      </c>
      <c r="K393" s="20" t="s">
        <v>1440</v>
      </c>
      <c r="L393" s="19" t="s">
        <v>61</v>
      </c>
      <c r="M393" s="19" t="s">
        <v>62</v>
      </c>
      <c r="N393" s="20" t="s">
        <v>63</v>
      </c>
      <c r="O393" s="19">
        <v>21</v>
      </c>
      <c r="P393" s="19">
        <v>3.73</v>
      </c>
      <c r="Q393" s="19">
        <v>1</v>
      </c>
      <c r="R393" s="20">
        <v>7</v>
      </c>
      <c r="S393" s="19">
        <v>6.6000000000000003E-2</v>
      </c>
      <c r="T393" s="19" t="s">
        <v>64</v>
      </c>
      <c r="U393" s="19" t="s">
        <v>65</v>
      </c>
      <c r="V393" s="19" t="s">
        <v>66</v>
      </c>
      <c r="W393" s="19" t="s">
        <v>67</v>
      </c>
      <c r="X393" s="19" t="s">
        <v>68</v>
      </c>
      <c r="Y393" s="21" t="s">
        <v>69</v>
      </c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2"/>
      <c r="AK393" s="22"/>
      <c r="AL393" s="22"/>
      <c r="AM393" s="21" t="s">
        <v>70</v>
      </c>
      <c r="AN393" s="21" t="s">
        <v>70</v>
      </c>
      <c r="AO393" s="21" t="str">
        <f>_xlfn.XLOOKUP(A:A,[1]TAGS!$A:$A,[1]TAGS!$BG:$BG)</f>
        <v>Montado</v>
      </c>
      <c r="AP393" s="21"/>
      <c r="AQ393" s="21"/>
      <c r="AR393" s="21"/>
      <c r="AS393" s="21"/>
      <c r="AT393" s="21"/>
      <c r="AU393" s="21"/>
    </row>
    <row r="394" spans="1:47" x14ac:dyDescent="0.35">
      <c r="A394" s="19" t="s">
        <v>1441</v>
      </c>
      <c r="B394" s="19" t="s">
        <v>52</v>
      </c>
      <c r="C394" s="19"/>
      <c r="D394" s="19" t="s">
        <v>53</v>
      </c>
      <c r="E394" s="19" t="s">
        <v>54</v>
      </c>
      <c r="F394" s="20" t="s">
        <v>306</v>
      </c>
      <c r="G394" s="20" t="s">
        <v>843</v>
      </c>
      <c r="H394" s="19" t="s">
        <v>1442</v>
      </c>
      <c r="I394" s="20" t="s">
        <v>124</v>
      </c>
      <c r="J394" s="20" t="s">
        <v>845</v>
      </c>
      <c r="K394" s="20" t="s">
        <v>1443</v>
      </c>
      <c r="L394" s="19" t="s">
        <v>61</v>
      </c>
      <c r="M394" s="19" t="s">
        <v>62</v>
      </c>
      <c r="N394" s="20" t="s">
        <v>63</v>
      </c>
      <c r="O394" s="19">
        <v>21</v>
      </c>
      <c r="P394" s="19">
        <v>3.73</v>
      </c>
      <c r="Q394" s="19">
        <v>1</v>
      </c>
      <c r="R394" s="20">
        <v>7</v>
      </c>
      <c r="S394" s="19">
        <v>6.6000000000000003E-2</v>
      </c>
      <c r="T394" s="19" t="s">
        <v>64</v>
      </c>
      <c r="U394" s="19" t="s">
        <v>65</v>
      </c>
      <c r="V394" s="19" t="s">
        <v>66</v>
      </c>
      <c r="W394" s="19" t="s">
        <v>67</v>
      </c>
      <c r="X394" s="19" t="s">
        <v>68</v>
      </c>
      <c r="Y394" s="21" t="s">
        <v>69</v>
      </c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2"/>
      <c r="AK394" s="22"/>
      <c r="AL394" s="22"/>
      <c r="AM394" s="21" t="s">
        <v>70</v>
      </c>
      <c r="AN394" s="21" t="s">
        <v>70</v>
      </c>
      <c r="AO394" s="21" t="str">
        <f>_xlfn.XLOOKUP(A:A,[1]TAGS!$A:$A,[1]TAGS!$BG:$BG)</f>
        <v>Montado</v>
      </c>
      <c r="AP394" s="21"/>
      <c r="AQ394" s="21"/>
      <c r="AR394" s="21"/>
      <c r="AS394" s="21"/>
      <c r="AT394" s="21"/>
      <c r="AU394" s="21"/>
    </row>
    <row r="395" spans="1:47" x14ac:dyDescent="0.35">
      <c r="A395" s="19" t="s">
        <v>1444</v>
      </c>
      <c r="B395" s="19" t="s">
        <v>52</v>
      </c>
      <c r="C395" s="19"/>
      <c r="D395" s="19" t="s">
        <v>53</v>
      </c>
      <c r="E395" s="19" t="s">
        <v>54</v>
      </c>
      <c r="F395" s="20" t="s">
        <v>306</v>
      </c>
      <c r="G395" s="20" t="s">
        <v>307</v>
      </c>
      <c r="H395" s="19" t="s">
        <v>1445</v>
      </c>
      <c r="I395" s="20" t="s">
        <v>124</v>
      </c>
      <c r="J395" s="20" t="s">
        <v>309</v>
      </c>
      <c r="K395" s="20" t="s">
        <v>1446</v>
      </c>
      <c r="L395" s="19" t="s">
        <v>61</v>
      </c>
      <c r="M395" s="19" t="s">
        <v>62</v>
      </c>
      <c r="N395" s="20" t="s">
        <v>63</v>
      </c>
      <c r="O395" s="19">
        <v>21</v>
      </c>
      <c r="P395" s="19">
        <v>3.73</v>
      </c>
      <c r="Q395" s="19">
        <v>1</v>
      </c>
      <c r="R395" s="20">
        <v>7</v>
      </c>
      <c r="S395" s="19">
        <v>6.6000000000000003E-2</v>
      </c>
      <c r="T395" s="19" t="s">
        <v>64</v>
      </c>
      <c r="U395" s="19" t="s">
        <v>65</v>
      </c>
      <c r="V395" s="19" t="s">
        <v>66</v>
      </c>
      <c r="W395" s="19" t="s">
        <v>67</v>
      </c>
      <c r="X395" s="19" t="s">
        <v>68</v>
      </c>
      <c r="Y395" s="21" t="s">
        <v>69</v>
      </c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2"/>
      <c r="AK395" s="22"/>
      <c r="AL395" s="22"/>
      <c r="AM395" s="21" t="s">
        <v>70</v>
      </c>
      <c r="AN395" s="21" t="s">
        <v>70</v>
      </c>
      <c r="AO395" s="21" t="str">
        <f>_xlfn.XLOOKUP(A:A,[1]TAGS!$A:$A,[1]TAGS!$BG:$BG)</f>
        <v>Montado</v>
      </c>
      <c r="AP395" s="21"/>
      <c r="AQ395" s="21"/>
      <c r="AR395" s="21"/>
      <c r="AS395" s="21"/>
      <c r="AT395" s="21"/>
      <c r="AU395" s="21"/>
    </row>
    <row r="396" spans="1:47" x14ac:dyDescent="0.35">
      <c r="A396" s="19" t="s">
        <v>1447</v>
      </c>
      <c r="B396" s="19" t="s">
        <v>52</v>
      </c>
      <c r="C396" s="19"/>
      <c r="D396" s="19" t="s">
        <v>53</v>
      </c>
      <c r="E396" s="19" t="s">
        <v>54</v>
      </c>
      <c r="F396" s="20" t="s">
        <v>306</v>
      </c>
      <c r="G396" s="20" t="s">
        <v>307</v>
      </c>
      <c r="H396" s="19" t="s">
        <v>1448</v>
      </c>
      <c r="I396" s="20" t="s">
        <v>124</v>
      </c>
      <c r="J396" s="20" t="s">
        <v>309</v>
      </c>
      <c r="K396" s="20" t="s">
        <v>1449</v>
      </c>
      <c r="L396" s="19" t="s">
        <v>61</v>
      </c>
      <c r="M396" s="19" t="s">
        <v>62</v>
      </c>
      <c r="N396" s="20" t="s">
        <v>63</v>
      </c>
      <c r="O396" s="19">
        <v>21</v>
      </c>
      <c r="P396" s="19">
        <v>3.73</v>
      </c>
      <c r="Q396" s="19">
        <v>1</v>
      </c>
      <c r="R396" s="20">
        <v>7</v>
      </c>
      <c r="S396" s="19">
        <v>6.6000000000000003E-2</v>
      </c>
      <c r="T396" s="19" t="s">
        <v>64</v>
      </c>
      <c r="U396" s="19" t="s">
        <v>65</v>
      </c>
      <c r="V396" s="19" t="s">
        <v>66</v>
      </c>
      <c r="W396" s="19" t="s">
        <v>67</v>
      </c>
      <c r="X396" s="19" t="s">
        <v>68</v>
      </c>
      <c r="Y396" s="21" t="s">
        <v>69</v>
      </c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2"/>
      <c r="AK396" s="22"/>
      <c r="AL396" s="22"/>
      <c r="AM396" s="21" t="s">
        <v>70</v>
      </c>
      <c r="AN396" s="21" t="s">
        <v>70</v>
      </c>
      <c r="AO396" s="21" t="str">
        <f>_xlfn.XLOOKUP(A:A,[1]TAGS!$A:$A,[1]TAGS!$BG:$BG)</f>
        <v>Montado</v>
      </c>
      <c r="AP396" s="21"/>
      <c r="AQ396" s="21"/>
      <c r="AR396" s="21"/>
      <c r="AS396" s="21"/>
      <c r="AT396" s="21"/>
      <c r="AU396" s="21"/>
    </row>
    <row r="397" spans="1:47" x14ac:dyDescent="0.35">
      <c r="A397" s="19" t="s">
        <v>1450</v>
      </c>
      <c r="B397" s="19" t="s">
        <v>52</v>
      </c>
      <c r="C397" s="19"/>
      <c r="D397" s="19" t="s">
        <v>53</v>
      </c>
      <c r="E397" s="19" t="s">
        <v>54</v>
      </c>
      <c r="F397" s="20" t="s">
        <v>306</v>
      </c>
      <c r="G397" s="20" t="s">
        <v>843</v>
      </c>
      <c r="H397" s="19" t="s">
        <v>1451</v>
      </c>
      <c r="I397" s="20" t="s">
        <v>124</v>
      </c>
      <c r="J397" s="20" t="s">
        <v>845</v>
      </c>
      <c r="K397" s="20" t="s">
        <v>1452</v>
      </c>
      <c r="L397" s="19" t="s">
        <v>61</v>
      </c>
      <c r="M397" s="19" t="s">
        <v>62</v>
      </c>
      <c r="N397" s="20" t="s">
        <v>63</v>
      </c>
      <c r="O397" s="19">
        <v>21</v>
      </c>
      <c r="P397" s="19">
        <v>3.73</v>
      </c>
      <c r="Q397" s="19">
        <v>1</v>
      </c>
      <c r="R397" s="20">
        <v>7</v>
      </c>
      <c r="S397" s="19">
        <v>6.6000000000000003E-2</v>
      </c>
      <c r="T397" s="19" t="s">
        <v>64</v>
      </c>
      <c r="U397" s="19" t="s">
        <v>65</v>
      </c>
      <c r="V397" s="19" t="s">
        <v>66</v>
      </c>
      <c r="W397" s="19" t="s">
        <v>67</v>
      </c>
      <c r="X397" s="19" t="s">
        <v>68</v>
      </c>
      <c r="Y397" s="21" t="s">
        <v>69</v>
      </c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2"/>
      <c r="AK397" s="22"/>
      <c r="AL397" s="22"/>
      <c r="AM397" s="21" t="s">
        <v>70</v>
      </c>
      <c r="AN397" s="21" t="s">
        <v>70</v>
      </c>
      <c r="AO397" s="21" t="str">
        <f>_xlfn.XLOOKUP(A:A,[1]TAGS!$A:$A,[1]TAGS!$BG:$BG)</f>
        <v>Montado</v>
      </c>
      <c r="AP397" s="21"/>
      <c r="AQ397" s="21"/>
      <c r="AR397" s="21"/>
      <c r="AS397" s="21"/>
      <c r="AT397" s="21"/>
      <c r="AU397" s="21"/>
    </row>
    <row r="398" spans="1:47" x14ac:dyDescent="0.35">
      <c r="A398" s="19" t="s">
        <v>1453</v>
      </c>
      <c r="B398" s="19" t="s">
        <v>52</v>
      </c>
      <c r="C398" s="19"/>
      <c r="D398" s="19" t="s">
        <v>53</v>
      </c>
      <c r="E398" s="19" t="s">
        <v>54</v>
      </c>
      <c r="F398" s="20" t="s">
        <v>233</v>
      </c>
      <c r="G398" s="20" t="s">
        <v>234</v>
      </c>
      <c r="H398" s="19" t="s">
        <v>1454</v>
      </c>
      <c r="I398" s="20" t="s">
        <v>58</v>
      </c>
      <c r="J398" s="20" t="s">
        <v>236</v>
      </c>
      <c r="K398" s="20" t="s">
        <v>1455</v>
      </c>
      <c r="L398" s="19" t="s">
        <v>61</v>
      </c>
      <c r="M398" s="19" t="s">
        <v>62</v>
      </c>
      <c r="N398" s="20" t="s">
        <v>63</v>
      </c>
      <c r="O398" s="19">
        <v>21</v>
      </c>
      <c r="P398" s="19">
        <v>3.73</v>
      </c>
      <c r="Q398" s="19">
        <v>1</v>
      </c>
      <c r="R398" s="20">
        <v>7</v>
      </c>
      <c r="S398" s="19">
        <v>6.6000000000000003E-2</v>
      </c>
      <c r="T398" s="19" t="s">
        <v>64</v>
      </c>
      <c r="U398" s="19" t="s">
        <v>65</v>
      </c>
      <c r="V398" s="19" t="s">
        <v>66</v>
      </c>
      <c r="W398" s="19" t="s">
        <v>67</v>
      </c>
      <c r="X398" s="19" t="s">
        <v>68</v>
      </c>
      <c r="Y398" s="21" t="s">
        <v>69</v>
      </c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2"/>
      <c r="AK398" s="22"/>
      <c r="AL398" s="22"/>
      <c r="AM398" s="21" t="s">
        <v>70</v>
      </c>
      <c r="AN398" s="21" t="s">
        <v>70</v>
      </c>
      <c r="AO398" s="21" t="str">
        <f>_xlfn.XLOOKUP(A:A,[1]TAGS!$A:$A,[1]TAGS!$BG:$BG)</f>
        <v>Montado</v>
      </c>
      <c r="AP398" s="21"/>
      <c r="AQ398" s="21"/>
      <c r="AR398" s="21"/>
      <c r="AS398" s="21"/>
      <c r="AT398" s="21"/>
      <c r="AU398" s="21"/>
    </row>
    <row r="399" spans="1:47" ht="29" x14ac:dyDescent="0.35">
      <c r="A399" s="19" t="s">
        <v>1456</v>
      </c>
      <c r="B399" s="19" t="s">
        <v>52</v>
      </c>
      <c r="C399" s="19"/>
      <c r="D399" s="19" t="s">
        <v>53</v>
      </c>
      <c r="E399" s="19" t="s">
        <v>54</v>
      </c>
      <c r="F399" s="20" t="s">
        <v>578</v>
      </c>
      <c r="G399" s="20" t="s">
        <v>579</v>
      </c>
      <c r="H399" s="19" t="s">
        <v>1457</v>
      </c>
      <c r="I399" s="20" t="s">
        <v>58</v>
      </c>
      <c r="J399" s="23" t="s">
        <v>581</v>
      </c>
      <c r="K399" s="20" t="s">
        <v>1458</v>
      </c>
      <c r="L399" s="19" t="s">
        <v>61</v>
      </c>
      <c r="M399" s="19" t="s">
        <v>62</v>
      </c>
      <c r="N399" s="20" t="s">
        <v>63</v>
      </c>
      <c r="O399" s="19">
        <v>21</v>
      </c>
      <c r="P399" s="19">
        <v>3.73</v>
      </c>
      <c r="Q399" s="19">
        <v>1</v>
      </c>
      <c r="R399" s="20">
        <v>7</v>
      </c>
      <c r="S399" s="19">
        <v>6.6000000000000003E-2</v>
      </c>
      <c r="T399" s="19" t="s">
        <v>64</v>
      </c>
      <c r="U399" s="19" t="s">
        <v>65</v>
      </c>
      <c r="V399" s="19" t="s">
        <v>66</v>
      </c>
      <c r="W399" s="19" t="s">
        <v>67</v>
      </c>
      <c r="X399" s="19" t="s">
        <v>68</v>
      </c>
      <c r="Y399" s="21" t="s">
        <v>69</v>
      </c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2"/>
      <c r="AK399" s="22"/>
      <c r="AL399" s="22"/>
      <c r="AM399" s="21" t="s">
        <v>70</v>
      </c>
      <c r="AN399" s="21" t="s">
        <v>70</v>
      </c>
      <c r="AO399" s="21" t="str">
        <f>_xlfn.XLOOKUP(A:A,[1]TAGS!$A:$A,[1]TAGS!$BG:$BG)</f>
        <v>Não Montado</v>
      </c>
      <c r="AP399" s="21"/>
      <c r="AQ399" s="21"/>
      <c r="AR399" s="21"/>
      <c r="AS399" s="21"/>
      <c r="AT399" s="21"/>
      <c r="AU399" s="21"/>
    </row>
    <row r="400" spans="1:47" x14ac:dyDescent="0.35">
      <c r="A400" s="19" t="s">
        <v>1459</v>
      </c>
      <c r="B400" s="19" t="s">
        <v>52</v>
      </c>
      <c r="C400" s="19"/>
      <c r="D400" s="19" t="s">
        <v>53</v>
      </c>
      <c r="E400" s="19" t="s">
        <v>54</v>
      </c>
      <c r="F400" s="20" t="s">
        <v>578</v>
      </c>
      <c r="G400" s="20" t="s">
        <v>787</v>
      </c>
      <c r="H400" s="19" t="s">
        <v>1460</v>
      </c>
      <c r="I400" s="20" t="s">
        <v>58</v>
      </c>
      <c r="J400" s="20" t="s">
        <v>789</v>
      </c>
      <c r="K400" s="20" t="s">
        <v>1461</v>
      </c>
      <c r="L400" s="19" t="s">
        <v>61</v>
      </c>
      <c r="M400" s="19" t="s">
        <v>62</v>
      </c>
      <c r="N400" s="20" t="s">
        <v>63</v>
      </c>
      <c r="O400" s="19">
        <v>21</v>
      </c>
      <c r="P400" s="19">
        <v>3.73</v>
      </c>
      <c r="Q400" s="19">
        <v>1</v>
      </c>
      <c r="R400" s="20">
        <v>7</v>
      </c>
      <c r="S400" s="19">
        <v>6.6000000000000003E-2</v>
      </c>
      <c r="T400" s="19" t="s">
        <v>64</v>
      </c>
      <c r="U400" s="19" t="s">
        <v>65</v>
      </c>
      <c r="V400" s="19" t="s">
        <v>66</v>
      </c>
      <c r="W400" s="19" t="s">
        <v>67</v>
      </c>
      <c r="X400" s="19" t="s">
        <v>68</v>
      </c>
      <c r="Y400" s="21" t="s">
        <v>69</v>
      </c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2"/>
      <c r="AK400" s="22"/>
      <c r="AL400" s="22"/>
      <c r="AM400" s="21" t="s">
        <v>70</v>
      </c>
      <c r="AN400" s="21" t="s">
        <v>70</v>
      </c>
      <c r="AO400" s="21" t="str">
        <f>_xlfn.XLOOKUP(A:A,[1]TAGS!$A:$A,[1]TAGS!$BG:$BG)</f>
        <v>Não Montado</v>
      </c>
      <c r="AP400" s="21"/>
      <c r="AQ400" s="21"/>
      <c r="AR400" s="21"/>
      <c r="AS400" s="21"/>
      <c r="AT400" s="21"/>
      <c r="AU400" s="21"/>
    </row>
    <row r="401" spans="1:47" x14ac:dyDescent="0.35">
      <c r="A401" s="19" t="s">
        <v>1462</v>
      </c>
      <c r="B401" s="19" t="s">
        <v>52</v>
      </c>
      <c r="C401" s="19"/>
      <c r="D401" s="19" t="s">
        <v>53</v>
      </c>
      <c r="E401" s="19" t="s">
        <v>54</v>
      </c>
      <c r="F401" s="20" t="s">
        <v>300</v>
      </c>
      <c r="G401" s="20" t="s">
        <v>301</v>
      </c>
      <c r="H401" s="19" t="s">
        <v>1463</v>
      </c>
      <c r="I401" s="20" t="s">
        <v>58</v>
      </c>
      <c r="J401" s="20" t="s">
        <v>303</v>
      </c>
      <c r="K401" s="20" t="s">
        <v>1464</v>
      </c>
      <c r="L401" s="19" t="s">
        <v>61</v>
      </c>
      <c r="M401" s="19" t="s">
        <v>62</v>
      </c>
      <c r="N401" s="20" t="s">
        <v>63</v>
      </c>
      <c r="O401" s="19">
        <v>21</v>
      </c>
      <c r="P401" s="19">
        <v>3.73</v>
      </c>
      <c r="Q401" s="19">
        <v>1</v>
      </c>
      <c r="R401" s="20">
        <v>7</v>
      </c>
      <c r="S401" s="19">
        <v>6.6000000000000003E-2</v>
      </c>
      <c r="T401" s="19" t="s">
        <v>64</v>
      </c>
      <c r="U401" s="19" t="s">
        <v>65</v>
      </c>
      <c r="V401" s="19" t="s">
        <v>66</v>
      </c>
      <c r="W401" s="19" t="s">
        <v>67</v>
      </c>
      <c r="X401" s="19" t="s">
        <v>68</v>
      </c>
      <c r="Y401" s="21" t="s">
        <v>69</v>
      </c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2"/>
      <c r="AK401" s="22"/>
      <c r="AL401" s="22"/>
      <c r="AM401" s="21" t="s">
        <v>70</v>
      </c>
      <c r="AN401" s="21" t="s">
        <v>70</v>
      </c>
      <c r="AO401" s="21" t="str">
        <f>_xlfn.XLOOKUP(A:A,[1]TAGS!$A:$A,[1]TAGS!$BG:$BG)</f>
        <v>Montado</v>
      </c>
      <c r="AP401" s="21"/>
      <c r="AQ401" s="21"/>
      <c r="AR401" s="21"/>
      <c r="AS401" s="21"/>
      <c r="AT401" s="21"/>
      <c r="AU401" s="21"/>
    </row>
    <row r="402" spans="1:47" x14ac:dyDescent="0.35">
      <c r="A402" s="19" t="s">
        <v>1465</v>
      </c>
      <c r="B402" s="19" t="s">
        <v>52</v>
      </c>
      <c r="C402" s="19"/>
      <c r="D402" s="19" t="s">
        <v>53</v>
      </c>
      <c r="E402" s="19" t="s">
        <v>54</v>
      </c>
      <c r="F402" s="20" t="s">
        <v>83</v>
      </c>
      <c r="G402" s="20" t="s">
        <v>84</v>
      </c>
      <c r="H402" s="19" t="s">
        <v>1466</v>
      </c>
      <c r="I402" s="20" t="s">
        <v>58</v>
      </c>
      <c r="J402" s="20" t="s">
        <v>86</v>
      </c>
      <c r="K402" s="20" t="s">
        <v>1467</v>
      </c>
      <c r="L402" s="19" t="s">
        <v>61</v>
      </c>
      <c r="M402" s="19" t="s">
        <v>62</v>
      </c>
      <c r="N402" s="20" t="s">
        <v>63</v>
      </c>
      <c r="O402" s="19">
        <v>21</v>
      </c>
      <c r="P402" s="19">
        <v>3.73</v>
      </c>
      <c r="Q402" s="19">
        <v>1</v>
      </c>
      <c r="R402" s="20">
        <v>7</v>
      </c>
      <c r="S402" s="19">
        <v>6.6000000000000003E-2</v>
      </c>
      <c r="T402" s="19" t="s">
        <v>64</v>
      </c>
      <c r="U402" s="19" t="s">
        <v>65</v>
      </c>
      <c r="V402" s="19" t="s">
        <v>66</v>
      </c>
      <c r="W402" s="19" t="s">
        <v>67</v>
      </c>
      <c r="X402" s="19" t="s">
        <v>68</v>
      </c>
      <c r="Y402" s="21" t="s">
        <v>69</v>
      </c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2"/>
      <c r="AK402" s="22"/>
      <c r="AL402" s="22"/>
      <c r="AM402" s="21" t="s">
        <v>70</v>
      </c>
      <c r="AN402" s="21" t="s">
        <v>70</v>
      </c>
      <c r="AO402" s="21" t="str">
        <f>_xlfn.XLOOKUP(A:A,[1]TAGS!$A:$A,[1]TAGS!$BG:$BG)</f>
        <v>Montado</v>
      </c>
      <c r="AP402" s="21"/>
      <c r="AQ402" s="21"/>
      <c r="AR402" s="21"/>
      <c r="AS402" s="21"/>
      <c r="AT402" s="21"/>
      <c r="AU402" s="21"/>
    </row>
    <row r="403" spans="1:47" x14ac:dyDescent="0.35">
      <c r="A403" s="19" t="s">
        <v>1468</v>
      </c>
      <c r="B403" s="19" t="s">
        <v>52</v>
      </c>
      <c r="C403" s="19"/>
      <c r="D403" s="19" t="s">
        <v>53</v>
      </c>
      <c r="E403" s="19" t="s">
        <v>54</v>
      </c>
      <c r="F403" s="20" t="s">
        <v>55</v>
      </c>
      <c r="G403" s="20" t="s">
        <v>56</v>
      </c>
      <c r="H403" s="19" t="s">
        <v>1469</v>
      </c>
      <c r="I403" s="20" t="s">
        <v>58</v>
      </c>
      <c r="J403" s="20" t="s">
        <v>59</v>
      </c>
      <c r="K403" s="20" t="s">
        <v>1470</v>
      </c>
      <c r="L403" s="19" t="s">
        <v>61</v>
      </c>
      <c r="M403" s="19" t="s">
        <v>62</v>
      </c>
      <c r="N403" s="20" t="s">
        <v>63</v>
      </c>
      <c r="O403" s="19">
        <v>21</v>
      </c>
      <c r="P403" s="19">
        <v>3.73</v>
      </c>
      <c r="Q403" s="19">
        <v>1</v>
      </c>
      <c r="R403" s="20">
        <v>7</v>
      </c>
      <c r="S403" s="19">
        <v>6.6000000000000003E-2</v>
      </c>
      <c r="T403" s="19" t="s">
        <v>64</v>
      </c>
      <c r="U403" s="19" t="s">
        <v>65</v>
      </c>
      <c r="V403" s="19" t="s">
        <v>66</v>
      </c>
      <c r="W403" s="19" t="s">
        <v>67</v>
      </c>
      <c r="X403" s="19" t="s">
        <v>68</v>
      </c>
      <c r="Y403" s="21" t="s">
        <v>69</v>
      </c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2"/>
      <c r="AK403" s="22"/>
      <c r="AL403" s="22"/>
      <c r="AM403" s="21" t="s">
        <v>70</v>
      </c>
      <c r="AN403" s="21" t="s">
        <v>70</v>
      </c>
      <c r="AO403" s="21" t="str">
        <f>_xlfn.XLOOKUP(A:A,[1]TAGS!$A:$A,[1]TAGS!$BG:$BG)</f>
        <v>Não Montado</v>
      </c>
      <c r="AP403" s="21"/>
      <c r="AQ403" s="21"/>
      <c r="AR403" s="21"/>
      <c r="AS403" s="21"/>
      <c r="AT403" s="21"/>
      <c r="AU403" s="21"/>
    </row>
    <row r="404" spans="1:47" x14ac:dyDescent="0.35">
      <c r="A404" s="19" t="s">
        <v>1471</v>
      </c>
      <c r="B404" s="19" t="s">
        <v>52</v>
      </c>
      <c r="C404" s="19"/>
      <c r="D404" s="19" t="s">
        <v>53</v>
      </c>
      <c r="E404" s="19" t="s">
        <v>54</v>
      </c>
      <c r="F404" s="20" t="s">
        <v>664</v>
      </c>
      <c r="G404" s="20" t="s">
        <v>665</v>
      </c>
      <c r="H404" s="19" t="s">
        <v>1472</v>
      </c>
      <c r="I404" s="20" t="s">
        <v>58</v>
      </c>
      <c r="J404" s="20" t="s">
        <v>667</v>
      </c>
      <c r="K404" s="20" t="s">
        <v>1473</v>
      </c>
      <c r="L404" s="19" t="s">
        <v>61</v>
      </c>
      <c r="M404" s="19" t="s">
        <v>62</v>
      </c>
      <c r="N404" s="20" t="s">
        <v>63</v>
      </c>
      <c r="O404" s="19">
        <v>21</v>
      </c>
      <c r="P404" s="19">
        <v>3.73</v>
      </c>
      <c r="Q404" s="19">
        <v>1</v>
      </c>
      <c r="R404" s="20">
        <v>7</v>
      </c>
      <c r="S404" s="19">
        <v>6.6000000000000003E-2</v>
      </c>
      <c r="T404" s="19" t="s">
        <v>64</v>
      </c>
      <c r="U404" s="19" t="s">
        <v>65</v>
      </c>
      <c r="V404" s="19" t="s">
        <v>66</v>
      </c>
      <c r="W404" s="19" t="s">
        <v>67</v>
      </c>
      <c r="X404" s="19" t="s">
        <v>68</v>
      </c>
      <c r="Y404" s="21" t="s">
        <v>69</v>
      </c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2"/>
      <c r="AK404" s="22"/>
      <c r="AL404" s="22"/>
      <c r="AM404" s="21" t="s">
        <v>70</v>
      </c>
      <c r="AN404" s="21" t="s">
        <v>70</v>
      </c>
      <c r="AO404" s="21" t="str">
        <f>_xlfn.XLOOKUP(A:A,[1]TAGS!$A:$A,[1]TAGS!$BG:$BG)</f>
        <v>Montado</v>
      </c>
      <c r="AP404" s="21"/>
      <c r="AQ404" s="21"/>
      <c r="AR404" s="21"/>
      <c r="AS404" s="21"/>
      <c r="AT404" s="21"/>
      <c r="AU404" s="21"/>
    </row>
    <row r="405" spans="1:47" x14ac:dyDescent="0.35">
      <c r="A405" s="19" t="s">
        <v>1474</v>
      </c>
      <c r="B405" s="19" t="s">
        <v>52</v>
      </c>
      <c r="C405" s="19"/>
      <c r="D405" s="19" t="s">
        <v>53</v>
      </c>
      <c r="E405" s="19" t="s">
        <v>54</v>
      </c>
      <c r="F405" s="20" t="s">
        <v>263</v>
      </c>
      <c r="G405" s="20" t="s">
        <v>264</v>
      </c>
      <c r="H405" s="19" t="s">
        <v>1475</v>
      </c>
      <c r="I405" s="20" t="s">
        <v>58</v>
      </c>
      <c r="J405" s="20" t="s">
        <v>266</v>
      </c>
      <c r="K405" s="20" t="s">
        <v>1476</v>
      </c>
      <c r="L405" s="19" t="s">
        <v>61</v>
      </c>
      <c r="M405" s="19" t="s">
        <v>62</v>
      </c>
      <c r="N405" s="20" t="s">
        <v>63</v>
      </c>
      <c r="O405" s="19">
        <v>21</v>
      </c>
      <c r="P405" s="19">
        <v>3.73</v>
      </c>
      <c r="Q405" s="19">
        <v>1</v>
      </c>
      <c r="R405" s="20">
        <v>7</v>
      </c>
      <c r="S405" s="19">
        <v>6.6000000000000003E-2</v>
      </c>
      <c r="T405" s="19" t="s">
        <v>64</v>
      </c>
      <c r="U405" s="19" t="s">
        <v>65</v>
      </c>
      <c r="V405" s="19" t="s">
        <v>66</v>
      </c>
      <c r="W405" s="19" t="s">
        <v>67</v>
      </c>
      <c r="X405" s="19" t="s">
        <v>68</v>
      </c>
      <c r="Y405" s="21" t="s">
        <v>69</v>
      </c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2"/>
      <c r="AK405" s="22"/>
      <c r="AL405" s="22"/>
      <c r="AM405" s="21" t="s">
        <v>70</v>
      </c>
      <c r="AN405" s="21" t="s">
        <v>70</v>
      </c>
      <c r="AO405" s="21" t="str">
        <f>_xlfn.XLOOKUP(A:A,[1]TAGS!$A:$A,[1]TAGS!$BG:$BG)</f>
        <v>Montado</v>
      </c>
      <c r="AP405" s="21"/>
      <c r="AQ405" s="21"/>
      <c r="AR405" s="21"/>
      <c r="AS405" s="21"/>
      <c r="AT405" s="21"/>
      <c r="AU405" s="21"/>
    </row>
    <row r="406" spans="1:47" x14ac:dyDescent="0.35">
      <c r="A406" s="19" t="s">
        <v>1477</v>
      </c>
      <c r="B406" s="19" t="s">
        <v>52</v>
      </c>
      <c r="C406" s="19"/>
      <c r="D406" s="19" t="s">
        <v>53</v>
      </c>
      <c r="E406" s="19" t="s">
        <v>54</v>
      </c>
      <c r="F406" s="20" t="s">
        <v>218</v>
      </c>
      <c r="G406" s="20" t="s">
        <v>1478</v>
      </c>
      <c r="H406" s="19" t="s">
        <v>1479</v>
      </c>
      <c r="I406" s="20" t="s">
        <v>124</v>
      </c>
      <c r="J406" s="20" t="s">
        <v>1480</v>
      </c>
      <c r="K406" s="20" t="s">
        <v>1481</v>
      </c>
      <c r="L406" s="19" t="s">
        <v>61</v>
      </c>
      <c r="M406" s="19" t="s">
        <v>62</v>
      </c>
      <c r="N406" s="20" t="s">
        <v>63</v>
      </c>
      <c r="O406" s="19">
        <v>21</v>
      </c>
      <c r="P406" s="19">
        <v>3.73</v>
      </c>
      <c r="Q406" s="19">
        <v>1</v>
      </c>
      <c r="R406" s="20">
        <v>7</v>
      </c>
      <c r="S406" s="19">
        <v>6.6000000000000003E-2</v>
      </c>
      <c r="T406" s="19" t="s">
        <v>64</v>
      </c>
      <c r="U406" s="19" t="s">
        <v>65</v>
      </c>
      <c r="V406" s="19" t="s">
        <v>66</v>
      </c>
      <c r="W406" s="19" t="s">
        <v>67</v>
      </c>
      <c r="X406" s="19" t="s">
        <v>68</v>
      </c>
      <c r="Y406" s="21" t="s">
        <v>69</v>
      </c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2"/>
      <c r="AK406" s="22"/>
      <c r="AL406" s="22"/>
      <c r="AM406" s="21" t="s">
        <v>70</v>
      </c>
      <c r="AN406" s="21" t="s">
        <v>70</v>
      </c>
      <c r="AO406" s="21" t="str">
        <f>_xlfn.XLOOKUP(A:A,[1]TAGS!$A:$A,[1]TAGS!$BG:$BG)</f>
        <v>Em programação</v>
      </c>
      <c r="AP406" s="21"/>
      <c r="AQ406" s="21"/>
      <c r="AR406" s="21"/>
      <c r="AS406" s="21"/>
      <c r="AT406" s="21"/>
      <c r="AU406" s="21"/>
    </row>
    <row r="407" spans="1:47" x14ac:dyDescent="0.35">
      <c r="A407" s="19" t="s">
        <v>1482</v>
      </c>
      <c r="B407" s="19" t="s">
        <v>52</v>
      </c>
      <c r="C407" s="19"/>
      <c r="D407" s="19" t="s">
        <v>53</v>
      </c>
      <c r="E407" s="19" t="s">
        <v>54</v>
      </c>
      <c r="F407" s="20" t="s">
        <v>141</v>
      </c>
      <c r="G407" s="20" t="s">
        <v>142</v>
      </c>
      <c r="H407" s="19" t="s">
        <v>1483</v>
      </c>
      <c r="I407" s="20" t="s">
        <v>58</v>
      </c>
      <c r="J407" s="20" t="s">
        <v>144</v>
      </c>
      <c r="K407" s="20" t="s">
        <v>1484</v>
      </c>
      <c r="L407" s="19" t="s">
        <v>61</v>
      </c>
      <c r="M407" s="19" t="s">
        <v>62</v>
      </c>
      <c r="N407" s="20" t="s">
        <v>63</v>
      </c>
      <c r="O407" s="19">
        <v>21</v>
      </c>
      <c r="P407" s="19">
        <v>3.73</v>
      </c>
      <c r="Q407" s="19">
        <v>1</v>
      </c>
      <c r="R407" s="20">
        <v>7</v>
      </c>
      <c r="S407" s="19">
        <v>6.6000000000000003E-2</v>
      </c>
      <c r="T407" s="19" t="s">
        <v>64</v>
      </c>
      <c r="U407" s="19" t="s">
        <v>65</v>
      </c>
      <c r="V407" s="19" t="s">
        <v>66</v>
      </c>
      <c r="W407" s="19" t="s">
        <v>67</v>
      </c>
      <c r="X407" s="19" t="s">
        <v>68</v>
      </c>
      <c r="Y407" s="21" t="s">
        <v>69</v>
      </c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2"/>
      <c r="AK407" s="22"/>
      <c r="AL407" s="22"/>
      <c r="AM407" s="21" t="s">
        <v>70</v>
      </c>
      <c r="AN407" s="21" t="s">
        <v>70</v>
      </c>
      <c r="AO407" s="21" t="str">
        <f>_xlfn.XLOOKUP(A:A,[1]TAGS!$A:$A,[1]TAGS!$BG:$BG)</f>
        <v>Não Montado</v>
      </c>
      <c r="AP407" s="21"/>
      <c r="AQ407" s="21"/>
      <c r="AR407" s="21"/>
      <c r="AS407" s="21"/>
      <c r="AT407" s="21"/>
      <c r="AU407" s="21"/>
    </row>
    <row r="408" spans="1:47" x14ac:dyDescent="0.35">
      <c r="A408" s="19" t="s">
        <v>1485</v>
      </c>
      <c r="B408" s="19" t="s">
        <v>52</v>
      </c>
      <c r="C408" s="19"/>
      <c r="D408" s="19" t="s">
        <v>53</v>
      </c>
      <c r="E408" s="19" t="s">
        <v>54</v>
      </c>
      <c r="F408" s="20" t="s">
        <v>300</v>
      </c>
      <c r="G408" s="20" t="s">
        <v>301</v>
      </c>
      <c r="H408" s="19" t="s">
        <v>1486</v>
      </c>
      <c r="I408" s="20" t="s">
        <v>58</v>
      </c>
      <c r="J408" s="20" t="s">
        <v>303</v>
      </c>
      <c r="K408" s="20" t="s">
        <v>1487</v>
      </c>
      <c r="L408" s="19" t="s">
        <v>61</v>
      </c>
      <c r="M408" s="19" t="s">
        <v>62</v>
      </c>
      <c r="N408" s="20" t="s">
        <v>63</v>
      </c>
      <c r="O408" s="19">
        <v>21</v>
      </c>
      <c r="P408" s="19">
        <v>3.73</v>
      </c>
      <c r="Q408" s="19">
        <v>1</v>
      </c>
      <c r="R408" s="20">
        <v>7</v>
      </c>
      <c r="S408" s="19">
        <v>6.6000000000000003E-2</v>
      </c>
      <c r="T408" s="19" t="s">
        <v>64</v>
      </c>
      <c r="U408" s="19" t="s">
        <v>65</v>
      </c>
      <c r="V408" s="19" t="s">
        <v>66</v>
      </c>
      <c r="W408" s="19" t="s">
        <v>67</v>
      </c>
      <c r="X408" s="19" t="s">
        <v>68</v>
      </c>
      <c r="Y408" s="21" t="s">
        <v>69</v>
      </c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2"/>
      <c r="AK408" s="22"/>
      <c r="AL408" s="22"/>
      <c r="AM408" s="21" t="s">
        <v>70</v>
      </c>
      <c r="AN408" s="21" t="s">
        <v>70</v>
      </c>
      <c r="AO408" s="21" t="str">
        <f>_xlfn.XLOOKUP(A:A,[1]TAGS!$A:$A,[1]TAGS!$BG:$BG)</f>
        <v>Não Montado</v>
      </c>
      <c r="AP408" s="21"/>
      <c r="AQ408" s="21"/>
      <c r="AR408" s="21"/>
      <c r="AS408" s="21"/>
      <c r="AT408" s="21"/>
      <c r="AU408" s="21"/>
    </row>
    <row r="409" spans="1:47" x14ac:dyDescent="0.35">
      <c r="A409" s="19" t="s">
        <v>1488</v>
      </c>
      <c r="B409" s="19" t="s">
        <v>52</v>
      </c>
      <c r="C409" s="19"/>
      <c r="D409" s="19" t="s">
        <v>53</v>
      </c>
      <c r="E409" s="19" t="s">
        <v>54</v>
      </c>
      <c r="F409" s="20" t="s">
        <v>300</v>
      </c>
      <c r="G409" s="20" t="s">
        <v>301</v>
      </c>
      <c r="H409" s="19" t="s">
        <v>1489</v>
      </c>
      <c r="I409" s="20" t="s">
        <v>58</v>
      </c>
      <c r="J409" s="20" t="s">
        <v>303</v>
      </c>
      <c r="K409" s="20" t="s">
        <v>1490</v>
      </c>
      <c r="L409" s="19" t="s">
        <v>61</v>
      </c>
      <c r="M409" s="19" t="s">
        <v>62</v>
      </c>
      <c r="N409" s="20" t="s">
        <v>63</v>
      </c>
      <c r="O409" s="19">
        <v>21</v>
      </c>
      <c r="P409" s="19">
        <v>3.73</v>
      </c>
      <c r="Q409" s="19">
        <v>1</v>
      </c>
      <c r="R409" s="20">
        <v>7</v>
      </c>
      <c r="S409" s="19">
        <v>6.6000000000000003E-2</v>
      </c>
      <c r="T409" s="19" t="s">
        <v>64</v>
      </c>
      <c r="U409" s="19" t="s">
        <v>65</v>
      </c>
      <c r="V409" s="19" t="s">
        <v>66</v>
      </c>
      <c r="W409" s="19" t="s">
        <v>67</v>
      </c>
      <c r="X409" s="19" t="s">
        <v>68</v>
      </c>
      <c r="Y409" s="21" t="s">
        <v>69</v>
      </c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2"/>
      <c r="AK409" s="22"/>
      <c r="AL409" s="22"/>
      <c r="AM409" s="21" t="s">
        <v>70</v>
      </c>
      <c r="AN409" s="21" t="s">
        <v>70</v>
      </c>
      <c r="AO409" s="21" t="str">
        <f>_xlfn.XLOOKUP(A:A,[1]TAGS!$A:$A,[1]TAGS!$BG:$BG)</f>
        <v>Não Montado</v>
      </c>
      <c r="AP409" s="21"/>
      <c r="AQ409" s="21"/>
      <c r="AR409" s="21"/>
      <c r="AS409" s="21"/>
      <c r="AT409" s="21"/>
      <c r="AU409" s="21"/>
    </row>
    <row r="410" spans="1:47" x14ac:dyDescent="0.35">
      <c r="A410" s="19" t="s">
        <v>1491</v>
      </c>
      <c r="B410" s="19" t="s">
        <v>52</v>
      </c>
      <c r="C410" s="19"/>
      <c r="D410" s="19" t="s">
        <v>53</v>
      </c>
      <c r="E410" s="19" t="s">
        <v>54</v>
      </c>
      <c r="F410" s="20" t="s">
        <v>300</v>
      </c>
      <c r="G410" s="20" t="s">
        <v>301</v>
      </c>
      <c r="H410" s="19" t="s">
        <v>1492</v>
      </c>
      <c r="I410" s="20" t="s">
        <v>58</v>
      </c>
      <c r="J410" s="20" t="s">
        <v>303</v>
      </c>
      <c r="K410" s="20" t="s">
        <v>1493</v>
      </c>
      <c r="L410" s="19" t="s">
        <v>61</v>
      </c>
      <c r="M410" s="19" t="s">
        <v>62</v>
      </c>
      <c r="N410" s="20" t="s">
        <v>63</v>
      </c>
      <c r="O410" s="19">
        <v>21</v>
      </c>
      <c r="P410" s="19">
        <v>3.73</v>
      </c>
      <c r="Q410" s="19">
        <v>1</v>
      </c>
      <c r="R410" s="20">
        <v>7</v>
      </c>
      <c r="S410" s="19">
        <v>6.6000000000000003E-2</v>
      </c>
      <c r="T410" s="19" t="s">
        <v>64</v>
      </c>
      <c r="U410" s="19" t="s">
        <v>65</v>
      </c>
      <c r="V410" s="19" t="s">
        <v>66</v>
      </c>
      <c r="W410" s="19" t="s">
        <v>67</v>
      </c>
      <c r="X410" s="19" t="s">
        <v>68</v>
      </c>
      <c r="Y410" s="21" t="s">
        <v>69</v>
      </c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2"/>
      <c r="AK410" s="22"/>
      <c r="AL410" s="22"/>
      <c r="AM410" s="21" t="s">
        <v>70</v>
      </c>
      <c r="AN410" s="21" t="s">
        <v>70</v>
      </c>
      <c r="AO410" s="21" t="str">
        <f>_xlfn.XLOOKUP(A:A,[1]TAGS!$A:$A,[1]TAGS!$BG:$BG)</f>
        <v>Não Montado</v>
      </c>
      <c r="AP410" s="21"/>
      <c r="AQ410" s="21"/>
      <c r="AR410" s="21"/>
      <c r="AS410" s="21"/>
      <c r="AT410" s="21"/>
      <c r="AU410" s="21"/>
    </row>
    <row r="411" spans="1:47" x14ac:dyDescent="0.35">
      <c r="A411" s="19" t="s">
        <v>1494</v>
      </c>
      <c r="B411" s="19" t="s">
        <v>52</v>
      </c>
      <c r="C411" s="19"/>
      <c r="D411" s="19" t="s">
        <v>53</v>
      </c>
      <c r="E411" s="19" t="s">
        <v>54</v>
      </c>
      <c r="F411" s="20" t="s">
        <v>141</v>
      </c>
      <c r="G411" s="20" t="s">
        <v>142</v>
      </c>
      <c r="H411" s="19" t="s">
        <v>1495</v>
      </c>
      <c r="I411" s="20" t="s">
        <v>58</v>
      </c>
      <c r="J411" s="20" t="s">
        <v>144</v>
      </c>
      <c r="K411" s="20" t="s">
        <v>1496</v>
      </c>
      <c r="L411" s="19" t="s">
        <v>61</v>
      </c>
      <c r="M411" s="19" t="s">
        <v>62</v>
      </c>
      <c r="N411" s="20" t="s">
        <v>63</v>
      </c>
      <c r="O411" s="19">
        <v>21</v>
      </c>
      <c r="P411" s="19">
        <v>3.73</v>
      </c>
      <c r="Q411" s="19">
        <v>1</v>
      </c>
      <c r="R411" s="20">
        <v>7</v>
      </c>
      <c r="S411" s="19">
        <v>6.6000000000000003E-2</v>
      </c>
      <c r="T411" s="19" t="s">
        <v>64</v>
      </c>
      <c r="U411" s="19" t="s">
        <v>65</v>
      </c>
      <c r="V411" s="19" t="s">
        <v>66</v>
      </c>
      <c r="W411" s="19" t="s">
        <v>67</v>
      </c>
      <c r="X411" s="19" t="s">
        <v>68</v>
      </c>
      <c r="Y411" s="21" t="s">
        <v>69</v>
      </c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2"/>
      <c r="AK411" s="22"/>
      <c r="AL411" s="22"/>
      <c r="AM411" s="21" t="s">
        <v>70</v>
      </c>
      <c r="AN411" s="21" t="s">
        <v>70</v>
      </c>
      <c r="AO411" s="21" t="str">
        <f>_xlfn.XLOOKUP(A:A,[1]TAGS!$A:$A,[1]TAGS!$BG:$BG)</f>
        <v>Não Montado</v>
      </c>
      <c r="AP411" s="21"/>
      <c r="AQ411" s="21"/>
      <c r="AR411" s="21"/>
      <c r="AS411" s="21"/>
      <c r="AT411" s="21"/>
      <c r="AU411" s="21"/>
    </row>
    <row r="412" spans="1:47" x14ac:dyDescent="0.35">
      <c r="A412" s="19" t="s">
        <v>1497</v>
      </c>
      <c r="B412" s="19" t="s">
        <v>52</v>
      </c>
      <c r="C412" s="19"/>
      <c r="D412" s="19" t="s">
        <v>53</v>
      </c>
      <c r="E412" s="19" t="s">
        <v>54</v>
      </c>
      <c r="F412" s="20" t="s">
        <v>141</v>
      </c>
      <c r="G412" s="20" t="s">
        <v>142</v>
      </c>
      <c r="H412" s="19" t="s">
        <v>1498</v>
      </c>
      <c r="I412" s="20" t="s">
        <v>58</v>
      </c>
      <c r="J412" s="20" t="s">
        <v>144</v>
      </c>
      <c r="K412" s="20" t="s">
        <v>1499</v>
      </c>
      <c r="L412" s="19" t="s">
        <v>61</v>
      </c>
      <c r="M412" s="19" t="s">
        <v>62</v>
      </c>
      <c r="N412" s="20" t="s">
        <v>63</v>
      </c>
      <c r="O412" s="19">
        <v>21</v>
      </c>
      <c r="P412" s="19">
        <v>3.73</v>
      </c>
      <c r="Q412" s="19">
        <v>1</v>
      </c>
      <c r="R412" s="20">
        <v>7</v>
      </c>
      <c r="S412" s="19">
        <v>6.6000000000000003E-2</v>
      </c>
      <c r="T412" s="19" t="s">
        <v>64</v>
      </c>
      <c r="U412" s="19" t="s">
        <v>65</v>
      </c>
      <c r="V412" s="19" t="s">
        <v>66</v>
      </c>
      <c r="W412" s="19" t="s">
        <v>67</v>
      </c>
      <c r="X412" s="19" t="s">
        <v>68</v>
      </c>
      <c r="Y412" s="21" t="s">
        <v>69</v>
      </c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2"/>
      <c r="AK412" s="22"/>
      <c r="AL412" s="22"/>
      <c r="AM412" s="21" t="s">
        <v>70</v>
      </c>
      <c r="AN412" s="21" t="s">
        <v>70</v>
      </c>
      <c r="AO412" s="21" t="str">
        <f>_xlfn.XLOOKUP(A:A,[1]TAGS!$A:$A,[1]TAGS!$BG:$BG)</f>
        <v>Não Montado</v>
      </c>
      <c r="AP412" s="21"/>
      <c r="AQ412" s="21"/>
      <c r="AR412" s="21"/>
      <c r="AS412" s="21"/>
      <c r="AT412" s="21"/>
      <c r="AU412" s="21"/>
    </row>
    <row r="413" spans="1:47" x14ac:dyDescent="0.35">
      <c r="A413" s="19" t="s">
        <v>1500</v>
      </c>
      <c r="B413" s="19" t="s">
        <v>52</v>
      </c>
      <c r="C413" s="19"/>
      <c r="D413" s="19" t="s">
        <v>53</v>
      </c>
      <c r="E413" s="19" t="s">
        <v>54</v>
      </c>
      <c r="F413" s="20" t="s">
        <v>798</v>
      </c>
      <c r="G413" s="20" t="s">
        <v>799</v>
      </c>
      <c r="H413" s="19" t="s">
        <v>1501</v>
      </c>
      <c r="I413" s="20" t="s">
        <v>58</v>
      </c>
      <c r="J413" s="20" t="s">
        <v>801</v>
      </c>
      <c r="K413" s="20" t="s">
        <v>1502</v>
      </c>
      <c r="L413" s="19" t="s">
        <v>61</v>
      </c>
      <c r="M413" s="19" t="s">
        <v>62</v>
      </c>
      <c r="N413" s="20" t="s">
        <v>63</v>
      </c>
      <c r="O413" s="19">
        <v>21</v>
      </c>
      <c r="P413" s="19">
        <v>3.73</v>
      </c>
      <c r="Q413" s="19">
        <v>1</v>
      </c>
      <c r="R413" s="20">
        <v>7</v>
      </c>
      <c r="S413" s="19">
        <v>6.6000000000000003E-2</v>
      </c>
      <c r="T413" s="19" t="s">
        <v>64</v>
      </c>
      <c r="U413" s="19" t="s">
        <v>65</v>
      </c>
      <c r="V413" s="19" t="s">
        <v>66</v>
      </c>
      <c r="W413" s="19" t="s">
        <v>67</v>
      </c>
      <c r="X413" s="19" t="s">
        <v>68</v>
      </c>
      <c r="Y413" s="21" t="s">
        <v>69</v>
      </c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2"/>
      <c r="AK413" s="22"/>
      <c r="AL413" s="22"/>
      <c r="AM413" s="21" t="s">
        <v>70</v>
      </c>
      <c r="AN413" s="21" t="s">
        <v>70</v>
      </c>
      <c r="AO413" s="21" t="str">
        <f>_xlfn.XLOOKUP(A:A,[1]TAGS!$A:$A,[1]TAGS!$BG:$BG)</f>
        <v>Montado</v>
      </c>
      <c r="AP413" s="21"/>
      <c r="AQ413" s="21"/>
      <c r="AR413" s="21"/>
      <c r="AS413" s="21"/>
      <c r="AT413" s="21"/>
      <c r="AU413" s="21"/>
    </row>
    <row r="414" spans="1:47" x14ac:dyDescent="0.35">
      <c r="A414" s="19" t="s">
        <v>1503</v>
      </c>
      <c r="B414" s="19" t="s">
        <v>52</v>
      </c>
      <c r="C414" s="19"/>
      <c r="D414" s="19" t="s">
        <v>53</v>
      </c>
      <c r="E414" s="19" t="s">
        <v>54</v>
      </c>
      <c r="F414" s="20" t="s">
        <v>798</v>
      </c>
      <c r="G414" s="20" t="s">
        <v>799</v>
      </c>
      <c r="H414" s="19" t="s">
        <v>1504</v>
      </c>
      <c r="I414" s="20" t="s">
        <v>58</v>
      </c>
      <c r="J414" s="20" t="s">
        <v>801</v>
      </c>
      <c r="K414" s="20" t="s">
        <v>1505</v>
      </c>
      <c r="L414" s="19" t="s">
        <v>61</v>
      </c>
      <c r="M414" s="19" t="s">
        <v>62</v>
      </c>
      <c r="N414" s="20" t="s">
        <v>63</v>
      </c>
      <c r="O414" s="19">
        <v>21</v>
      </c>
      <c r="P414" s="19">
        <v>3.73</v>
      </c>
      <c r="Q414" s="19">
        <v>1</v>
      </c>
      <c r="R414" s="20">
        <v>7</v>
      </c>
      <c r="S414" s="19">
        <v>6.6000000000000003E-2</v>
      </c>
      <c r="T414" s="19" t="s">
        <v>64</v>
      </c>
      <c r="U414" s="19" t="s">
        <v>65</v>
      </c>
      <c r="V414" s="19" t="s">
        <v>66</v>
      </c>
      <c r="W414" s="19" t="s">
        <v>67</v>
      </c>
      <c r="X414" s="19" t="s">
        <v>68</v>
      </c>
      <c r="Y414" s="21" t="s">
        <v>69</v>
      </c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2"/>
      <c r="AK414" s="22"/>
      <c r="AL414" s="22"/>
      <c r="AM414" s="21" t="s">
        <v>70</v>
      </c>
      <c r="AN414" s="21" t="s">
        <v>70</v>
      </c>
      <c r="AO414" s="21" t="str">
        <f>_xlfn.XLOOKUP(A:A,[1]TAGS!$A:$A,[1]TAGS!$BG:$BG)</f>
        <v>Montado</v>
      </c>
      <c r="AP414" s="21"/>
      <c r="AQ414" s="21"/>
      <c r="AR414" s="21"/>
      <c r="AS414" s="21"/>
      <c r="AT414" s="21"/>
      <c r="AU414" s="21"/>
    </row>
    <row r="415" spans="1:47" x14ac:dyDescent="0.35">
      <c r="A415" s="19" t="s">
        <v>1506</v>
      </c>
      <c r="B415" s="19" t="s">
        <v>52</v>
      </c>
      <c r="C415" s="19"/>
      <c r="D415" s="19" t="s">
        <v>53</v>
      </c>
      <c r="E415" s="19" t="s">
        <v>54</v>
      </c>
      <c r="F415" s="20" t="s">
        <v>1507</v>
      </c>
      <c r="G415" s="20" t="s">
        <v>1508</v>
      </c>
      <c r="H415" s="19" t="s">
        <v>1509</v>
      </c>
      <c r="I415" s="20" t="s">
        <v>124</v>
      </c>
      <c r="J415" s="20" t="s">
        <v>1510</v>
      </c>
      <c r="K415" s="20" t="s">
        <v>1511</v>
      </c>
      <c r="L415" s="19" t="s">
        <v>61</v>
      </c>
      <c r="M415" s="19" t="s">
        <v>62</v>
      </c>
      <c r="N415" s="20" t="s">
        <v>63</v>
      </c>
      <c r="O415" s="19">
        <v>21</v>
      </c>
      <c r="P415" s="19">
        <v>3.73</v>
      </c>
      <c r="Q415" s="19">
        <v>1</v>
      </c>
      <c r="R415" s="20">
        <v>7</v>
      </c>
      <c r="S415" s="19">
        <v>6.6000000000000003E-2</v>
      </c>
      <c r="T415" s="19" t="s">
        <v>64</v>
      </c>
      <c r="U415" s="19" t="s">
        <v>65</v>
      </c>
      <c r="V415" s="19" t="s">
        <v>66</v>
      </c>
      <c r="W415" s="19" t="s">
        <v>67</v>
      </c>
      <c r="X415" s="19" t="s">
        <v>68</v>
      </c>
      <c r="Y415" s="21" t="s">
        <v>69</v>
      </c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2"/>
      <c r="AK415" s="22"/>
      <c r="AL415" s="22"/>
      <c r="AM415" s="21" t="s">
        <v>70</v>
      </c>
      <c r="AN415" s="21" t="s">
        <v>70</v>
      </c>
      <c r="AO415" s="21" t="str">
        <f>_xlfn.XLOOKUP(A:A,[1]TAGS!$A:$A,[1]TAGS!$BG:$BG)</f>
        <v>Montado</v>
      </c>
      <c r="AP415" s="21"/>
      <c r="AQ415" s="21"/>
      <c r="AR415" s="21"/>
      <c r="AS415" s="21"/>
      <c r="AT415" s="21"/>
      <c r="AU415" s="21"/>
    </row>
    <row r="416" spans="1:47" x14ac:dyDescent="0.35">
      <c r="A416" s="19" t="s">
        <v>1512</v>
      </c>
      <c r="B416" s="19" t="s">
        <v>52</v>
      </c>
      <c r="C416" s="19"/>
      <c r="D416" s="19" t="s">
        <v>53</v>
      </c>
      <c r="E416" s="19" t="s">
        <v>54</v>
      </c>
      <c r="F416" s="20" t="s">
        <v>248</v>
      </c>
      <c r="G416" s="20" t="s">
        <v>249</v>
      </c>
      <c r="H416" s="19" t="s">
        <v>1513</v>
      </c>
      <c r="I416" s="20" t="s">
        <v>58</v>
      </c>
      <c r="J416" s="20" t="s">
        <v>251</v>
      </c>
      <c r="K416" s="20" t="s">
        <v>1514</v>
      </c>
      <c r="L416" s="19" t="s">
        <v>61</v>
      </c>
      <c r="M416" s="19" t="s">
        <v>62</v>
      </c>
      <c r="N416" s="20" t="s">
        <v>63</v>
      </c>
      <c r="O416" s="19">
        <v>21</v>
      </c>
      <c r="P416" s="19">
        <v>3.73</v>
      </c>
      <c r="Q416" s="19">
        <v>1</v>
      </c>
      <c r="R416" s="20">
        <v>7</v>
      </c>
      <c r="S416" s="19">
        <v>6.6000000000000003E-2</v>
      </c>
      <c r="T416" s="19" t="s">
        <v>64</v>
      </c>
      <c r="U416" s="19" t="s">
        <v>65</v>
      </c>
      <c r="V416" s="19" t="s">
        <v>66</v>
      </c>
      <c r="W416" s="19" t="s">
        <v>67</v>
      </c>
      <c r="X416" s="19" t="s">
        <v>68</v>
      </c>
      <c r="Y416" s="21" t="s">
        <v>69</v>
      </c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2"/>
      <c r="AK416" s="22"/>
      <c r="AL416" s="22"/>
      <c r="AM416" s="21" t="s">
        <v>70</v>
      </c>
      <c r="AN416" s="21" t="s">
        <v>70</v>
      </c>
      <c r="AO416" s="21" t="str">
        <f>_xlfn.XLOOKUP(A:A,[1]TAGS!$A:$A,[1]TAGS!$BG:$BG)</f>
        <v>Montado</v>
      </c>
      <c r="AP416" s="21"/>
      <c r="AQ416" s="21"/>
      <c r="AR416" s="21"/>
      <c r="AS416" s="21"/>
      <c r="AT416" s="21"/>
      <c r="AU416" s="21"/>
    </row>
    <row r="417" spans="1:47" x14ac:dyDescent="0.35">
      <c r="A417" s="19" t="s">
        <v>1515</v>
      </c>
      <c r="B417" s="19" t="s">
        <v>52</v>
      </c>
      <c r="C417" s="19"/>
      <c r="D417" s="19" t="s">
        <v>53</v>
      </c>
      <c r="E417" s="19" t="s">
        <v>54</v>
      </c>
      <c r="F417" s="20" t="s">
        <v>248</v>
      </c>
      <c r="G417" s="20" t="s">
        <v>249</v>
      </c>
      <c r="H417" s="19" t="s">
        <v>1516</v>
      </c>
      <c r="I417" s="20" t="s">
        <v>58</v>
      </c>
      <c r="J417" s="20" t="s">
        <v>251</v>
      </c>
      <c r="K417" s="20" t="s">
        <v>1517</v>
      </c>
      <c r="L417" s="19" t="s">
        <v>61</v>
      </c>
      <c r="M417" s="19" t="s">
        <v>62</v>
      </c>
      <c r="N417" s="20" t="s">
        <v>63</v>
      </c>
      <c r="O417" s="19">
        <v>21</v>
      </c>
      <c r="P417" s="19">
        <v>3.73</v>
      </c>
      <c r="Q417" s="19">
        <v>1</v>
      </c>
      <c r="R417" s="20">
        <v>7</v>
      </c>
      <c r="S417" s="19">
        <v>6.6000000000000003E-2</v>
      </c>
      <c r="T417" s="19" t="s">
        <v>64</v>
      </c>
      <c r="U417" s="19" t="s">
        <v>65</v>
      </c>
      <c r="V417" s="19" t="s">
        <v>66</v>
      </c>
      <c r="W417" s="19" t="s">
        <v>67</v>
      </c>
      <c r="X417" s="19" t="s">
        <v>68</v>
      </c>
      <c r="Y417" s="21" t="s">
        <v>69</v>
      </c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2"/>
      <c r="AK417" s="22"/>
      <c r="AL417" s="22"/>
      <c r="AM417" s="21" t="s">
        <v>70</v>
      </c>
      <c r="AN417" s="21" t="s">
        <v>70</v>
      </c>
      <c r="AO417" s="21" t="str">
        <f>_xlfn.XLOOKUP(A:A,[1]TAGS!$A:$A,[1]TAGS!$BG:$BG)</f>
        <v>Montado</v>
      </c>
      <c r="AP417" s="21"/>
      <c r="AQ417" s="21"/>
      <c r="AR417" s="21"/>
      <c r="AS417" s="21"/>
      <c r="AT417" s="21"/>
      <c r="AU417" s="21"/>
    </row>
    <row r="418" spans="1:47" x14ac:dyDescent="0.35">
      <c r="A418" s="19" t="s">
        <v>1518</v>
      </c>
      <c r="B418" s="19" t="s">
        <v>52</v>
      </c>
      <c r="C418" s="19"/>
      <c r="D418" s="19" t="s">
        <v>53</v>
      </c>
      <c r="E418" s="19" t="s">
        <v>54</v>
      </c>
      <c r="F418" s="20" t="s">
        <v>269</v>
      </c>
      <c r="G418" s="20" t="s">
        <v>270</v>
      </c>
      <c r="H418" s="19" t="s">
        <v>1519</v>
      </c>
      <c r="I418" s="20" t="s">
        <v>58</v>
      </c>
      <c r="J418" s="20" t="s">
        <v>272</v>
      </c>
      <c r="K418" s="20" t="s">
        <v>1520</v>
      </c>
      <c r="L418" s="19" t="s">
        <v>61</v>
      </c>
      <c r="M418" s="19" t="s">
        <v>62</v>
      </c>
      <c r="N418" s="20" t="s">
        <v>63</v>
      </c>
      <c r="O418" s="19">
        <v>21</v>
      </c>
      <c r="P418" s="19">
        <v>3.73</v>
      </c>
      <c r="Q418" s="19">
        <v>1</v>
      </c>
      <c r="R418" s="20">
        <v>7</v>
      </c>
      <c r="S418" s="19">
        <v>6.6000000000000003E-2</v>
      </c>
      <c r="T418" s="19" t="s">
        <v>64</v>
      </c>
      <c r="U418" s="19" t="s">
        <v>65</v>
      </c>
      <c r="V418" s="19" t="s">
        <v>66</v>
      </c>
      <c r="W418" s="19" t="s">
        <v>67</v>
      </c>
      <c r="X418" s="19" t="s">
        <v>68</v>
      </c>
      <c r="Y418" s="21" t="s">
        <v>69</v>
      </c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2"/>
      <c r="AK418" s="22"/>
      <c r="AL418" s="22"/>
      <c r="AM418" s="21" t="s">
        <v>70</v>
      </c>
      <c r="AN418" s="21" t="s">
        <v>70</v>
      </c>
      <c r="AO418" s="21" t="str">
        <f>_xlfn.XLOOKUP(A:A,[1]TAGS!$A:$A,[1]TAGS!$BG:$BG)</f>
        <v>Montado</v>
      </c>
      <c r="AP418" s="21"/>
      <c r="AQ418" s="21"/>
      <c r="AR418" s="21"/>
      <c r="AS418" s="21"/>
      <c r="AT418" s="21"/>
      <c r="AU418" s="21"/>
    </row>
    <row r="419" spans="1:47" x14ac:dyDescent="0.35">
      <c r="A419" s="19" t="s">
        <v>1521</v>
      </c>
      <c r="B419" s="19" t="s">
        <v>52</v>
      </c>
      <c r="C419" s="19"/>
      <c r="D419" s="19" t="s">
        <v>53</v>
      </c>
      <c r="E419" s="19" t="s">
        <v>54</v>
      </c>
      <c r="F419" s="20" t="s">
        <v>224</v>
      </c>
      <c r="G419" s="20" t="s">
        <v>225</v>
      </c>
      <c r="H419" s="19" t="s">
        <v>1522</v>
      </c>
      <c r="I419" s="20" t="s">
        <v>58</v>
      </c>
      <c r="J419" s="20" t="s">
        <v>227</v>
      </c>
      <c r="K419" s="20" t="s">
        <v>1523</v>
      </c>
      <c r="L419" s="19" t="s">
        <v>61</v>
      </c>
      <c r="M419" s="19" t="s">
        <v>62</v>
      </c>
      <c r="N419" s="20" t="s">
        <v>63</v>
      </c>
      <c r="O419" s="19">
        <v>21</v>
      </c>
      <c r="P419" s="19">
        <v>3.73</v>
      </c>
      <c r="Q419" s="19">
        <v>1</v>
      </c>
      <c r="R419" s="20">
        <v>7</v>
      </c>
      <c r="S419" s="19">
        <v>6.6000000000000003E-2</v>
      </c>
      <c r="T419" s="19" t="s">
        <v>64</v>
      </c>
      <c r="U419" s="19" t="s">
        <v>65</v>
      </c>
      <c r="V419" s="19" t="s">
        <v>66</v>
      </c>
      <c r="W419" s="19" t="s">
        <v>67</v>
      </c>
      <c r="X419" s="19" t="s">
        <v>68</v>
      </c>
      <c r="Y419" s="21" t="s">
        <v>69</v>
      </c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2"/>
      <c r="AK419" s="22"/>
      <c r="AL419" s="22"/>
      <c r="AM419" s="21" t="s">
        <v>70</v>
      </c>
      <c r="AN419" s="21" t="s">
        <v>70</v>
      </c>
      <c r="AO419" s="21" t="str">
        <f>_xlfn.XLOOKUP(A:A,[1]TAGS!$A:$A,[1]TAGS!$BG:$BG)</f>
        <v>Montado</v>
      </c>
      <c r="AP419" s="21"/>
      <c r="AQ419" s="21"/>
      <c r="AR419" s="21"/>
      <c r="AS419" s="21"/>
      <c r="AT419" s="21"/>
      <c r="AU419" s="21"/>
    </row>
    <row r="420" spans="1:47" x14ac:dyDescent="0.35">
      <c r="A420" s="19" t="s">
        <v>1524</v>
      </c>
      <c r="B420" s="19" t="s">
        <v>52</v>
      </c>
      <c r="C420" s="19"/>
      <c r="D420" s="19" t="s">
        <v>53</v>
      </c>
      <c r="E420" s="19" t="s">
        <v>54</v>
      </c>
      <c r="F420" s="20" t="s">
        <v>664</v>
      </c>
      <c r="G420" s="20" t="s">
        <v>665</v>
      </c>
      <c r="H420" s="19" t="s">
        <v>1525</v>
      </c>
      <c r="I420" s="20" t="s">
        <v>58</v>
      </c>
      <c r="J420" s="20" t="s">
        <v>667</v>
      </c>
      <c r="K420" s="20" t="s">
        <v>1526</v>
      </c>
      <c r="L420" s="19" t="s">
        <v>61</v>
      </c>
      <c r="M420" s="19" t="s">
        <v>62</v>
      </c>
      <c r="N420" s="20" t="s">
        <v>63</v>
      </c>
      <c r="O420" s="19">
        <v>21</v>
      </c>
      <c r="P420" s="19">
        <v>3.73</v>
      </c>
      <c r="Q420" s="19">
        <v>1</v>
      </c>
      <c r="R420" s="20">
        <v>7</v>
      </c>
      <c r="S420" s="19">
        <v>6.6000000000000003E-2</v>
      </c>
      <c r="T420" s="19" t="s">
        <v>64</v>
      </c>
      <c r="U420" s="19" t="s">
        <v>65</v>
      </c>
      <c r="V420" s="19" t="s">
        <v>66</v>
      </c>
      <c r="W420" s="19" t="s">
        <v>67</v>
      </c>
      <c r="X420" s="19" t="s">
        <v>68</v>
      </c>
      <c r="Y420" s="21" t="s">
        <v>69</v>
      </c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2"/>
      <c r="AK420" s="22"/>
      <c r="AL420" s="22"/>
      <c r="AM420" s="21" t="s">
        <v>70</v>
      </c>
      <c r="AN420" s="21" t="s">
        <v>70</v>
      </c>
      <c r="AO420" s="21" t="str">
        <f>_xlfn.XLOOKUP(A:A,[1]TAGS!$A:$A,[1]TAGS!$BG:$BG)</f>
        <v>Montado</v>
      </c>
      <c r="AP420" s="21"/>
      <c r="AQ420" s="21"/>
      <c r="AR420" s="21"/>
      <c r="AS420" s="21"/>
      <c r="AT420" s="21"/>
      <c r="AU420" s="21"/>
    </row>
    <row r="421" spans="1:47" x14ac:dyDescent="0.35">
      <c r="A421" s="19" t="s">
        <v>1527</v>
      </c>
      <c r="B421" s="19" t="s">
        <v>52</v>
      </c>
      <c r="C421" s="19"/>
      <c r="D421" s="19" t="s">
        <v>53</v>
      </c>
      <c r="E421" s="19" t="s">
        <v>54</v>
      </c>
      <c r="F421" s="20" t="s">
        <v>664</v>
      </c>
      <c r="G421" s="20" t="s">
        <v>665</v>
      </c>
      <c r="H421" s="19" t="s">
        <v>1528</v>
      </c>
      <c r="I421" s="20" t="s">
        <v>58</v>
      </c>
      <c r="J421" s="20" t="s">
        <v>667</v>
      </c>
      <c r="K421" s="20" t="s">
        <v>1529</v>
      </c>
      <c r="L421" s="19" t="s">
        <v>61</v>
      </c>
      <c r="M421" s="19" t="s">
        <v>62</v>
      </c>
      <c r="N421" s="20" t="s">
        <v>63</v>
      </c>
      <c r="O421" s="19">
        <v>21</v>
      </c>
      <c r="P421" s="19">
        <v>3.73</v>
      </c>
      <c r="Q421" s="19">
        <v>1</v>
      </c>
      <c r="R421" s="20">
        <v>7</v>
      </c>
      <c r="S421" s="19">
        <v>6.6000000000000003E-2</v>
      </c>
      <c r="T421" s="19" t="s">
        <v>64</v>
      </c>
      <c r="U421" s="19" t="s">
        <v>65</v>
      </c>
      <c r="V421" s="19" t="s">
        <v>66</v>
      </c>
      <c r="W421" s="19" t="s">
        <v>67</v>
      </c>
      <c r="X421" s="19" t="s">
        <v>68</v>
      </c>
      <c r="Y421" s="21" t="s">
        <v>69</v>
      </c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2"/>
      <c r="AK421" s="22"/>
      <c r="AL421" s="22"/>
      <c r="AM421" s="21" t="s">
        <v>70</v>
      </c>
      <c r="AN421" s="21" t="s">
        <v>70</v>
      </c>
      <c r="AO421" s="21" t="str">
        <f>_xlfn.XLOOKUP(A:A,[1]TAGS!$A:$A,[1]TAGS!$BG:$BG)</f>
        <v>Montado</v>
      </c>
      <c r="AP421" s="21"/>
      <c r="AQ421" s="21"/>
      <c r="AR421" s="21"/>
      <c r="AS421" s="21"/>
      <c r="AT421" s="21"/>
      <c r="AU421" s="21"/>
    </row>
    <row r="422" spans="1:47" x14ac:dyDescent="0.35">
      <c r="A422" s="19" t="s">
        <v>1530</v>
      </c>
      <c r="B422" s="19" t="s">
        <v>52</v>
      </c>
      <c r="C422" s="19"/>
      <c r="D422" s="19" t="s">
        <v>53</v>
      </c>
      <c r="E422" s="19" t="s">
        <v>54</v>
      </c>
      <c r="F422" s="20" t="s">
        <v>664</v>
      </c>
      <c r="G422" s="20" t="s">
        <v>665</v>
      </c>
      <c r="H422" s="19" t="s">
        <v>1531</v>
      </c>
      <c r="I422" s="20" t="s">
        <v>58</v>
      </c>
      <c r="J422" s="20" t="s">
        <v>667</v>
      </c>
      <c r="K422" s="20" t="s">
        <v>1532</v>
      </c>
      <c r="L422" s="19" t="s">
        <v>61</v>
      </c>
      <c r="M422" s="19" t="s">
        <v>62</v>
      </c>
      <c r="N422" s="20" t="s">
        <v>63</v>
      </c>
      <c r="O422" s="19">
        <v>21</v>
      </c>
      <c r="P422" s="19">
        <v>3.73</v>
      </c>
      <c r="Q422" s="19">
        <v>1</v>
      </c>
      <c r="R422" s="20">
        <v>7</v>
      </c>
      <c r="S422" s="19">
        <v>6.6000000000000003E-2</v>
      </c>
      <c r="T422" s="19" t="s">
        <v>64</v>
      </c>
      <c r="U422" s="19" t="s">
        <v>65</v>
      </c>
      <c r="V422" s="19" t="s">
        <v>66</v>
      </c>
      <c r="W422" s="19" t="s">
        <v>67</v>
      </c>
      <c r="X422" s="19" t="s">
        <v>68</v>
      </c>
      <c r="Y422" s="21" t="s">
        <v>69</v>
      </c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2"/>
      <c r="AK422" s="22"/>
      <c r="AL422" s="22"/>
      <c r="AM422" s="21" t="s">
        <v>70</v>
      </c>
      <c r="AN422" s="21" t="s">
        <v>70</v>
      </c>
      <c r="AO422" s="21" t="str">
        <f>_xlfn.XLOOKUP(A:A,[1]TAGS!$A:$A,[1]TAGS!$BG:$BG)</f>
        <v>Montado</v>
      </c>
      <c r="AP422" s="21"/>
      <c r="AQ422" s="21"/>
      <c r="AR422" s="21"/>
      <c r="AS422" s="21"/>
      <c r="AT422" s="21"/>
      <c r="AU422" s="21"/>
    </row>
    <row r="423" spans="1:47" x14ac:dyDescent="0.35">
      <c r="A423" s="19" t="s">
        <v>1533</v>
      </c>
      <c r="B423" s="19" t="s">
        <v>52</v>
      </c>
      <c r="C423" s="19"/>
      <c r="D423" s="19" t="s">
        <v>53</v>
      </c>
      <c r="E423" s="19" t="s">
        <v>54</v>
      </c>
      <c r="F423" s="20" t="s">
        <v>312</v>
      </c>
      <c r="G423" s="20" t="s">
        <v>313</v>
      </c>
      <c r="H423" s="19" t="s">
        <v>1534</v>
      </c>
      <c r="I423" s="20" t="s">
        <v>58</v>
      </c>
      <c r="J423" s="20" t="s">
        <v>315</v>
      </c>
      <c r="K423" s="20" t="s">
        <v>1535</v>
      </c>
      <c r="L423" s="19" t="s">
        <v>61</v>
      </c>
      <c r="M423" s="19" t="s">
        <v>62</v>
      </c>
      <c r="N423" s="20" t="s">
        <v>63</v>
      </c>
      <c r="O423" s="19">
        <v>21</v>
      </c>
      <c r="P423" s="19">
        <v>3.73</v>
      </c>
      <c r="Q423" s="19">
        <v>1</v>
      </c>
      <c r="R423" s="20">
        <v>7</v>
      </c>
      <c r="S423" s="19">
        <v>6.6000000000000003E-2</v>
      </c>
      <c r="T423" s="19" t="s">
        <v>64</v>
      </c>
      <c r="U423" s="19" t="s">
        <v>65</v>
      </c>
      <c r="V423" s="19" t="s">
        <v>66</v>
      </c>
      <c r="W423" s="19" t="s">
        <v>67</v>
      </c>
      <c r="X423" s="19" t="s">
        <v>68</v>
      </c>
      <c r="Y423" s="21" t="s">
        <v>69</v>
      </c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2"/>
      <c r="AK423" s="22"/>
      <c r="AL423" s="22"/>
      <c r="AM423" s="21" t="s">
        <v>70</v>
      </c>
      <c r="AN423" s="21" t="s">
        <v>70</v>
      </c>
      <c r="AO423" s="21" t="str">
        <f>_xlfn.XLOOKUP(A:A,[1]TAGS!$A:$A,[1]TAGS!$BG:$BG)</f>
        <v>Montado</v>
      </c>
      <c r="AP423" s="21"/>
      <c r="AQ423" s="21"/>
      <c r="AR423" s="21"/>
      <c r="AS423" s="21"/>
      <c r="AT423" s="21"/>
      <c r="AU423" s="21"/>
    </row>
    <row r="424" spans="1:47" x14ac:dyDescent="0.35">
      <c r="A424" s="19" t="s">
        <v>1536</v>
      </c>
      <c r="B424" s="19" t="s">
        <v>52</v>
      </c>
      <c r="C424" s="19"/>
      <c r="D424" s="19" t="s">
        <v>53</v>
      </c>
      <c r="E424" s="19" t="s">
        <v>54</v>
      </c>
      <c r="F424" s="20" t="s">
        <v>664</v>
      </c>
      <c r="G424" s="20" t="s">
        <v>665</v>
      </c>
      <c r="H424" s="19" t="s">
        <v>1537</v>
      </c>
      <c r="I424" s="20" t="s">
        <v>58</v>
      </c>
      <c r="J424" s="20" t="s">
        <v>667</v>
      </c>
      <c r="K424" s="20" t="s">
        <v>1538</v>
      </c>
      <c r="L424" s="19" t="s">
        <v>61</v>
      </c>
      <c r="M424" s="19" t="s">
        <v>62</v>
      </c>
      <c r="N424" s="20" t="s">
        <v>63</v>
      </c>
      <c r="O424" s="19">
        <v>21</v>
      </c>
      <c r="P424" s="19">
        <v>3.73</v>
      </c>
      <c r="Q424" s="19">
        <v>1</v>
      </c>
      <c r="R424" s="20">
        <v>7</v>
      </c>
      <c r="S424" s="19">
        <v>6.6000000000000003E-2</v>
      </c>
      <c r="T424" s="19" t="s">
        <v>64</v>
      </c>
      <c r="U424" s="19" t="s">
        <v>65</v>
      </c>
      <c r="V424" s="19" t="s">
        <v>66</v>
      </c>
      <c r="W424" s="19" t="s">
        <v>67</v>
      </c>
      <c r="X424" s="19" t="s">
        <v>68</v>
      </c>
      <c r="Y424" s="21" t="s">
        <v>69</v>
      </c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2"/>
      <c r="AK424" s="22"/>
      <c r="AL424" s="22"/>
      <c r="AM424" s="21" t="s">
        <v>70</v>
      </c>
      <c r="AN424" s="21" t="s">
        <v>70</v>
      </c>
      <c r="AO424" s="21" t="str">
        <f>_xlfn.XLOOKUP(A:A,[1]TAGS!$A:$A,[1]TAGS!$BG:$BG)</f>
        <v>Em programação</v>
      </c>
      <c r="AP424" s="21"/>
      <c r="AQ424" s="21"/>
      <c r="AR424" s="21"/>
      <c r="AS424" s="21"/>
      <c r="AT424" s="21"/>
      <c r="AU424" s="21"/>
    </row>
    <row r="425" spans="1:47" x14ac:dyDescent="0.35">
      <c r="A425" s="19" t="s">
        <v>1539</v>
      </c>
      <c r="B425" s="19" t="s">
        <v>52</v>
      </c>
      <c r="C425" s="19"/>
      <c r="D425" s="19" t="s">
        <v>53</v>
      </c>
      <c r="E425" s="19" t="s">
        <v>54</v>
      </c>
      <c r="F425" s="20" t="s">
        <v>664</v>
      </c>
      <c r="G425" s="20" t="s">
        <v>665</v>
      </c>
      <c r="H425" s="19" t="s">
        <v>1540</v>
      </c>
      <c r="I425" s="20" t="s">
        <v>58</v>
      </c>
      <c r="J425" s="20" t="s">
        <v>667</v>
      </c>
      <c r="K425" s="20" t="s">
        <v>1541</v>
      </c>
      <c r="L425" s="19" t="s">
        <v>61</v>
      </c>
      <c r="M425" s="19" t="s">
        <v>62</v>
      </c>
      <c r="N425" s="20" t="s">
        <v>63</v>
      </c>
      <c r="O425" s="19">
        <v>21</v>
      </c>
      <c r="P425" s="19">
        <v>3.73</v>
      </c>
      <c r="Q425" s="19">
        <v>1</v>
      </c>
      <c r="R425" s="20">
        <v>7</v>
      </c>
      <c r="S425" s="19">
        <v>6.6000000000000003E-2</v>
      </c>
      <c r="T425" s="19" t="s">
        <v>64</v>
      </c>
      <c r="U425" s="19" t="s">
        <v>65</v>
      </c>
      <c r="V425" s="19" t="s">
        <v>66</v>
      </c>
      <c r="W425" s="19" t="s">
        <v>67</v>
      </c>
      <c r="X425" s="19" t="s">
        <v>68</v>
      </c>
      <c r="Y425" s="21" t="s">
        <v>69</v>
      </c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2"/>
      <c r="AK425" s="22"/>
      <c r="AL425" s="22"/>
      <c r="AM425" s="21" t="s">
        <v>70</v>
      </c>
      <c r="AN425" s="21" t="s">
        <v>70</v>
      </c>
      <c r="AO425" s="21" t="str">
        <f>_xlfn.XLOOKUP(A:A,[1]TAGS!$A:$A,[1]TAGS!$BG:$BG)</f>
        <v>Em programação</v>
      </c>
      <c r="AP425" s="21"/>
      <c r="AQ425" s="21"/>
      <c r="AR425" s="21"/>
      <c r="AS425" s="21"/>
      <c r="AT425" s="21"/>
      <c r="AU425" s="21"/>
    </row>
    <row r="426" spans="1:47" x14ac:dyDescent="0.35">
      <c r="A426" s="19" t="s">
        <v>1542</v>
      </c>
      <c r="B426" s="19" t="s">
        <v>52</v>
      </c>
      <c r="C426" s="19"/>
      <c r="D426" s="19" t="s">
        <v>53</v>
      </c>
      <c r="E426" s="19" t="s">
        <v>54</v>
      </c>
      <c r="F426" s="20" t="s">
        <v>141</v>
      </c>
      <c r="G426" s="20" t="s">
        <v>142</v>
      </c>
      <c r="H426" s="19" t="s">
        <v>1543</v>
      </c>
      <c r="I426" s="20" t="s">
        <v>58</v>
      </c>
      <c r="J426" s="20" t="s">
        <v>144</v>
      </c>
      <c r="K426" s="20" t="s">
        <v>1544</v>
      </c>
      <c r="L426" s="19" t="s">
        <v>61</v>
      </c>
      <c r="M426" s="19" t="s">
        <v>62</v>
      </c>
      <c r="N426" s="20" t="s">
        <v>63</v>
      </c>
      <c r="O426" s="19">
        <v>21</v>
      </c>
      <c r="P426" s="19">
        <v>3.73</v>
      </c>
      <c r="Q426" s="19">
        <v>1</v>
      </c>
      <c r="R426" s="20">
        <v>7</v>
      </c>
      <c r="S426" s="19">
        <v>6.6000000000000003E-2</v>
      </c>
      <c r="T426" s="19" t="s">
        <v>64</v>
      </c>
      <c r="U426" s="19" t="s">
        <v>65</v>
      </c>
      <c r="V426" s="19" t="s">
        <v>66</v>
      </c>
      <c r="W426" s="19" t="s">
        <v>67</v>
      </c>
      <c r="X426" s="19" t="s">
        <v>68</v>
      </c>
      <c r="Y426" s="21" t="s">
        <v>69</v>
      </c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2"/>
      <c r="AK426" s="22"/>
      <c r="AL426" s="22"/>
      <c r="AM426" s="21" t="s">
        <v>70</v>
      </c>
      <c r="AN426" s="21" t="s">
        <v>70</v>
      </c>
      <c r="AO426" s="21" t="str">
        <f>_xlfn.XLOOKUP(A:A,[1]TAGS!$A:$A,[1]TAGS!$BG:$BG)</f>
        <v>Montado</v>
      </c>
      <c r="AP426" s="21"/>
      <c r="AQ426" s="21"/>
      <c r="AR426" s="21"/>
      <c r="AS426" s="21"/>
      <c r="AT426" s="21"/>
      <c r="AU426" s="21"/>
    </row>
    <row r="427" spans="1:47" x14ac:dyDescent="0.35">
      <c r="A427" s="19" t="s">
        <v>1545</v>
      </c>
      <c r="B427" s="19" t="s">
        <v>52</v>
      </c>
      <c r="C427" s="19"/>
      <c r="D427" s="19" t="s">
        <v>53</v>
      </c>
      <c r="E427" s="19" t="s">
        <v>54</v>
      </c>
      <c r="F427" s="20" t="s">
        <v>141</v>
      </c>
      <c r="G427" s="20" t="s">
        <v>142</v>
      </c>
      <c r="H427" s="19" t="s">
        <v>1546</v>
      </c>
      <c r="I427" s="20" t="s">
        <v>58</v>
      </c>
      <c r="J427" s="20" t="s">
        <v>144</v>
      </c>
      <c r="K427" s="20" t="s">
        <v>1547</v>
      </c>
      <c r="L427" s="19" t="s">
        <v>61</v>
      </c>
      <c r="M427" s="19" t="s">
        <v>62</v>
      </c>
      <c r="N427" s="20" t="s">
        <v>63</v>
      </c>
      <c r="O427" s="19">
        <v>21</v>
      </c>
      <c r="P427" s="19">
        <v>3.73</v>
      </c>
      <c r="Q427" s="19">
        <v>1</v>
      </c>
      <c r="R427" s="20">
        <v>7</v>
      </c>
      <c r="S427" s="19">
        <v>6.6000000000000003E-2</v>
      </c>
      <c r="T427" s="19" t="s">
        <v>64</v>
      </c>
      <c r="U427" s="19" t="s">
        <v>65</v>
      </c>
      <c r="V427" s="19" t="s">
        <v>66</v>
      </c>
      <c r="W427" s="19" t="s">
        <v>67</v>
      </c>
      <c r="X427" s="19" t="s">
        <v>68</v>
      </c>
      <c r="Y427" s="21" t="s">
        <v>69</v>
      </c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2"/>
      <c r="AK427" s="22"/>
      <c r="AL427" s="22"/>
      <c r="AM427" s="21" t="s">
        <v>70</v>
      </c>
      <c r="AN427" s="21" t="s">
        <v>70</v>
      </c>
      <c r="AO427" s="21" t="str">
        <f>_xlfn.XLOOKUP(A:A,[1]TAGS!$A:$A,[1]TAGS!$BG:$BG)</f>
        <v>Não Montado</v>
      </c>
      <c r="AP427" s="21"/>
      <c r="AQ427" s="21"/>
      <c r="AR427" s="21"/>
      <c r="AS427" s="21"/>
      <c r="AT427" s="21"/>
      <c r="AU427" s="21"/>
    </row>
    <row r="428" spans="1:47" x14ac:dyDescent="0.35">
      <c r="A428" s="19" t="s">
        <v>1548</v>
      </c>
      <c r="B428" s="19" t="s">
        <v>52</v>
      </c>
      <c r="C428" s="19"/>
      <c r="D428" s="19" t="s">
        <v>53</v>
      </c>
      <c r="E428" s="19" t="s">
        <v>54</v>
      </c>
      <c r="F428" s="20" t="s">
        <v>306</v>
      </c>
      <c r="G428" s="20" t="s">
        <v>779</v>
      </c>
      <c r="H428" s="19" t="s">
        <v>1549</v>
      </c>
      <c r="I428" s="20" t="s">
        <v>124</v>
      </c>
      <c r="J428" s="20" t="s">
        <v>781</v>
      </c>
      <c r="K428" s="20" t="s">
        <v>1550</v>
      </c>
      <c r="L428" s="19" t="s">
        <v>61</v>
      </c>
      <c r="M428" s="19" t="s">
        <v>62</v>
      </c>
      <c r="N428" s="20" t="s">
        <v>63</v>
      </c>
      <c r="O428" s="19">
        <v>21</v>
      </c>
      <c r="P428" s="19">
        <v>3.73</v>
      </c>
      <c r="Q428" s="19">
        <v>1</v>
      </c>
      <c r="R428" s="20">
        <v>7</v>
      </c>
      <c r="S428" s="19">
        <v>6.6000000000000003E-2</v>
      </c>
      <c r="T428" s="19" t="s">
        <v>64</v>
      </c>
      <c r="U428" s="19" t="s">
        <v>65</v>
      </c>
      <c r="V428" s="19" t="s">
        <v>66</v>
      </c>
      <c r="W428" s="19" t="s">
        <v>67</v>
      </c>
      <c r="X428" s="19" t="s">
        <v>68</v>
      </c>
      <c r="Y428" s="21" t="s">
        <v>69</v>
      </c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2"/>
      <c r="AK428" s="22"/>
      <c r="AL428" s="22"/>
      <c r="AM428" s="21" t="s">
        <v>70</v>
      </c>
      <c r="AN428" s="21" t="s">
        <v>70</v>
      </c>
      <c r="AO428" s="21" t="str">
        <f>_xlfn.XLOOKUP(A:A,[1]TAGS!$A:$A,[1]TAGS!$BG:$BG)</f>
        <v>Em programação</v>
      </c>
      <c r="AP428" s="21"/>
      <c r="AQ428" s="21"/>
      <c r="AR428" s="21"/>
      <c r="AS428" s="21"/>
      <c r="AT428" s="21"/>
      <c r="AU428" s="21"/>
    </row>
    <row r="429" spans="1:47" x14ac:dyDescent="0.35">
      <c r="A429" s="19" t="s">
        <v>1551</v>
      </c>
      <c r="B429" s="19" t="s">
        <v>52</v>
      </c>
      <c r="C429" s="19"/>
      <c r="D429" s="19" t="s">
        <v>53</v>
      </c>
      <c r="E429" s="19" t="s">
        <v>54</v>
      </c>
      <c r="F429" s="20" t="s">
        <v>116</v>
      </c>
      <c r="G429" s="20" t="s">
        <v>117</v>
      </c>
      <c r="H429" s="19" t="s">
        <v>1552</v>
      </c>
      <c r="I429" s="20" t="s">
        <v>58</v>
      </c>
      <c r="J429" s="20" t="s">
        <v>119</v>
      </c>
      <c r="K429" s="20" t="s">
        <v>1553</v>
      </c>
      <c r="L429" s="19" t="s">
        <v>61</v>
      </c>
      <c r="M429" s="19" t="s">
        <v>62</v>
      </c>
      <c r="N429" s="20" t="s">
        <v>63</v>
      </c>
      <c r="O429" s="19">
        <v>21</v>
      </c>
      <c r="P429" s="19">
        <v>3.73</v>
      </c>
      <c r="Q429" s="19">
        <v>1</v>
      </c>
      <c r="R429" s="20">
        <v>7</v>
      </c>
      <c r="S429" s="19">
        <v>6.6000000000000003E-2</v>
      </c>
      <c r="T429" s="19" t="s">
        <v>64</v>
      </c>
      <c r="U429" s="19" t="s">
        <v>65</v>
      </c>
      <c r="V429" s="19" t="s">
        <v>66</v>
      </c>
      <c r="W429" s="19" t="s">
        <v>67</v>
      </c>
      <c r="X429" s="19" t="s">
        <v>68</v>
      </c>
      <c r="Y429" s="21" t="s">
        <v>69</v>
      </c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2"/>
      <c r="AK429" s="22"/>
      <c r="AL429" s="22"/>
      <c r="AM429" s="21" t="s">
        <v>70</v>
      </c>
      <c r="AN429" s="21" t="s">
        <v>70</v>
      </c>
      <c r="AO429" s="21" t="str">
        <f>_xlfn.XLOOKUP(A:A,[1]TAGS!$A:$A,[1]TAGS!$BG:$BG)</f>
        <v>Montado</v>
      </c>
      <c r="AP429" s="21"/>
      <c r="AQ429" s="21"/>
      <c r="AR429" s="21"/>
      <c r="AS429" s="21"/>
      <c r="AT429" s="21"/>
      <c r="AU429" s="21"/>
    </row>
    <row r="430" spans="1:47" x14ac:dyDescent="0.35">
      <c r="A430" s="19" t="s">
        <v>1554</v>
      </c>
      <c r="B430" s="19" t="s">
        <v>52</v>
      </c>
      <c r="C430" s="19"/>
      <c r="D430" s="19" t="s">
        <v>53</v>
      </c>
      <c r="E430" s="19" t="s">
        <v>54</v>
      </c>
      <c r="F430" s="20" t="s">
        <v>116</v>
      </c>
      <c r="G430" s="20" t="s">
        <v>122</v>
      </c>
      <c r="H430" s="19" t="s">
        <v>1555</v>
      </c>
      <c r="I430" s="20" t="s">
        <v>124</v>
      </c>
      <c r="J430" s="20" t="s">
        <v>125</v>
      </c>
      <c r="K430" s="20" t="s">
        <v>1556</v>
      </c>
      <c r="L430" s="19" t="s">
        <v>61</v>
      </c>
      <c r="M430" s="19" t="s">
        <v>62</v>
      </c>
      <c r="N430" s="20" t="s">
        <v>63</v>
      </c>
      <c r="O430" s="19">
        <v>21</v>
      </c>
      <c r="P430" s="19">
        <v>3.73</v>
      </c>
      <c r="Q430" s="19">
        <v>1</v>
      </c>
      <c r="R430" s="20">
        <v>7</v>
      </c>
      <c r="S430" s="19">
        <v>6.6000000000000003E-2</v>
      </c>
      <c r="T430" s="19" t="s">
        <v>64</v>
      </c>
      <c r="U430" s="19" t="s">
        <v>65</v>
      </c>
      <c r="V430" s="19" t="s">
        <v>66</v>
      </c>
      <c r="W430" s="19" t="s">
        <v>67</v>
      </c>
      <c r="X430" s="19" t="s">
        <v>68</v>
      </c>
      <c r="Y430" s="21" t="s">
        <v>69</v>
      </c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2"/>
      <c r="AK430" s="22"/>
      <c r="AL430" s="22"/>
      <c r="AM430" s="21" t="s">
        <v>70</v>
      </c>
      <c r="AN430" s="21" t="s">
        <v>70</v>
      </c>
      <c r="AO430" s="21" t="str">
        <f>_xlfn.XLOOKUP(A:A,[1]TAGS!$A:$A,[1]TAGS!$BG:$BG)</f>
        <v>Montado</v>
      </c>
      <c r="AP430" s="21"/>
      <c r="AQ430" s="21"/>
      <c r="AR430" s="21"/>
      <c r="AS430" s="21"/>
      <c r="AT430" s="21"/>
      <c r="AU430" s="21"/>
    </row>
    <row r="431" spans="1:47" x14ac:dyDescent="0.35">
      <c r="A431" s="19" t="s">
        <v>1557</v>
      </c>
      <c r="B431" s="19" t="s">
        <v>52</v>
      </c>
      <c r="C431" s="19"/>
      <c r="D431" s="19" t="s">
        <v>53</v>
      </c>
      <c r="E431" s="19" t="s">
        <v>54</v>
      </c>
      <c r="F431" s="20" t="s">
        <v>141</v>
      </c>
      <c r="G431" s="20" t="s">
        <v>142</v>
      </c>
      <c r="H431" s="19" t="s">
        <v>1558</v>
      </c>
      <c r="I431" s="20" t="s">
        <v>58</v>
      </c>
      <c r="J431" s="20" t="s">
        <v>144</v>
      </c>
      <c r="K431" s="20" t="s">
        <v>1559</v>
      </c>
      <c r="L431" s="19" t="s">
        <v>61</v>
      </c>
      <c r="M431" s="19" t="s">
        <v>62</v>
      </c>
      <c r="N431" s="20" t="s">
        <v>63</v>
      </c>
      <c r="O431" s="19">
        <v>21</v>
      </c>
      <c r="P431" s="19">
        <v>3.73</v>
      </c>
      <c r="Q431" s="19">
        <v>1</v>
      </c>
      <c r="R431" s="20">
        <v>7</v>
      </c>
      <c r="S431" s="19">
        <v>6.6000000000000003E-2</v>
      </c>
      <c r="T431" s="19" t="s">
        <v>64</v>
      </c>
      <c r="U431" s="19" t="s">
        <v>65</v>
      </c>
      <c r="V431" s="19" t="s">
        <v>66</v>
      </c>
      <c r="W431" s="19" t="s">
        <v>67</v>
      </c>
      <c r="X431" s="19" t="s">
        <v>68</v>
      </c>
      <c r="Y431" s="21" t="s">
        <v>69</v>
      </c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2"/>
      <c r="AK431" s="22"/>
      <c r="AL431" s="22"/>
      <c r="AM431" s="21" t="s">
        <v>70</v>
      </c>
      <c r="AN431" s="21" t="s">
        <v>70</v>
      </c>
      <c r="AO431" s="21" t="str">
        <f>_xlfn.XLOOKUP(A:A,[1]TAGS!$A:$A,[1]TAGS!$BG:$BG)</f>
        <v>Não Montado</v>
      </c>
      <c r="AP431" s="21"/>
      <c r="AQ431" s="21"/>
      <c r="AR431" s="21"/>
      <c r="AS431" s="21"/>
      <c r="AT431" s="21"/>
      <c r="AU431" s="21"/>
    </row>
    <row r="432" spans="1:47" x14ac:dyDescent="0.35">
      <c r="A432" s="19" t="s">
        <v>1560</v>
      </c>
      <c r="B432" s="19" t="s">
        <v>52</v>
      </c>
      <c r="C432" s="19"/>
      <c r="D432" s="19" t="s">
        <v>53</v>
      </c>
      <c r="E432" s="19" t="s">
        <v>54</v>
      </c>
      <c r="F432" s="20" t="s">
        <v>300</v>
      </c>
      <c r="G432" s="20" t="s">
        <v>301</v>
      </c>
      <c r="H432" s="19" t="s">
        <v>1561</v>
      </c>
      <c r="I432" s="20" t="s">
        <v>58</v>
      </c>
      <c r="J432" s="20" t="s">
        <v>303</v>
      </c>
      <c r="K432" s="20" t="s">
        <v>1562</v>
      </c>
      <c r="L432" s="19" t="s">
        <v>61</v>
      </c>
      <c r="M432" s="19" t="s">
        <v>62</v>
      </c>
      <c r="N432" s="20" t="s">
        <v>63</v>
      </c>
      <c r="O432" s="19">
        <v>21</v>
      </c>
      <c r="P432" s="19">
        <v>3.73</v>
      </c>
      <c r="Q432" s="19">
        <v>1</v>
      </c>
      <c r="R432" s="20">
        <v>7</v>
      </c>
      <c r="S432" s="19">
        <v>6.6000000000000003E-2</v>
      </c>
      <c r="T432" s="19" t="s">
        <v>64</v>
      </c>
      <c r="U432" s="19" t="s">
        <v>65</v>
      </c>
      <c r="V432" s="19" t="s">
        <v>66</v>
      </c>
      <c r="W432" s="19" t="s">
        <v>67</v>
      </c>
      <c r="X432" s="19" t="s">
        <v>68</v>
      </c>
      <c r="Y432" s="21" t="s">
        <v>69</v>
      </c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2"/>
      <c r="AK432" s="22"/>
      <c r="AL432" s="22"/>
      <c r="AM432" s="21" t="s">
        <v>70</v>
      </c>
      <c r="AN432" s="21" t="s">
        <v>70</v>
      </c>
      <c r="AO432" s="21" t="str">
        <f>_xlfn.XLOOKUP(A:A,[1]TAGS!$A:$A,[1]TAGS!$BG:$BG)</f>
        <v>Não Montado</v>
      </c>
      <c r="AP432" s="21"/>
      <c r="AQ432" s="21"/>
      <c r="AR432" s="21"/>
      <c r="AS432" s="21"/>
      <c r="AT432" s="21"/>
      <c r="AU432" s="21"/>
    </row>
    <row r="433" spans="1:47" x14ac:dyDescent="0.35">
      <c r="A433" s="19" t="s">
        <v>1563</v>
      </c>
      <c r="B433" s="19" t="s">
        <v>52</v>
      </c>
      <c r="C433" s="19"/>
      <c r="D433" s="19" t="s">
        <v>53</v>
      </c>
      <c r="E433" s="19" t="s">
        <v>54</v>
      </c>
      <c r="F433" s="20" t="s">
        <v>141</v>
      </c>
      <c r="G433" s="20" t="s">
        <v>142</v>
      </c>
      <c r="H433" s="19" t="s">
        <v>1564</v>
      </c>
      <c r="I433" s="20" t="s">
        <v>58</v>
      </c>
      <c r="J433" s="20" t="s">
        <v>144</v>
      </c>
      <c r="K433" s="20" t="s">
        <v>1565</v>
      </c>
      <c r="L433" s="19" t="s">
        <v>61</v>
      </c>
      <c r="M433" s="19" t="s">
        <v>62</v>
      </c>
      <c r="N433" s="20" t="s">
        <v>63</v>
      </c>
      <c r="O433" s="19">
        <v>21</v>
      </c>
      <c r="P433" s="19">
        <v>3.73</v>
      </c>
      <c r="Q433" s="19">
        <v>1</v>
      </c>
      <c r="R433" s="20">
        <v>7</v>
      </c>
      <c r="S433" s="19">
        <v>6.6000000000000003E-2</v>
      </c>
      <c r="T433" s="19" t="s">
        <v>64</v>
      </c>
      <c r="U433" s="19" t="s">
        <v>65</v>
      </c>
      <c r="V433" s="19" t="s">
        <v>66</v>
      </c>
      <c r="W433" s="19" t="s">
        <v>67</v>
      </c>
      <c r="X433" s="19" t="s">
        <v>68</v>
      </c>
      <c r="Y433" s="21" t="s">
        <v>69</v>
      </c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2"/>
      <c r="AK433" s="22"/>
      <c r="AL433" s="22"/>
      <c r="AM433" s="21" t="s">
        <v>70</v>
      </c>
      <c r="AN433" s="21" t="s">
        <v>70</v>
      </c>
      <c r="AO433" s="21" t="str">
        <f>_xlfn.XLOOKUP(A:A,[1]TAGS!$A:$A,[1]TAGS!$BG:$BG)</f>
        <v>Não Montado</v>
      </c>
      <c r="AP433" s="21"/>
      <c r="AQ433" s="21"/>
      <c r="AR433" s="21"/>
      <c r="AS433" s="21"/>
      <c r="AT433" s="21"/>
      <c r="AU433" s="21"/>
    </row>
    <row r="434" spans="1:47" x14ac:dyDescent="0.35">
      <c r="A434" s="19" t="s">
        <v>1566</v>
      </c>
      <c r="B434" s="19" t="s">
        <v>52</v>
      </c>
      <c r="C434" s="19"/>
      <c r="D434" s="19" t="s">
        <v>53</v>
      </c>
      <c r="E434" s="19" t="s">
        <v>54</v>
      </c>
      <c r="F434" s="20" t="s">
        <v>233</v>
      </c>
      <c r="G434" s="20" t="s">
        <v>234</v>
      </c>
      <c r="H434" s="19" t="s">
        <v>1567</v>
      </c>
      <c r="I434" s="20" t="s">
        <v>58</v>
      </c>
      <c r="J434" s="20" t="s">
        <v>236</v>
      </c>
      <c r="K434" s="20" t="s">
        <v>1568</v>
      </c>
      <c r="L434" s="19" t="s">
        <v>61</v>
      </c>
      <c r="M434" s="19" t="s">
        <v>62</v>
      </c>
      <c r="N434" s="20" t="s">
        <v>63</v>
      </c>
      <c r="O434" s="19">
        <v>21</v>
      </c>
      <c r="P434" s="19">
        <v>3.73</v>
      </c>
      <c r="Q434" s="19">
        <v>1</v>
      </c>
      <c r="R434" s="20">
        <v>7</v>
      </c>
      <c r="S434" s="19">
        <v>6.6000000000000003E-2</v>
      </c>
      <c r="T434" s="19" t="s">
        <v>64</v>
      </c>
      <c r="U434" s="19" t="s">
        <v>65</v>
      </c>
      <c r="V434" s="19" t="s">
        <v>66</v>
      </c>
      <c r="W434" s="19" t="s">
        <v>67</v>
      </c>
      <c r="X434" s="19" t="s">
        <v>68</v>
      </c>
      <c r="Y434" s="21" t="s">
        <v>69</v>
      </c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2"/>
      <c r="AK434" s="22"/>
      <c r="AL434" s="22"/>
      <c r="AM434" s="21" t="s">
        <v>70</v>
      </c>
      <c r="AN434" s="21" t="s">
        <v>70</v>
      </c>
      <c r="AO434" s="21" t="str">
        <f>_xlfn.XLOOKUP(A:A,[1]TAGS!$A:$A,[1]TAGS!$BG:$BG)</f>
        <v>Não Montado</v>
      </c>
      <c r="AP434" s="21"/>
      <c r="AQ434" s="21"/>
      <c r="AR434" s="21"/>
      <c r="AS434" s="21"/>
      <c r="AT434" s="21"/>
      <c r="AU434" s="21"/>
    </row>
    <row r="435" spans="1:47" x14ac:dyDescent="0.35">
      <c r="A435" s="19" t="s">
        <v>1569</v>
      </c>
      <c r="B435" s="19" t="s">
        <v>52</v>
      </c>
      <c r="C435" s="19"/>
      <c r="D435" s="19" t="s">
        <v>53</v>
      </c>
      <c r="E435" s="19" t="s">
        <v>54</v>
      </c>
      <c r="F435" s="20" t="s">
        <v>233</v>
      </c>
      <c r="G435" s="20" t="s">
        <v>234</v>
      </c>
      <c r="H435" s="19" t="s">
        <v>1570</v>
      </c>
      <c r="I435" s="20" t="s">
        <v>58</v>
      </c>
      <c r="J435" s="20" t="s">
        <v>236</v>
      </c>
      <c r="K435" s="20" t="s">
        <v>1571</v>
      </c>
      <c r="L435" s="19" t="s">
        <v>61</v>
      </c>
      <c r="M435" s="19" t="s">
        <v>62</v>
      </c>
      <c r="N435" s="20" t="s">
        <v>63</v>
      </c>
      <c r="O435" s="19">
        <v>21</v>
      </c>
      <c r="P435" s="19">
        <v>3.73</v>
      </c>
      <c r="Q435" s="19">
        <v>1</v>
      </c>
      <c r="R435" s="20">
        <v>7</v>
      </c>
      <c r="S435" s="19">
        <v>6.6000000000000003E-2</v>
      </c>
      <c r="T435" s="19" t="s">
        <v>64</v>
      </c>
      <c r="U435" s="19" t="s">
        <v>65</v>
      </c>
      <c r="V435" s="19" t="s">
        <v>66</v>
      </c>
      <c r="W435" s="19" t="s">
        <v>67</v>
      </c>
      <c r="X435" s="19" t="s">
        <v>68</v>
      </c>
      <c r="Y435" s="21" t="s">
        <v>69</v>
      </c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2"/>
      <c r="AK435" s="22"/>
      <c r="AL435" s="22"/>
      <c r="AM435" s="21" t="s">
        <v>70</v>
      </c>
      <c r="AN435" s="21" t="s">
        <v>70</v>
      </c>
      <c r="AO435" s="21" t="str">
        <f>_xlfn.XLOOKUP(A:A,[1]TAGS!$A:$A,[1]TAGS!$BG:$BG)</f>
        <v>Não Montado</v>
      </c>
      <c r="AP435" s="21"/>
      <c r="AQ435" s="21"/>
      <c r="AR435" s="21"/>
      <c r="AS435" s="21"/>
      <c r="AT435" s="21"/>
      <c r="AU435" s="21"/>
    </row>
    <row r="436" spans="1:47" x14ac:dyDescent="0.35">
      <c r="A436" s="19" t="s">
        <v>1572</v>
      </c>
      <c r="B436" s="19" t="s">
        <v>52</v>
      </c>
      <c r="C436" s="19"/>
      <c r="D436" s="19" t="s">
        <v>53</v>
      </c>
      <c r="E436" s="19" t="s">
        <v>54</v>
      </c>
      <c r="F436" s="20" t="s">
        <v>233</v>
      </c>
      <c r="G436" s="20" t="s">
        <v>234</v>
      </c>
      <c r="H436" s="19" t="s">
        <v>1573</v>
      </c>
      <c r="I436" s="20" t="s">
        <v>58</v>
      </c>
      <c r="J436" s="20" t="s">
        <v>236</v>
      </c>
      <c r="K436" s="20" t="s">
        <v>1574</v>
      </c>
      <c r="L436" s="19" t="s">
        <v>61</v>
      </c>
      <c r="M436" s="19" t="s">
        <v>62</v>
      </c>
      <c r="N436" s="20" t="s">
        <v>63</v>
      </c>
      <c r="O436" s="19">
        <v>21</v>
      </c>
      <c r="P436" s="19">
        <v>3.73</v>
      </c>
      <c r="Q436" s="19">
        <v>1</v>
      </c>
      <c r="R436" s="20">
        <v>7</v>
      </c>
      <c r="S436" s="19">
        <v>6.6000000000000003E-2</v>
      </c>
      <c r="T436" s="19" t="s">
        <v>64</v>
      </c>
      <c r="U436" s="19" t="s">
        <v>65</v>
      </c>
      <c r="V436" s="19" t="s">
        <v>66</v>
      </c>
      <c r="W436" s="19" t="s">
        <v>67</v>
      </c>
      <c r="X436" s="19" t="s">
        <v>68</v>
      </c>
      <c r="Y436" s="21" t="s">
        <v>69</v>
      </c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2"/>
      <c r="AK436" s="22"/>
      <c r="AL436" s="22"/>
      <c r="AM436" s="21" t="s">
        <v>70</v>
      </c>
      <c r="AN436" s="21" t="s">
        <v>70</v>
      </c>
      <c r="AO436" s="21" t="str">
        <f>_xlfn.XLOOKUP(A:A,[1]TAGS!$A:$A,[1]TAGS!$BG:$BG)</f>
        <v>Não Montado</v>
      </c>
      <c r="AP436" s="21"/>
      <c r="AQ436" s="21"/>
      <c r="AR436" s="21"/>
      <c r="AS436" s="21"/>
      <c r="AT436" s="21"/>
      <c r="AU436" s="21"/>
    </row>
    <row r="437" spans="1:47" x14ac:dyDescent="0.35">
      <c r="A437" s="19" t="s">
        <v>1575</v>
      </c>
      <c r="B437" s="19" t="s">
        <v>52</v>
      </c>
      <c r="C437" s="19"/>
      <c r="D437" s="19" t="s">
        <v>53</v>
      </c>
      <c r="E437" s="19" t="s">
        <v>54</v>
      </c>
      <c r="F437" s="20" t="s">
        <v>233</v>
      </c>
      <c r="G437" s="20" t="s">
        <v>234</v>
      </c>
      <c r="H437" s="19" t="s">
        <v>1576</v>
      </c>
      <c r="I437" s="20" t="s">
        <v>58</v>
      </c>
      <c r="J437" s="20" t="s">
        <v>236</v>
      </c>
      <c r="K437" s="20" t="s">
        <v>1577</v>
      </c>
      <c r="L437" s="19" t="s">
        <v>61</v>
      </c>
      <c r="M437" s="19" t="s">
        <v>62</v>
      </c>
      <c r="N437" s="20" t="s">
        <v>63</v>
      </c>
      <c r="O437" s="19">
        <v>21</v>
      </c>
      <c r="P437" s="19">
        <v>3.73</v>
      </c>
      <c r="Q437" s="19">
        <v>1</v>
      </c>
      <c r="R437" s="20">
        <v>7</v>
      </c>
      <c r="S437" s="19">
        <v>6.6000000000000003E-2</v>
      </c>
      <c r="T437" s="19" t="s">
        <v>64</v>
      </c>
      <c r="U437" s="19" t="s">
        <v>65</v>
      </c>
      <c r="V437" s="19" t="s">
        <v>66</v>
      </c>
      <c r="W437" s="19" t="s">
        <v>67</v>
      </c>
      <c r="X437" s="19" t="s">
        <v>68</v>
      </c>
      <c r="Y437" s="21" t="s">
        <v>69</v>
      </c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2"/>
      <c r="AK437" s="22"/>
      <c r="AL437" s="22"/>
      <c r="AM437" s="21" t="s">
        <v>70</v>
      </c>
      <c r="AN437" s="21" t="s">
        <v>70</v>
      </c>
      <c r="AO437" s="21" t="str">
        <f>_xlfn.XLOOKUP(A:A,[1]TAGS!$A:$A,[1]TAGS!$BG:$BG)</f>
        <v>Em programação</v>
      </c>
      <c r="AP437" s="21"/>
      <c r="AQ437" s="21"/>
      <c r="AR437" s="21"/>
      <c r="AS437" s="21"/>
      <c r="AT437" s="21"/>
      <c r="AU437" s="21"/>
    </row>
    <row r="438" spans="1:47" x14ac:dyDescent="0.35">
      <c r="A438" s="19" t="s">
        <v>1578</v>
      </c>
      <c r="B438" s="19" t="s">
        <v>52</v>
      </c>
      <c r="C438" s="19"/>
      <c r="D438" s="19" t="s">
        <v>53</v>
      </c>
      <c r="E438" s="19" t="s">
        <v>54</v>
      </c>
      <c r="F438" s="20" t="s">
        <v>101</v>
      </c>
      <c r="G438" s="20" t="s">
        <v>102</v>
      </c>
      <c r="H438" s="19" t="s">
        <v>1579</v>
      </c>
      <c r="I438" s="20" t="s">
        <v>58</v>
      </c>
      <c r="J438" s="20" t="s">
        <v>104</v>
      </c>
      <c r="K438" s="20" t="s">
        <v>1580</v>
      </c>
      <c r="L438" s="19" t="s">
        <v>61</v>
      </c>
      <c r="M438" s="19" t="s">
        <v>62</v>
      </c>
      <c r="N438" s="20" t="s">
        <v>63</v>
      </c>
      <c r="O438" s="19">
        <v>21</v>
      </c>
      <c r="P438" s="19">
        <v>3.73</v>
      </c>
      <c r="Q438" s="19">
        <v>1</v>
      </c>
      <c r="R438" s="20">
        <v>7</v>
      </c>
      <c r="S438" s="19">
        <v>6.6000000000000003E-2</v>
      </c>
      <c r="T438" s="19" t="s">
        <v>64</v>
      </c>
      <c r="U438" s="19" t="s">
        <v>65</v>
      </c>
      <c r="V438" s="19" t="s">
        <v>66</v>
      </c>
      <c r="W438" s="19" t="s">
        <v>67</v>
      </c>
      <c r="X438" s="19" t="s">
        <v>68</v>
      </c>
      <c r="Y438" s="21" t="s">
        <v>69</v>
      </c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2"/>
      <c r="AK438" s="22"/>
      <c r="AL438" s="22"/>
      <c r="AM438" s="21" t="s">
        <v>70</v>
      </c>
      <c r="AN438" s="21" t="s">
        <v>70</v>
      </c>
      <c r="AO438" s="21" t="str">
        <f>_xlfn.XLOOKUP(A:A,[1]TAGS!$A:$A,[1]TAGS!$BG:$BG)</f>
        <v>Montado</v>
      </c>
      <c r="AP438" s="21"/>
      <c r="AQ438" s="21"/>
      <c r="AR438" s="21"/>
      <c r="AS438" s="21"/>
      <c r="AT438" s="21"/>
      <c r="AU438" s="21"/>
    </row>
    <row r="439" spans="1:47" x14ac:dyDescent="0.35">
      <c r="A439" s="19" t="s">
        <v>1581</v>
      </c>
      <c r="B439" s="19" t="s">
        <v>52</v>
      </c>
      <c r="C439" s="19"/>
      <c r="D439" s="19" t="s">
        <v>53</v>
      </c>
      <c r="E439" s="19" t="s">
        <v>54</v>
      </c>
      <c r="F439" s="20" t="s">
        <v>116</v>
      </c>
      <c r="G439" s="20" t="s">
        <v>122</v>
      </c>
      <c r="H439" s="19" t="s">
        <v>1582</v>
      </c>
      <c r="I439" s="20" t="s">
        <v>124</v>
      </c>
      <c r="J439" s="20" t="s">
        <v>125</v>
      </c>
      <c r="K439" s="20" t="s">
        <v>1583</v>
      </c>
      <c r="L439" s="19" t="s">
        <v>61</v>
      </c>
      <c r="M439" s="19" t="s">
        <v>62</v>
      </c>
      <c r="N439" s="20" t="s">
        <v>63</v>
      </c>
      <c r="O439" s="19">
        <v>21</v>
      </c>
      <c r="P439" s="19">
        <v>3.73</v>
      </c>
      <c r="Q439" s="19">
        <v>1</v>
      </c>
      <c r="R439" s="20">
        <v>7</v>
      </c>
      <c r="S439" s="19">
        <v>6.6000000000000003E-2</v>
      </c>
      <c r="T439" s="19" t="s">
        <v>64</v>
      </c>
      <c r="U439" s="19" t="s">
        <v>65</v>
      </c>
      <c r="V439" s="19" t="s">
        <v>66</v>
      </c>
      <c r="W439" s="19" t="s">
        <v>67</v>
      </c>
      <c r="X439" s="19" t="s">
        <v>68</v>
      </c>
      <c r="Y439" s="21" t="s">
        <v>69</v>
      </c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2"/>
      <c r="AK439" s="22"/>
      <c r="AL439" s="22"/>
      <c r="AM439" s="21" t="s">
        <v>70</v>
      </c>
      <c r="AN439" s="21" t="s">
        <v>70</v>
      </c>
      <c r="AO439" s="21" t="str">
        <f>_xlfn.XLOOKUP(A:A,[1]TAGS!$A:$A,[1]TAGS!$BG:$BG)</f>
        <v>Montado</v>
      </c>
      <c r="AP439" s="21"/>
      <c r="AQ439" s="21"/>
      <c r="AR439" s="21"/>
      <c r="AS439" s="21"/>
      <c r="AT439" s="21"/>
      <c r="AU439" s="21"/>
    </row>
    <row r="440" spans="1:47" x14ac:dyDescent="0.35">
      <c r="A440" s="19" t="s">
        <v>1584</v>
      </c>
      <c r="B440" s="19" t="s">
        <v>52</v>
      </c>
      <c r="C440" s="19"/>
      <c r="D440" s="19" t="s">
        <v>53</v>
      </c>
      <c r="E440" s="19" t="s">
        <v>54</v>
      </c>
      <c r="F440" s="20" t="s">
        <v>1585</v>
      </c>
      <c r="G440" s="20" t="s">
        <v>1586</v>
      </c>
      <c r="H440" s="19" t="s">
        <v>1587</v>
      </c>
      <c r="I440" s="20" t="s">
        <v>124</v>
      </c>
      <c r="J440" s="20" t="s">
        <v>1588</v>
      </c>
      <c r="K440" s="20" t="s">
        <v>1589</v>
      </c>
      <c r="L440" s="19" t="s">
        <v>61</v>
      </c>
      <c r="M440" s="19" t="s">
        <v>62</v>
      </c>
      <c r="N440" s="20" t="s">
        <v>63</v>
      </c>
      <c r="O440" s="19">
        <v>21</v>
      </c>
      <c r="P440" s="19">
        <v>3.73</v>
      </c>
      <c r="Q440" s="19">
        <v>1</v>
      </c>
      <c r="R440" s="20">
        <v>7</v>
      </c>
      <c r="S440" s="19">
        <v>6.6000000000000003E-2</v>
      </c>
      <c r="T440" s="19" t="s">
        <v>64</v>
      </c>
      <c r="U440" s="19" t="s">
        <v>65</v>
      </c>
      <c r="V440" s="19" t="s">
        <v>66</v>
      </c>
      <c r="W440" s="19" t="s">
        <v>67</v>
      </c>
      <c r="X440" s="19" t="s">
        <v>68</v>
      </c>
      <c r="Y440" s="21" t="s">
        <v>69</v>
      </c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2"/>
      <c r="AK440" s="22"/>
      <c r="AL440" s="22"/>
      <c r="AM440" s="21" t="s">
        <v>70</v>
      </c>
      <c r="AN440" s="21" t="s">
        <v>70</v>
      </c>
      <c r="AO440" s="21" t="str">
        <f>_xlfn.XLOOKUP(A:A,[1]TAGS!$A:$A,[1]TAGS!$BG:$BG)</f>
        <v>Montado</v>
      </c>
      <c r="AP440" s="21"/>
      <c r="AQ440" s="21"/>
      <c r="AR440" s="21"/>
      <c r="AS440" s="21"/>
      <c r="AT440" s="21"/>
      <c r="AU440" s="21"/>
    </row>
    <row r="441" spans="1:47" x14ac:dyDescent="0.35">
      <c r="A441" s="19" t="s">
        <v>1590</v>
      </c>
      <c r="B441" s="19" t="s">
        <v>52</v>
      </c>
      <c r="C441" s="19"/>
      <c r="D441" s="19" t="s">
        <v>53</v>
      </c>
      <c r="E441" s="19" t="s">
        <v>54</v>
      </c>
      <c r="F441" s="20" t="s">
        <v>403</v>
      </c>
      <c r="G441" s="20" t="s">
        <v>404</v>
      </c>
      <c r="H441" s="19" t="s">
        <v>1591</v>
      </c>
      <c r="I441" s="20" t="s">
        <v>58</v>
      </c>
      <c r="J441" s="20" t="s">
        <v>406</v>
      </c>
      <c r="K441" s="20" t="s">
        <v>1592</v>
      </c>
      <c r="L441" s="19" t="s">
        <v>61</v>
      </c>
      <c r="M441" s="19" t="s">
        <v>62</v>
      </c>
      <c r="N441" s="20" t="s">
        <v>63</v>
      </c>
      <c r="O441" s="19">
        <v>21</v>
      </c>
      <c r="P441" s="19">
        <v>3.73</v>
      </c>
      <c r="Q441" s="19">
        <v>1</v>
      </c>
      <c r="R441" s="20">
        <v>7</v>
      </c>
      <c r="S441" s="19">
        <v>6.6000000000000003E-2</v>
      </c>
      <c r="T441" s="19" t="s">
        <v>64</v>
      </c>
      <c r="U441" s="19" t="s">
        <v>65</v>
      </c>
      <c r="V441" s="19" t="s">
        <v>66</v>
      </c>
      <c r="W441" s="19" t="s">
        <v>67</v>
      </c>
      <c r="X441" s="19" t="s">
        <v>68</v>
      </c>
      <c r="Y441" s="21" t="s">
        <v>69</v>
      </c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2"/>
      <c r="AK441" s="22"/>
      <c r="AL441" s="22"/>
      <c r="AM441" s="21" t="s">
        <v>70</v>
      </c>
      <c r="AN441" s="21" t="s">
        <v>70</v>
      </c>
      <c r="AO441" s="21" t="str">
        <f>_xlfn.XLOOKUP(A:A,[1]TAGS!$A:$A,[1]TAGS!$BG:$BG)</f>
        <v>Montado</v>
      </c>
      <c r="AP441" s="21"/>
      <c r="AQ441" s="21"/>
      <c r="AR441" s="21"/>
      <c r="AS441" s="21"/>
      <c r="AT441" s="21"/>
      <c r="AU441" s="21"/>
    </row>
    <row r="442" spans="1:47" x14ac:dyDescent="0.35">
      <c r="A442" s="19" t="s">
        <v>1593</v>
      </c>
      <c r="B442" s="19" t="s">
        <v>52</v>
      </c>
      <c r="C442" s="19"/>
      <c r="D442" s="19" t="s">
        <v>53</v>
      </c>
      <c r="E442" s="19" t="s">
        <v>54</v>
      </c>
      <c r="F442" s="20" t="s">
        <v>200</v>
      </c>
      <c r="G442" s="20" t="s">
        <v>201</v>
      </c>
      <c r="H442" s="19" t="s">
        <v>1594</v>
      </c>
      <c r="I442" s="20" t="s">
        <v>58</v>
      </c>
      <c r="J442" s="20" t="s">
        <v>203</v>
      </c>
      <c r="K442" s="20" t="s">
        <v>1595</v>
      </c>
      <c r="L442" s="19" t="s">
        <v>61</v>
      </c>
      <c r="M442" s="19" t="s">
        <v>62</v>
      </c>
      <c r="N442" s="20" t="s">
        <v>63</v>
      </c>
      <c r="O442" s="19">
        <v>21</v>
      </c>
      <c r="P442" s="19">
        <v>3.73</v>
      </c>
      <c r="Q442" s="19">
        <v>1</v>
      </c>
      <c r="R442" s="20">
        <v>7</v>
      </c>
      <c r="S442" s="19">
        <v>6.6000000000000003E-2</v>
      </c>
      <c r="T442" s="19" t="s">
        <v>64</v>
      </c>
      <c r="U442" s="19" t="s">
        <v>65</v>
      </c>
      <c r="V442" s="19" t="s">
        <v>66</v>
      </c>
      <c r="W442" s="19" t="s">
        <v>67</v>
      </c>
      <c r="X442" s="19" t="s">
        <v>68</v>
      </c>
      <c r="Y442" s="21" t="s">
        <v>69</v>
      </c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2"/>
      <c r="AK442" s="22"/>
      <c r="AL442" s="22"/>
      <c r="AM442" s="21" t="s">
        <v>70</v>
      </c>
      <c r="AN442" s="21" t="s">
        <v>70</v>
      </c>
      <c r="AO442" s="21" t="str">
        <f>_xlfn.XLOOKUP(A:A,[1]TAGS!$A:$A,[1]TAGS!$BG:$BG)</f>
        <v>Não Montado</v>
      </c>
      <c r="AP442" s="21"/>
      <c r="AQ442" s="21"/>
      <c r="AR442" s="21"/>
      <c r="AS442" s="21"/>
      <c r="AT442" s="21"/>
      <c r="AU442" s="21"/>
    </row>
    <row r="443" spans="1:47" x14ac:dyDescent="0.35">
      <c r="A443" s="19" t="s">
        <v>1596</v>
      </c>
      <c r="B443" s="19" t="s">
        <v>52</v>
      </c>
      <c r="C443" s="19"/>
      <c r="D443" s="19" t="s">
        <v>53</v>
      </c>
      <c r="E443" s="19" t="s">
        <v>54</v>
      </c>
      <c r="F443" s="20" t="s">
        <v>200</v>
      </c>
      <c r="G443" s="20" t="s">
        <v>201</v>
      </c>
      <c r="H443" s="19" t="s">
        <v>1597</v>
      </c>
      <c r="I443" s="20" t="s">
        <v>58</v>
      </c>
      <c r="J443" s="20" t="s">
        <v>203</v>
      </c>
      <c r="K443" s="20" t="s">
        <v>1598</v>
      </c>
      <c r="L443" s="19" t="s">
        <v>61</v>
      </c>
      <c r="M443" s="19" t="s">
        <v>62</v>
      </c>
      <c r="N443" s="20" t="s">
        <v>63</v>
      </c>
      <c r="O443" s="19">
        <v>21</v>
      </c>
      <c r="P443" s="19">
        <v>3.73</v>
      </c>
      <c r="Q443" s="19">
        <v>1</v>
      </c>
      <c r="R443" s="20">
        <v>7</v>
      </c>
      <c r="S443" s="19">
        <v>6.6000000000000003E-2</v>
      </c>
      <c r="T443" s="19" t="s">
        <v>64</v>
      </c>
      <c r="U443" s="19" t="s">
        <v>65</v>
      </c>
      <c r="V443" s="19" t="s">
        <v>66</v>
      </c>
      <c r="W443" s="19" t="s">
        <v>67</v>
      </c>
      <c r="X443" s="19" t="s">
        <v>68</v>
      </c>
      <c r="Y443" s="21" t="s">
        <v>69</v>
      </c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2"/>
      <c r="AK443" s="22"/>
      <c r="AL443" s="22"/>
      <c r="AM443" s="21" t="s">
        <v>70</v>
      </c>
      <c r="AN443" s="21" t="s">
        <v>70</v>
      </c>
      <c r="AO443" s="21" t="str">
        <f>_xlfn.XLOOKUP(A:A,[1]TAGS!$A:$A,[1]TAGS!$BG:$BG)</f>
        <v>Não Montado</v>
      </c>
      <c r="AP443" s="21"/>
      <c r="AQ443" s="21"/>
      <c r="AR443" s="21"/>
      <c r="AS443" s="21"/>
      <c r="AT443" s="21"/>
      <c r="AU443" s="21"/>
    </row>
    <row r="444" spans="1:47" x14ac:dyDescent="0.35">
      <c r="A444" s="19" t="s">
        <v>1599</v>
      </c>
      <c r="B444" s="19" t="s">
        <v>52</v>
      </c>
      <c r="C444" s="19"/>
      <c r="D444" s="19" t="s">
        <v>53</v>
      </c>
      <c r="E444" s="19" t="s">
        <v>54</v>
      </c>
      <c r="F444" s="20" t="s">
        <v>200</v>
      </c>
      <c r="G444" s="20" t="s">
        <v>201</v>
      </c>
      <c r="H444" s="19" t="s">
        <v>1600</v>
      </c>
      <c r="I444" s="20" t="s">
        <v>58</v>
      </c>
      <c r="J444" s="20" t="s">
        <v>203</v>
      </c>
      <c r="K444" s="20" t="s">
        <v>1601</v>
      </c>
      <c r="L444" s="19" t="s">
        <v>61</v>
      </c>
      <c r="M444" s="19" t="s">
        <v>62</v>
      </c>
      <c r="N444" s="20" t="s">
        <v>63</v>
      </c>
      <c r="O444" s="19">
        <v>21</v>
      </c>
      <c r="P444" s="19">
        <v>3.73</v>
      </c>
      <c r="Q444" s="19">
        <v>1</v>
      </c>
      <c r="R444" s="20">
        <v>7</v>
      </c>
      <c r="S444" s="19">
        <v>6.6000000000000003E-2</v>
      </c>
      <c r="T444" s="19" t="s">
        <v>64</v>
      </c>
      <c r="U444" s="19" t="s">
        <v>65</v>
      </c>
      <c r="V444" s="19" t="s">
        <v>66</v>
      </c>
      <c r="W444" s="19" t="s">
        <v>67</v>
      </c>
      <c r="X444" s="19" t="s">
        <v>68</v>
      </c>
      <c r="Y444" s="21" t="s">
        <v>69</v>
      </c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2"/>
      <c r="AK444" s="22"/>
      <c r="AL444" s="22"/>
      <c r="AM444" s="21" t="s">
        <v>70</v>
      </c>
      <c r="AN444" s="21" t="s">
        <v>70</v>
      </c>
      <c r="AO444" s="21" t="str">
        <f>_xlfn.XLOOKUP(A:A,[1]TAGS!$A:$A,[1]TAGS!$BG:$BG)</f>
        <v>Não Montado</v>
      </c>
      <c r="AP444" s="21"/>
      <c r="AQ444" s="21"/>
      <c r="AR444" s="21"/>
      <c r="AS444" s="21"/>
      <c r="AT444" s="21"/>
      <c r="AU444" s="21"/>
    </row>
    <row r="445" spans="1:47" x14ac:dyDescent="0.35">
      <c r="A445" s="19" t="s">
        <v>1602</v>
      </c>
      <c r="B445" s="19" t="s">
        <v>52</v>
      </c>
      <c r="C445" s="19"/>
      <c r="D445" s="19" t="s">
        <v>53</v>
      </c>
      <c r="E445" s="19" t="s">
        <v>54</v>
      </c>
      <c r="F445" s="20" t="s">
        <v>200</v>
      </c>
      <c r="G445" s="20" t="s">
        <v>201</v>
      </c>
      <c r="H445" s="19" t="s">
        <v>1603</v>
      </c>
      <c r="I445" s="20" t="s">
        <v>58</v>
      </c>
      <c r="J445" s="20" t="s">
        <v>203</v>
      </c>
      <c r="K445" s="20" t="s">
        <v>1604</v>
      </c>
      <c r="L445" s="19" t="s">
        <v>61</v>
      </c>
      <c r="M445" s="19" t="s">
        <v>62</v>
      </c>
      <c r="N445" s="20" t="s">
        <v>63</v>
      </c>
      <c r="O445" s="19">
        <v>21</v>
      </c>
      <c r="P445" s="19">
        <v>3.73</v>
      </c>
      <c r="Q445" s="19">
        <v>1</v>
      </c>
      <c r="R445" s="20">
        <v>7</v>
      </c>
      <c r="S445" s="19">
        <v>6.6000000000000003E-2</v>
      </c>
      <c r="T445" s="19" t="s">
        <v>64</v>
      </c>
      <c r="U445" s="19" t="s">
        <v>65</v>
      </c>
      <c r="V445" s="19" t="s">
        <v>66</v>
      </c>
      <c r="W445" s="19" t="s">
        <v>67</v>
      </c>
      <c r="X445" s="19" t="s">
        <v>68</v>
      </c>
      <c r="Y445" s="21" t="s">
        <v>69</v>
      </c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2"/>
      <c r="AK445" s="22"/>
      <c r="AL445" s="22"/>
      <c r="AM445" s="21" t="s">
        <v>70</v>
      </c>
      <c r="AN445" s="21" t="s">
        <v>70</v>
      </c>
      <c r="AO445" s="21" t="str">
        <f>_xlfn.XLOOKUP(A:A,[1]TAGS!$A:$A,[1]TAGS!$BG:$BG)</f>
        <v>Não Montado</v>
      </c>
      <c r="AP445" s="21"/>
      <c r="AQ445" s="21"/>
      <c r="AR445" s="21"/>
      <c r="AS445" s="21"/>
      <c r="AT445" s="21"/>
      <c r="AU445" s="21"/>
    </row>
    <row r="446" spans="1:47" x14ac:dyDescent="0.35">
      <c r="A446" s="19" t="s">
        <v>1605</v>
      </c>
      <c r="B446" s="19" t="s">
        <v>52</v>
      </c>
      <c r="C446" s="19"/>
      <c r="D446" s="19" t="s">
        <v>53</v>
      </c>
      <c r="E446" s="19" t="s">
        <v>54</v>
      </c>
      <c r="F446" s="20" t="s">
        <v>1606</v>
      </c>
      <c r="G446" s="20" t="s">
        <v>1607</v>
      </c>
      <c r="H446" s="19" t="s">
        <v>1608</v>
      </c>
      <c r="I446" s="20" t="s">
        <v>58</v>
      </c>
      <c r="J446" s="20" t="s">
        <v>1609</v>
      </c>
      <c r="K446" s="20" t="s">
        <v>1610</v>
      </c>
      <c r="L446" s="19" t="s">
        <v>61</v>
      </c>
      <c r="M446" s="19" t="s">
        <v>62</v>
      </c>
      <c r="N446" s="20" t="s">
        <v>63</v>
      </c>
      <c r="O446" s="19">
        <v>21</v>
      </c>
      <c r="P446" s="19">
        <v>3.73</v>
      </c>
      <c r="Q446" s="19">
        <v>1</v>
      </c>
      <c r="R446" s="20">
        <v>7</v>
      </c>
      <c r="S446" s="19">
        <v>6.6000000000000003E-2</v>
      </c>
      <c r="T446" s="19" t="s">
        <v>64</v>
      </c>
      <c r="U446" s="19" t="s">
        <v>65</v>
      </c>
      <c r="V446" s="19" t="s">
        <v>66</v>
      </c>
      <c r="W446" s="19" t="s">
        <v>67</v>
      </c>
      <c r="X446" s="19" t="s">
        <v>68</v>
      </c>
      <c r="Y446" s="21" t="s">
        <v>69</v>
      </c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2"/>
      <c r="AK446" s="22"/>
      <c r="AL446" s="22"/>
      <c r="AM446" s="21" t="s">
        <v>70</v>
      </c>
      <c r="AN446" s="21" t="s">
        <v>70</v>
      </c>
      <c r="AO446" s="21" t="str">
        <f>_xlfn.XLOOKUP(A:A,[1]TAGS!$A:$A,[1]TAGS!$BG:$BG)</f>
        <v>Montado</v>
      </c>
      <c r="AP446" s="21"/>
      <c r="AQ446" s="21"/>
      <c r="AR446" s="21"/>
      <c r="AS446" s="21"/>
      <c r="AT446" s="21"/>
      <c r="AU446" s="21"/>
    </row>
    <row r="447" spans="1:47" x14ac:dyDescent="0.35">
      <c r="A447" s="19" t="s">
        <v>1611</v>
      </c>
      <c r="B447" s="19" t="s">
        <v>52</v>
      </c>
      <c r="C447" s="19"/>
      <c r="D447" s="19" t="s">
        <v>53</v>
      </c>
      <c r="E447" s="19" t="s">
        <v>54</v>
      </c>
      <c r="F447" s="20" t="s">
        <v>470</v>
      </c>
      <c r="G447" s="20" t="s">
        <v>471</v>
      </c>
      <c r="H447" s="19" t="s">
        <v>1612</v>
      </c>
      <c r="I447" s="20" t="s">
        <v>58</v>
      </c>
      <c r="J447" s="20" t="s">
        <v>473</v>
      </c>
      <c r="K447" s="20" t="s">
        <v>1613</v>
      </c>
      <c r="L447" s="19" t="s">
        <v>61</v>
      </c>
      <c r="M447" s="19" t="s">
        <v>62</v>
      </c>
      <c r="N447" s="20" t="s">
        <v>63</v>
      </c>
      <c r="O447" s="19">
        <v>21</v>
      </c>
      <c r="P447" s="19">
        <v>3.73</v>
      </c>
      <c r="Q447" s="19">
        <v>1</v>
      </c>
      <c r="R447" s="20">
        <v>7</v>
      </c>
      <c r="S447" s="19">
        <v>6.6000000000000003E-2</v>
      </c>
      <c r="T447" s="19" t="s">
        <v>64</v>
      </c>
      <c r="U447" s="19" t="s">
        <v>65</v>
      </c>
      <c r="V447" s="19" t="s">
        <v>66</v>
      </c>
      <c r="W447" s="19" t="s">
        <v>67</v>
      </c>
      <c r="X447" s="19" t="s">
        <v>68</v>
      </c>
      <c r="Y447" s="21" t="s">
        <v>69</v>
      </c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2"/>
      <c r="AK447" s="22"/>
      <c r="AL447" s="22"/>
      <c r="AM447" s="21" t="s">
        <v>70</v>
      </c>
      <c r="AN447" s="21" t="s">
        <v>70</v>
      </c>
      <c r="AO447" s="21" t="str">
        <f>_xlfn.XLOOKUP(A:A,[1]TAGS!$A:$A,[1]TAGS!$BG:$BG)</f>
        <v>Montado</v>
      </c>
      <c r="AP447" s="21"/>
      <c r="AQ447" s="21"/>
      <c r="AR447" s="21"/>
      <c r="AS447" s="21"/>
      <c r="AT447" s="21"/>
      <c r="AU447" s="21"/>
    </row>
    <row r="448" spans="1:47" x14ac:dyDescent="0.35">
      <c r="A448" s="19" t="s">
        <v>1614</v>
      </c>
      <c r="B448" s="19" t="s">
        <v>52</v>
      </c>
      <c r="C448" s="19"/>
      <c r="D448" s="19" t="s">
        <v>53</v>
      </c>
      <c r="E448" s="19" t="s">
        <v>54</v>
      </c>
      <c r="F448" s="20" t="s">
        <v>418</v>
      </c>
      <c r="G448" s="20" t="s">
        <v>419</v>
      </c>
      <c r="H448" s="19" t="s">
        <v>1615</v>
      </c>
      <c r="I448" s="20" t="s">
        <v>58</v>
      </c>
      <c r="J448" s="20" t="s">
        <v>421</v>
      </c>
      <c r="K448" s="20" t="s">
        <v>1616</v>
      </c>
      <c r="L448" s="19" t="s">
        <v>61</v>
      </c>
      <c r="M448" s="19" t="s">
        <v>62</v>
      </c>
      <c r="N448" s="20" t="s">
        <v>63</v>
      </c>
      <c r="O448" s="19">
        <v>21</v>
      </c>
      <c r="P448" s="19">
        <v>3.73</v>
      </c>
      <c r="Q448" s="19">
        <v>1</v>
      </c>
      <c r="R448" s="20">
        <v>7</v>
      </c>
      <c r="S448" s="19">
        <v>6.6000000000000003E-2</v>
      </c>
      <c r="T448" s="19" t="s">
        <v>64</v>
      </c>
      <c r="U448" s="19" t="s">
        <v>65</v>
      </c>
      <c r="V448" s="19" t="s">
        <v>66</v>
      </c>
      <c r="W448" s="19" t="s">
        <v>67</v>
      </c>
      <c r="X448" s="19" t="s">
        <v>68</v>
      </c>
      <c r="Y448" s="21" t="s">
        <v>69</v>
      </c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2"/>
      <c r="AK448" s="22"/>
      <c r="AL448" s="22"/>
      <c r="AM448" s="21" t="s">
        <v>70</v>
      </c>
      <c r="AN448" s="21" t="s">
        <v>70</v>
      </c>
      <c r="AO448" s="21" t="str">
        <f>_xlfn.XLOOKUP(A:A,[1]TAGS!$A:$A,[1]TAGS!$BG:$BG)</f>
        <v>Montado</v>
      </c>
      <c r="AP448" s="21"/>
      <c r="AQ448" s="21"/>
      <c r="AR448" s="21"/>
      <c r="AS448" s="21"/>
      <c r="AT448" s="21"/>
      <c r="AU448" s="21"/>
    </row>
    <row r="449" spans="1:47" x14ac:dyDescent="0.35">
      <c r="A449" s="19" t="s">
        <v>1617</v>
      </c>
      <c r="B449" s="19" t="s">
        <v>52</v>
      </c>
      <c r="C449" s="19"/>
      <c r="D449" s="19" t="s">
        <v>53</v>
      </c>
      <c r="E449" s="19" t="s">
        <v>54</v>
      </c>
      <c r="F449" s="20" t="s">
        <v>1618</v>
      </c>
      <c r="G449" s="20" t="s">
        <v>1619</v>
      </c>
      <c r="H449" s="19" t="s">
        <v>1620</v>
      </c>
      <c r="I449" s="20" t="s">
        <v>58</v>
      </c>
      <c r="J449" s="20" t="s">
        <v>1621</v>
      </c>
      <c r="K449" s="20" t="s">
        <v>1622</v>
      </c>
      <c r="L449" s="19" t="s">
        <v>61</v>
      </c>
      <c r="M449" s="19" t="s">
        <v>62</v>
      </c>
      <c r="N449" s="20" t="s">
        <v>63</v>
      </c>
      <c r="O449" s="19">
        <v>21</v>
      </c>
      <c r="P449" s="19">
        <v>3.73</v>
      </c>
      <c r="Q449" s="19">
        <v>1</v>
      </c>
      <c r="R449" s="20">
        <v>7</v>
      </c>
      <c r="S449" s="19">
        <v>6.6000000000000003E-2</v>
      </c>
      <c r="T449" s="19" t="s">
        <v>64</v>
      </c>
      <c r="U449" s="19" t="s">
        <v>65</v>
      </c>
      <c r="V449" s="19" t="s">
        <v>66</v>
      </c>
      <c r="W449" s="19" t="s">
        <v>67</v>
      </c>
      <c r="X449" s="19" t="s">
        <v>68</v>
      </c>
      <c r="Y449" s="21" t="s">
        <v>69</v>
      </c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2"/>
      <c r="AK449" s="22"/>
      <c r="AL449" s="22"/>
      <c r="AM449" s="21" t="s">
        <v>70</v>
      </c>
      <c r="AN449" s="21" t="s">
        <v>70</v>
      </c>
      <c r="AO449" s="21" t="str">
        <f>_xlfn.XLOOKUP(A:A,[1]TAGS!$A:$A,[1]TAGS!$BG:$BG)</f>
        <v>Montado</v>
      </c>
      <c r="AP449" s="21"/>
      <c r="AQ449" s="21"/>
      <c r="AR449" s="21"/>
      <c r="AS449" s="21"/>
      <c r="AT449" s="21"/>
      <c r="AU449" s="21"/>
    </row>
    <row r="450" spans="1:47" x14ac:dyDescent="0.35">
      <c r="A450" s="19" t="s">
        <v>1623</v>
      </c>
      <c r="B450" s="19" t="s">
        <v>52</v>
      </c>
      <c r="C450" s="19"/>
      <c r="D450" s="19" t="s">
        <v>53</v>
      </c>
      <c r="E450" s="19" t="s">
        <v>54</v>
      </c>
      <c r="F450" s="20" t="s">
        <v>1624</v>
      </c>
      <c r="G450" s="20" t="s">
        <v>1625</v>
      </c>
      <c r="H450" s="19" t="s">
        <v>1626</v>
      </c>
      <c r="I450" s="20" t="s">
        <v>58</v>
      </c>
      <c r="J450" s="20" t="s">
        <v>1627</v>
      </c>
      <c r="K450" s="20" t="s">
        <v>1628</v>
      </c>
      <c r="L450" s="19" t="s">
        <v>61</v>
      </c>
      <c r="M450" s="19" t="s">
        <v>62</v>
      </c>
      <c r="N450" s="20" t="s">
        <v>63</v>
      </c>
      <c r="O450" s="19">
        <v>21</v>
      </c>
      <c r="P450" s="19">
        <v>3.73</v>
      </c>
      <c r="Q450" s="19">
        <v>1</v>
      </c>
      <c r="R450" s="20">
        <v>7</v>
      </c>
      <c r="S450" s="19">
        <v>6.6000000000000003E-2</v>
      </c>
      <c r="T450" s="19" t="s">
        <v>64</v>
      </c>
      <c r="U450" s="19" t="s">
        <v>65</v>
      </c>
      <c r="V450" s="19" t="s">
        <v>66</v>
      </c>
      <c r="W450" s="19" t="s">
        <v>67</v>
      </c>
      <c r="X450" s="19" t="s">
        <v>68</v>
      </c>
      <c r="Y450" s="21" t="s">
        <v>69</v>
      </c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2"/>
      <c r="AK450" s="22"/>
      <c r="AL450" s="22"/>
      <c r="AM450" s="21" t="s">
        <v>70</v>
      </c>
      <c r="AN450" s="21" t="s">
        <v>70</v>
      </c>
      <c r="AO450" s="21" t="str">
        <f>_xlfn.XLOOKUP(A:A,[1]TAGS!$A:$A,[1]TAGS!$BG:$BG)</f>
        <v>Montado</v>
      </c>
      <c r="AP450" s="21"/>
      <c r="AQ450" s="21"/>
      <c r="AR450" s="21"/>
      <c r="AS450" s="21"/>
      <c r="AT450" s="21"/>
      <c r="AU450" s="21"/>
    </row>
    <row r="451" spans="1:47" x14ac:dyDescent="0.35">
      <c r="A451" s="19" t="s">
        <v>1629</v>
      </c>
      <c r="B451" s="19" t="s">
        <v>52</v>
      </c>
      <c r="C451" s="19"/>
      <c r="D451" s="19" t="s">
        <v>53</v>
      </c>
      <c r="E451" s="19" t="s">
        <v>54</v>
      </c>
      <c r="F451" s="20" t="s">
        <v>706</v>
      </c>
      <c r="G451" s="20" t="s">
        <v>707</v>
      </c>
      <c r="H451" s="19" t="s">
        <v>1630</v>
      </c>
      <c r="I451" s="20" t="s">
        <v>124</v>
      </c>
      <c r="J451" s="20" t="s">
        <v>709</v>
      </c>
      <c r="K451" s="20" t="s">
        <v>1631</v>
      </c>
      <c r="L451" s="19" t="s">
        <v>61</v>
      </c>
      <c r="M451" s="19" t="s">
        <v>62</v>
      </c>
      <c r="N451" s="20" t="s">
        <v>63</v>
      </c>
      <c r="O451" s="19">
        <v>21</v>
      </c>
      <c r="P451" s="19">
        <v>3.73</v>
      </c>
      <c r="Q451" s="19">
        <v>1</v>
      </c>
      <c r="R451" s="20">
        <v>7</v>
      </c>
      <c r="S451" s="19">
        <v>6.6000000000000003E-2</v>
      </c>
      <c r="T451" s="19" t="s">
        <v>64</v>
      </c>
      <c r="U451" s="19" t="s">
        <v>65</v>
      </c>
      <c r="V451" s="19" t="s">
        <v>66</v>
      </c>
      <c r="W451" s="19" t="s">
        <v>67</v>
      </c>
      <c r="X451" s="19" t="s">
        <v>68</v>
      </c>
      <c r="Y451" s="21" t="s">
        <v>69</v>
      </c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2"/>
      <c r="AK451" s="22"/>
      <c r="AL451" s="22"/>
      <c r="AM451" s="21" t="s">
        <v>70</v>
      </c>
      <c r="AN451" s="21" t="s">
        <v>70</v>
      </c>
      <c r="AO451" s="21" t="str">
        <f>_xlfn.XLOOKUP(A:A,[1]TAGS!$A:$A,[1]TAGS!$BG:$BG)</f>
        <v>Montado</v>
      </c>
      <c r="AP451" s="21"/>
      <c r="AQ451" s="21"/>
      <c r="AR451" s="21"/>
      <c r="AS451" s="21"/>
      <c r="AT451" s="21"/>
      <c r="AU451" s="21"/>
    </row>
    <row r="452" spans="1:47" x14ac:dyDescent="0.35">
      <c r="A452" s="19" t="s">
        <v>1632</v>
      </c>
      <c r="B452" s="19" t="s">
        <v>52</v>
      </c>
      <c r="C452" s="19"/>
      <c r="D452" s="19" t="s">
        <v>53</v>
      </c>
      <c r="E452" s="19" t="s">
        <v>54</v>
      </c>
      <c r="F452" s="20" t="s">
        <v>1633</v>
      </c>
      <c r="G452" s="20" t="s">
        <v>1634</v>
      </c>
      <c r="H452" s="19" t="s">
        <v>1635</v>
      </c>
      <c r="I452" s="20" t="s">
        <v>124</v>
      </c>
      <c r="J452" s="20" t="s">
        <v>1636</v>
      </c>
      <c r="K452" s="20" t="s">
        <v>1637</v>
      </c>
      <c r="L452" s="19" t="s">
        <v>61</v>
      </c>
      <c r="M452" s="19" t="s">
        <v>62</v>
      </c>
      <c r="N452" s="20" t="s">
        <v>63</v>
      </c>
      <c r="O452" s="19">
        <v>21</v>
      </c>
      <c r="P452" s="19">
        <v>3.73</v>
      </c>
      <c r="Q452" s="19">
        <v>1</v>
      </c>
      <c r="R452" s="20">
        <v>7</v>
      </c>
      <c r="S452" s="19">
        <v>6.6000000000000003E-2</v>
      </c>
      <c r="T452" s="19" t="s">
        <v>64</v>
      </c>
      <c r="U452" s="19" t="s">
        <v>65</v>
      </c>
      <c r="V452" s="19" t="s">
        <v>66</v>
      </c>
      <c r="W452" s="19" t="s">
        <v>67</v>
      </c>
      <c r="X452" s="19" t="s">
        <v>68</v>
      </c>
      <c r="Y452" s="21" t="s">
        <v>69</v>
      </c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2"/>
      <c r="AK452" s="22"/>
      <c r="AL452" s="22"/>
      <c r="AM452" s="21" t="s">
        <v>70</v>
      </c>
      <c r="AN452" s="21" t="s">
        <v>70</v>
      </c>
      <c r="AO452" s="21" t="str">
        <f>_xlfn.XLOOKUP(A:A,[1]TAGS!$A:$A,[1]TAGS!$BG:$BG)</f>
        <v>Montado</v>
      </c>
      <c r="AP452" s="21"/>
      <c r="AQ452" s="21"/>
      <c r="AR452" s="21"/>
      <c r="AS452" s="21"/>
      <c r="AT452" s="21"/>
      <c r="AU452" s="21"/>
    </row>
    <row r="453" spans="1:47" x14ac:dyDescent="0.35">
      <c r="A453" s="19" t="s">
        <v>1638</v>
      </c>
      <c r="B453" s="19" t="s">
        <v>52</v>
      </c>
      <c r="C453" s="19"/>
      <c r="D453" s="19" t="s">
        <v>53</v>
      </c>
      <c r="E453" s="19" t="s">
        <v>54</v>
      </c>
      <c r="F453" s="20" t="s">
        <v>248</v>
      </c>
      <c r="G453" s="20" t="s">
        <v>911</v>
      </c>
      <c r="H453" s="19" t="s">
        <v>1639</v>
      </c>
      <c r="I453" s="20" t="s">
        <v>58</v>
      </c>
      <c r="J453" s="20" t="s">
        <v>913</v>
      </c>
      <c r="K453" s="20" t="s">
        <v>1640</v>
      </c>
      <c r="L453" s="19" t="s">
        <v>61</v>
      </c>
      <c r="M453" s="19" t="s">
        <v>62</v>
      </c>
      <c r="N453" s="20" t="s">
        <v>63</v>
      </c>
      <c r="O453" s="19">
        <v>21</v>
      </c>
      <c r="P453" s="19">
        <v>3.73</v>
      </c>
      <c r="Q453" s="19">
        <v>1</v>
      </c>
      <c r="R453" s="20">
        <v>7</v>
      </c>
      <c r="S453" s="19">
        <v>6.6000000000000003E-2</v>
      </c>
      <c r="T453" s="19" t="s">
        <v>64</v>
      </c>
      <c r="U453" s="19" t="s">
        <v>65</v>
      </c>
      <c r="V453" s="19" t="s">
        <v>66</v>
      </c>
      <c r="W453" s="19" t="s">
        <v>67</v>
      </c>
      <c r="X453" s="19" t="s">
        <v>68</v>
      </c>
      <c r="Y453" s="21" t="s">
        <v>69</v>
      </c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2"/>
      <c r="AK453" s="22"/>
      <c r="AL453" s="22"/>
      <c r="AM453" s="21" t="s">
        <v>70</v>
      </c>
      <c r="AN453" s="21" t="s">
        <v>70</v>
      </c>
      <c r="AO453" s="21" t="str">
        <f>_xlfn.XLOOKUP(A:A,[1]TAGS!$A:$A,[1]TAGS!$BG:$BG)</f>
        <v>Montado</v>
      </c>
      <c r="AP453" s="21"/>
      <c r="AQ453" s="21"/>
      <c r="AR453" s="21"/>
      <c r="AS453" s="21"/>
      <c r="AT453" s="21"/>
      <c r="AU453" s="21"/>
    </row>
    <row r="454" spans="1:47" x14ac:dyDescent="0.35">
      <c r="A454" s="19" t="s">
        <v>1641</v>
      </c>
      <c r="B454" s="19" t="s">
        <v>52</v>
      </c>
      <c r="C454" s="19"/>
      <c r="D454" s="19" t="s">
        <v>53</v>
      </c>
      <c r="E454" s="19" t="s">
        <v>54</v>
      </c>
      <c r="F454" s="20" t="s">
        <v>892</v>
      </c>
      <c r="G454" s="20" t="s">
        <v>893</v>
      </c>
      <c r="H454" s="19" t="s">
        <v>1642</v>
      </c>
      <c r="I454" s="20" t="s">
        <v>124</v>
      </c>
      <c r="J454" s="20" t="s">
        <v>895</v>
      </c>
      <c r="K454" s="20" t="s">
        <v>1643</v>
      </c>
      <c r="L454" s="19" t="s">
        <v>61</v>
      </c>
      <c r="M454" s="19" t="s">
        <v>62</v>
      </c>
      <c r="N454" s="20" t="s">
        <v>63</v>
      </c>
      <c r="O454" s="19">
        <v>21</v>
      </c>
      <c r="P454" s="19">
        <v>3.73</v>
      </c>
      <c r="Q454" s="19">
        <v>1</v>
      </c>
      <c r="R454" s="20">
        <v>7</v>
      </c>
      <c r="S454" s="19">
        <v>6.6000000000000003E-2</v>
      </c>
      <c r="T454" s="19" t="s">
        <v>64</v>
      </c>
      <c r="U454" s="19" t="s">
        <v>65</v>
      </c>
      <c r="V454" s="19" t="s">
        <v>66</v>
      </c>
      <c r="W454" s="19" t="s">
        <v>67</v>
      </c>
      <c r="X454" s="19" t="s">
        <v>68</v>
      </c>
      <c r="Y454" s="21" t="s">
        <v>69</v>
      </c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2"/>
      <c r="AK454" s="22"/>
      <c r="AL454" s="22"/>
      <c r="AM454" s="21" t="s">
        <v>70</v>
      </c>
      <c r="AN454" s="21" t="s">
        <v>70</v>
      </c>
      <c r="AO454" s="21" t="str">
        <f>_xlfn.XLOOKUP(A:A,[1]TAGS!$A:$A,[1]TAGS!$BG:$BG)</f>
        <v>Montado</v>
      </c>
      <c r="AP454" s="21"/>
      <c r="AQ454" s="21"/>
      <c r="AR454" s="21"/>
      <c r="AS454" s="21"/>
      <c r="AT454" s="21"/>
      <c r="AU454" s="21"/>
    </row>
    <row r="455" spans="1:47" x14ac:dyDescent="0.35">
      <c r="A455" s="19" t="s">
        <v>1644</v>
      </c>
      <c r="B455" s="19" t="s">
        <v>52</v>
      </c>
      <c r="C455" s="19"/>
      <c r="D455" s="19" t="s">
        <v>53</v>
      </c>
      <c r="E455" s="19" t="s">
        <v>54</v>
      </c>
      <c r="F455" s="20" t="s">
        <v>364</v>
      </c>
      <c r="G455" s="20" t="s">
        <v>365</v>
      </c>
      <c r="H455" s="19" t="s">
        <v>1645</v>
      </c>
      <c r="I455" s="20" t="s">
        <v>58</v>
      </c>
      <c r="J455" s="20" t="s">
        <v>367</v>
      </c>
      <c r="K455" s="20" t="s">
        <v>1646</v>
      </c>
      <c r="L455" s="19" t="s">
        <v>61</v>
      </c>
      <c r="M455" s="19" t="s">
        <v>62</v>
      </c>
      <c r="N455" s="20" t="s">
        <v>63</v>
      </c>
      <c r="O455" s="19">
        <v>21</v>
      </c>
      <c r="P455" s="19">
        <v>3.73</v>
      </c>
      <c r="Q455" s="19">
        <v>1</v>
      </c>
      <c r="R455" s="20">
        <v>7</v>
      </c>
      <c r="S455" s="19">
        <v>6.6000000000000003E-2</v>
      </c>
      <c r="T455" s="19" t="s">
        <v>64</v>
      </c>
      <c r="U455" s="19" t="s">
        <v>65</v>
      </c>
      <c r="V455" s="19" t="s">
        <v>66</v>
      </c>
      <c r="W455" s="19" t="s">
        <v>67</v>
      </c>
      <c r="X455" s="19" t="s">
        <v>68</v>
      </c>
      <c r="Y455" s="21" t="s">
        <v>69</v>
      </c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2"/>
      <c r="AK455" s="22"/>
      <c r="AL455" s="22"/>
      <c r="AM455" s="21" t="s">
        <v>70</v>
      </c>
      <c r="AN455" s="21" t="s">
        <v>70</v>
      </c>
      <c r="AO455" s="21" t="str">
        <f>_xlfn.XLOOKUP(A:A,[1]TAGS!$A:$A,[1]TAGS!$BG:$BG)</f>
        <v>Montado</v>
      </c>
      <c r="AP455" s="21"/>
      <c r="AQ455" s="21"/>
      <c r="AR455" s="21"/>
      <c r="AS455" s="21"/>
      <c r="AT455" s="21"/>
      <c r="AU455" s="21"/>
    </row>
    <row r="456" spans="1:47" x14ac:dyDescent="0.35">
      <c r="A456" s="19" t="s">
        <v>1647</v>
      </c>
      <c r="B456" s="19" t="s">
        <v>52</v>
      </c>
      <c r="C456" s="19"/>
      <c r="D456" s="19" t="s">
        <v>53</v>
      </c>
      <c r="E456" s="19" t="s">
        <v>54</v>
      </c>
      <c r="F456" s="20" t="s">
        <v>1648</v>
      </c>
      <c r="G456" s="20" t="s">
        <v>1649</v>
      </c>
      <c r="H456" s="19" t="s">
        <v>1650</v>
      </c>
      <c r="I456" s="20" t="s">
        <v>58</v>
      </c>
      <c r="J456" s="20" t="s">
        <v>1651</v>
      </c>
      <c r="K456" s="20" t="s">
        <v>1652</v>
      </c>
      <c r="L456" s="19" t="s">
        <v>61</v>
      </c>
      <c r="M456" s="19" t="s">
        <v>62</v>
      </c>
      <c r="N456" s="20" t="s">
        <v>63</v>
      </c>
      <c r="O456" s="19">
        <v>21</v>
      </c>
      <c r="P456" s="19">
        <v>3.73</v>
      </c>
      <c r="Q456" s="19">
        <v>1</v>
      </c>
      <c r="R456" s="20">
        <v>7</v>
      </c>
      <c r="S456" s="19">
        <v>6.6000000000000003E-2</v>
      </c>
      <c r="T456" s="19" t="s">
        <v>64</v>
      </c>
      <c r="U456" s="19" t="s">
        <v>65</v>
      </c>
      <c r="V456" s="19" t="s">
        <v>66</v>
      </c>
      <c r="W456" s="19" t="s">
        <v>67</v>
      </c>
      <c r="X456" s="19" t="s">
        <v>68</v>
      </c>
      <c r="Y456" s="21" t="s">
        <v>69</v>
      </c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2"/>
      <c r="AK456" s="22"/>
      <c r="AL456" s="22"/>
      <c r="AM456" s="21" t="s">
        <v>70</v>
      </c>
      <c r="AN456" s="21" t="s">
        <v>70</v>
      </c>
      <c r="AO456" s="21" t="str">
        <f>_xlfn.XLOOKUP(A:A,[1]TAGS!$A:$A,[1]TAGS!$BG:$BG)</f>
        <v>Montado</v>
      </c>
      <c r="AP456" s="21"/>
      <c r="AQ456" s="21"/>
      <c r="AR456" s="21"/>
      <c r="AS456" s="21"/>
      <c r="AT456" s="21"/>
      <c r="AU456" s="21"/>
    </row>
    <row r="457" spans="1:47" x14ac:dyDescent="0.35">
      <c r="A457" s="19" t="s">
        <v>1653</v>
      </c>
      <c r="B457" s="19" t="s">
        <v>52</v>
      </c>
      <c r="C457" s="19"/>
      <c r="D457" s="19" t="s">
        <v>53</v>
      </c>
      <c r="E457" s="19" t="s">
        <v>54</v>
      </c>
      <c r="F457" s="20" t="s">
        <v>397</v>
      </c>
      <c r="G457" s="20" t="s">
        <v>398</v>
      </c>
      <c r="H457" s="19" t="s">
        <v>1654</v>
      </c>
      <c r="I457" s="20" t="s">
        <v>58</v>
      </c>
      <c r="J457" s="20" t="s">
        <v>400</v>
      </c>
      <c r="K457" s="20" t="s">
        <v>1655</v>
      </c>
      <c r="L457" s="19" t="s">
        <v>61</v>
      </c>
      <c r="M457" s="19" t="s">
        <v>62</v>
      </c>
      <c r="N457" s="20" t="s">
        <v>63</v>
      </c>
      <c r="O457" s="19">
        <v>21</v>
      </c>
      <c r="P457" s="19">
        <v>3.73</v>
      </c>
      <c r="Q457" s="19">
        <v>1</v>
      </c>
      <c r="R457" s="20">
        <v>7</v>
      </c>
      <c r="S457" s="19">
        <v>6.6000000000000003E-2</v>
      </c>
      <c r="T457" s="19" t="s">
        <v>64</v>
      </c>
      <c r="U457" s="19" t="s">
        <v>65</v>
      </c>
      <c r="V457" s="19" t="s">
        <v>66</v>
      </c>
      <c r="W457" s="19" t="s">
        <v>67</v>
      </c>
      <c r="X457" s="19" t="s">
        <v>68</v>
      </c>
      <c r="Y457" s="21" t="s">
        <v>69</v>
      </c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2"/>
      <c r="AK457" s="22"/>
      <c r="AL457" s="22"/>
      <c r="AM457" s="21" t="s">
        <v>70</v>
      </c>
      <c r="AN457" s="21" t="s">
        <v>70</v>
      </c>
      <c r="AO457" s="21" t="str">
        <f>_xlfn.XLOOKUP(A:A,[1]TAGS!$A:$A,[1]TAGS!$BG:$BG)</f>
        <v>Montado</v>
      </c>
      <c r="AP457" s="21"/>
      <c r="AQ457" s="21"/>
      <c r="AR457" s="21"/>
      <c r="AS457" s="21"/>
      <c r="AT457" s="21"/>
      <c r="AU457" s="21"/>
    </row>
    <row r="458" spans="1:47" x14ac:dyDescent="0.35">
      <c r="A458" s="19" t="s">
        <v>1656</v>
      </c>
      <c r="B458" s="19" t="s">
        <v>52</v>
      </c>
      <c r="C458" s="19"/>
      <c r="D458" s="19" t="s">
        <v>53</v>
      </c>
      <c r="E458" s="19" t="s">
        <v>54</v>
      </c>
      <c r="F458" s="20" t="s">
        <v>312</v>
      </c>
      <c r="G458" s="20" t="s">
        <v>313</v>
      </c>
      <c r="H458" s="19" t="s">
        <v>1657</v>
      </c>
      <c r="I458" s="20" t="s">
        <v>58</v>
      </c>
      <c r="J458" s="20" t="s">
        <v>315</v>
      </c>
      <c r="K458" s="20" t="s">
        <v>1658</v>
      </c>
      <c r="L458" s="19" t="s">
        <v>61</v>
      </c>
      <c r="M458" s="19" t="s">
        <v>62</v>
      </c>
      <c r="N458" s="20" t="s">
        <v>63</v>
      </c>
      <c r="O458" s="19">
        <v>21</v>
      </c>
      <c r="P458" s="19">
        <v>3.73</v>
      </c>
      <c r="Q458" s="19">
        <v>1</v>
      </c>
      <c r="R458" s="20">
        <v>7</v>
      </c>
      <c r="S458" s="19">
        <v>6.6000000000000003E-2</v>
      </c>
      <c r="T458" s="19" t="s">
        <v>64</v>
      </c>
      <c r="U458" s="19" t="s">
        <v>65</v>
      </c>
      <c r="V458" s="19" t="s">
        <v>66</v>
      </c>
      <c r="W458" s="19" t="s">
        <v>67</v>
      </c>
      <c r="X458" s="19" t="s">
        <v>68</v>
      </c>
      <c r="Y458" s="21" t="s">
        <v>69</v>
      </c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2"/>
      <c r="AK458" s="22"/>
      <c r="AL458" s="22"/>
      <c r="AM458" s="21" t="s">
        <v>70</v>
      </c>
      <c r="AN458" s="21" t="s">
        <v>70</v>
      </c>
      <c r="AO458" s="21" t="str">
        <f>_xlfn.XLOOKUP(A:A,[1]TAGS!$A:$A,[1]TAGS!$BG:$BG)</f>
        <v>Montado</v>
      </c>
      <c r="AP458" s="21"/>
      <c r="AQ458" s="21"/>
      <c r="AR458" s="21"/>
      <c r="AS458" s="21"/>
      <c r="AT458" s="21"/>
      <c r="AU458" s="21"/>
    </row>
    <row r="459" spans="1:47" x14ac:dyDescent="0.35">
      <c r="A459" s="19" t="s">
        <v>1659</v>
      </c>
      <c r="B459" s="19" t="s">
        <v>52</v>
      </c>
      <c r="C459" s="19"/>
      <c r="D459" s="19" t="s">
        <v>53</v>
      </c>
      <c r="E459" s="19" t="s">
        <v>54</v>
      </c>
      <c r="F459" s="20" t="s">
        <v>385</v>
      </c>
      <c r="G459" s="20" t="s">
        <v>386</v>
      </c>
      <c r="H459" s="19" t="s">
        <v>1660</v>
      </c>
      <c r="I459" s="20" t="s">
        <v>58</v>
      </c>
      <c r="J459" s="20" t="s">
        <v>388</v>
      </c>
      <c r="K459" s="20" t="s">
        <v>1661</v>
      </c>
      <c r="L459" s="19" t="s">
        <v>61</v>
      </c>
      <c r="M459" s="19" t="s">
        <v>62</v>
      </c>
      <c r="N459" s="20" t="s">
        <v>63</v>
      </c>
      <c r="O459" s="19">
        <v>21</v>
      </c>
      <c r="P459" s="19">
        <v>3.73</v>
      </c>
      <c r="Q459" s="19">
        <v>1</v>
      </c>
      <c r="R459" s="20">
        <v>7</v>
      </c>
      <c r="S459" s="19">
        <v>6.6000000000000003E-2</v>
      </c>
      <c r="T459" s="19" t="s">
        <v>64</v>
      </c>
      <c r="U459" s="19" t="s">
        <v>65</v>
      </c>
      <c r="V459" s="19" t="s">
        <v>66</v>
      </c>
      <c r="W459" s="19" t="s">
        <v>67</v>
      </c>
      <c r="X459" s="19" t="s">
        <v>68</v>
      </c>
      <c r="Y459" s="21" t="s">
        <v>69</v>
      </c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2"/>
      <c r="AK459" s="22"/>
      <c r="AL459" s="22"/>
      <c r="AM459" s="21" t="s">
        <v>70</v>
      </c>
      <c r="AN459" s="21" t="s">
        <v>70</v>
      </c>
      <c r="AO459" s="21" t="str">
        <f>_xlfn.XLOOKUP(A:A,[1]TAGS!$A:$A,[1]TAGS!$BG:$BG)</f>
        <v>Montado</v>
      </c>
      <c r="AP459" s="21"/>
      <c r="AQ459" s="21"/>
      <c r="AR459" s="21"/>
      <c r="AS459" s="21"/>
      <c r="AT459" s="21"/>
      <c r="AU459" s="21"/>
    </row>
    <row r="460" spans="1:47" x14ac:dyDescent="0.35">
      <c r="A460" s="19" t="s">
        <v>1662</v>
      </c>
      <c r="B460" s="19" t="s">
        <v>52</v>
      </c>
      <c r="C460" s="19"/>
      <c r="D460" s="19" t="s">
        <v>53</v>
      </c>
      <c r="E460" s="19" t="s">
        <v>54</v>
      </c>
      <c r="F460" s="20" t="s">
        <v>370</v>
      </c>
      <c r="G460" s="20" t="s">
        <v>371</v>
      </c>
      <c r="H460" s="19" t="s">
        <v>1663</v>
      </c>
      <c r="I460" s="20" t="s">
        <v>58</v>
      </c>
      <c r="J460" s="20" t="s">
        <v>373</v>
      </c>
      <c r="K460" s="20" t="s">
        <v>1664</v>
      </c>
      <c r="L460" s="19" t="s">
        <v>61</v>
      </c>
      <c r="M460" s="19" t="s">
        <v>62</v>
      </c>
      <c r="N460" s="20" t="s">
        <v>63</v>
      </c>
      <c r="O460" s="19">
        <v>21</v>
      </c>
      <c r="P460" s="19">
        <v>3.73</v>
      </c>
      <c r="Q460" s="19">
        <v>1</v>
      </c>
      <c r="R460" s="20">
        <v>7</v>
      </c>
      <c r="S460" s="19">
        <v>6.6000000000000003E-2</v>
      </c>
      <c r="T460" s="19" t="s">
        <v>64</v>
      </c>
      <c r="U460" s="19" t="s">
        <v>65</v>
      </c>
      <c r="V460" s="19" t="s">
        <v>66</v>
      </c>
      <c r="W460" s="19" t="s">
        <v>67</v>
      </c>
      <c r="X460" s="19" t="s">
        <v>68</v>
      </c>
      <c r="Y460" s="21" t="s">
        <v>69</v>
      </c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2"/>
      <c r="AK460" s="22"/>
      <c r="AL460" s="22"/>
      <c r="AM460" s="21" t="s">
        <v>70</v>
      </c>
      <c r="AN460" s="21" t="s">
        <v>70</v>
      </c>
      <c r="AO460" s="21" t="str">
        <f>_xlfn.XLOOKUP(A:A,[1]TAGS!$A:$A,[1]TAGS!$BG:$BG)</f>
        <v>Montado</v>
      </c>
      <c r="AP460" s="21"/>
      <c r="AQ460" s="21"/>
      <c r="AR460" s="21"/>
      <c r="AS460" s="21"/>
      <c r="AT460" s="21"/>
      <c r="AU460" s="21"/>
    </row>
    <row r="461" spans="1:47" x14ac:dyDescent="0.35">
      <c r="A461" s="19" t="s">
        <v>1665</v>
      </c>
      <c r="B461" s="19" t="s">
        <v>52</v>
      </c>
      <c r="C461" s="19"/>
      <c r="D461" s="19" t="s">
        <v>53</v>
      </c>
      <c r="E461" s="19" t="s">
        <v>54</v>
      </c>
      <c r="F461" s="20" t="s">
        <v>376</v>
      </c>
      <c r="G461" s="20" t="s">
        <v>377</v>
      </c>
      <c r="H461" s="19" t="s">
        <v>1666</v>
      </c>
      <c r="I461" s="20" t="s">
        <v>58</v>
      </c>
      <c r="J461" s="20" t="s">
        <v>379</v>
      </c>
      <c r="K461" s="20" t="s">
        <v>1667</v>
      </c>
      <c r="L461" s="19" t="s">
        <v>61</v>
      </c>
      <c r="M461" s="19" t="s">
        <v>62</v>
      </c>
      <c r="N461" s="20" t="s">
        <v>63</v>
      </c>
      <c r="O461" s="19">
        <v>21</v>
      </c>
      <c r="P461" s="19">
        <v>3.73</v>
      </c>
      <c r="Q461" s="19">
        <v>1</v>
      </c>
      <c r="R461" s="20">
        <v>7</v>
      </c>
      <c r="S461" s="19">
        <v>6.6000000000000003E-2</v>
      </c>
      <c r="T461" s="19" t="s">
        <v>64</v>
      </c>
      <c r="U461" s="19" t="s">
        <v>65</v>
      </c>
      <c r="V461" s="19" t="s">
        <v>66</v>
      </c>
      <c r="W461" s="19" t="s">
        <v>67</v>
      </c>
      <c r="X461" s="19" t="s">
        <v>68</v>
      </c>
      <c r="Y461" s="21" t="s">
        <v>69</v>
      </c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2"/>
      <c r="AK461" s="22"/>
      <c r="AL461" s="22"/>
      <c r="AM461" s="21" t="s">
        <v>70</v>
      </c>
      <c r="AN461" s="21" t="s">
        <v>70</v>
      </c>
      <c r="AO461" s="21" t="str">
        <f>_xlfn.XLOOKUP(A:A,[1]TAGS!$A:$A,[1]TAGS!$BG:$BG)</f>
        <v>Montado</v>
      </c>
      <c r="AP461" s="21"/>
      <c r="AQ461" s="21"/>
      <c r="AR461" s="21"/>
      <c r="AS461" s="21"/>
      <c r="AT461" s="21"/>
      <c r="AU461" s="21"/>
    </row>
    <row r="462" spans="1:47" x14ac:dyDescent="0.35">
      <c r="A462" s="19" t="s">
        <v>1668</v>
      </c>
      <c r="B462" s="19" t="s">
        <v>52</v>
      </c>
      <c r="C462" s="19"/>
      <c r="D462" s="19" t="s">
        <v>53</v>
      </c>
      <c r="E462" s="19" t="s">
        <v>54</v>
      </c>
      <c r="F462" s="20" t="s">
        <v>403</v>
      </c>
      <c r="G462" s="20" t="s">
        <v>404</v>
      </c>
      <c r="H462" s="19" t="s">
        <v>1669</v>
      </c>
      <c r="I462" s="20" t="s">
        <v>58</v>
      </c>
      <c r="J462" s="20" t="s">
        <v>406</v>
      </c>
      <c r="K462" s="20" t="s">
        <v>1670</v>
      </c>
      <c r="L462" s="19" t="s">
        <v>61</v>
      </c>
      <c r="M462" s="19" t="s">
        <v>62</v>
      </c>
      <c r="N462" s="20" t="s">
        <v>63</v>
      </c>
      <c r="O462" s="19">
        <v>21</v>
      </c>
      <c r="P462" s="19">
        <v>3.73</v>
      </c>
      <c r="Q462" s="19">
        <v>1</v>
      </c>
      <c r="R462" s="20">
        <v>7</v>
      </c>
      <c r="S462" s="19">
        <v>6.6000000000000003E-2</v>
      </c>
      <c r="T462" s="19" t="s">
        <v>64</v>
      </c>
      <c r="U462" s="19" t="s">
        <v>65</v>
      </c>
      <c r="V462" s="19" t="s">
        <v>66</v>
      </c>
      <c r="W462" s="19" t="s">
        <v>67</v>
      </c>
      <c r="X462" s="19" t="s">
        <v>68</v>
      </c>
      <c r="Y462" s="21" t="s">
        <v>69</v>
      </c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2"/>
      <c r="AK462" s="22"/>
      <c r="AL462" s="22"/>
      <c r="AM462" s="21" t="s">
        <v>70</v>
      </c>
      <c r="AN462" s="21" t="s">
        <v>70</v>
      </c>
      <c r="AO462" s="21" t="str">
        <f>_xlfn.XLOOKUP(A:A,[1]TAGS!$A:$A,[1]TAGS!$BG:$BG)</f>
        <v>Montado</v>
      </c>
      <c r="AP462" s="21"/>
      <c r="AQ462" s="21"/>
      <c r="AR462" s="21"/>
      <c r="AS462" s="21"/>
      <c r="AT462" s="21"/>
      <c r="AU462" s="21"/>
    </row>
    <row r="463" spans="1:47" x14ac:dyDescent="0.35">
      <c r="A463" s="19" t="s">
        <v>1671</v>
      </c>
      <c r="B463" s="19" t="s">
        <v>52</v>
      </c>
      <c r="C463" s="19"/>
      <c r="D463" s="19" t="s">
        <v>53</v>
      </c>
      <c r="E463" s="19" t="s">
        <v>54</v>
      </c>
      <c r="F463" s="20" t="s">
        <v>391</v>
      </c>
      <c r="G463" s="20" t="s">
        <v>392</v>
      </c>
      <c r="H463" s="19" t="s">
        <v>1672</v>
      </c>
      <c r="I463" s="20" t="s">
        <v>124</v>
      </c>
      <c r="J463" s="20" t="s">
        <v>394</v>
      </c>
      <c r="K463" s="20" t="s">
        <v>1673</v>
      </c>
      <c r="L463" s="19" t="s">
        <v>61</v>
      </c>
      <c r="M463" s="19" t="s">
        <v>62</v>
      </c>
      <c r="N463" s="20" t="s">
        <v>63</v>
      </c>
      <c r="O463" s="19">
        <v>21</v>
      </c>
      <c r="P463" s="19">
        <v>3.73</v>
      </c>
      <c r="Q463" s="19">
        <v>1</v>
      </c>
      <c r="R463" s="20">
        <v>7</v>
      </c>
      <c r="S463" s="19">
        <v>6.6000000000000003E-2</v>
      </c>
      <c r="T463" s="19" t="s">
        <v>64</v>
      </c>
      <c r="U463" s="19" t="s">
        <v>65</v>
      </c>
      <c r="V463" s="19" t="s">
        <v>66</v>
      </c>
      <c r="W463" s="19" t="s">
        <v>67</v>
      </c>
      <c r="X463" s="19" t="s">
        <v>68</v>
      </c>
      <c r="Y463" s="21" t="s">
        <v>69</v>
      </c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2"/>
      <c r="AK463" s="22"/>
      <c r="AL463" s="22"/>
      <c r="AM463" s="21" t="s">
        <v>70</v>
      </c>
      <c r="AN463" s="21" t="s">
        <v>70</v>
      </c>
      <c r="AO463" s="21" t="str">
        <f>_xlfn.XLOOKUP(A:A,[1]TAGS!$A:$A,[1]TAGS!$BG:$BG)</f>
        <v>Montado</v>
      </c>
      <c r="AP463" s="21"/>
      <c r="AQ463" s="21"/>
      <c r="AR463" s="21"/>
      <c r="AS463" s="21"/>
      <c r="AT463" s="21"/>
      <c r="AU463" s="21"/>
    </row>
    <row r="464" spans="1:47" x14ac:dyDescent="0.35">
      <c r="A464" s="19" t="s">
        <v>1674</v>
      </c>
      <c r="B464" s="19" t="s">
        <v>52</v>
      </c>
      <c r="C464" s="19"/>
      <c r="D464" s="19" t="s">
        <v>53</v>
      </c>
      <c r="E464" s="19" t="s">
        <v>54</v>
      </c>
      <c r="F464" s="20" t="s">
        <v>391</v>
      </c>
      <c r="G464" s="20" t="s">
        <v>392</v>
      </c>
      <c r="H464" s="19" t="s">
        <v>1675</v>
      </c>
      <c r="I464" s="20" t="s">
        <v>124</v>
      </c>
      <c r="J464" s="20" t="s">
        <v>394</v>
      </c>
      <c r="K464" s="20" t="s">
        <v>1676</v>
      </c>
      <c r="L464" s="19" t="s">
        <v>61</v>
      </c>
      <c r="M464" s="19" t="s">
        <v>62</v>
      </c>
      <c r="N464" s="20" t="s">
        <v>63</v>
      </c>
      <c r="O464" s="19">
        <v>21</v>
      </c>
      <c r="P464" s="19">
        <v>3.73</v>
      </c>
      <c r="Q464" s="19">
        <v>1</v>
      </c>
      <c r="R464" s="20">
        <v>7</v>
      </c>
      <c r="S464" s="19">
        <v>6.6000000000000003E-2</v>
      </c>
      <c r="T464" s="19" t="s">
        <v>64</v>
      </c>
      <c r="U464" s="19" t="s">
        <v>65</v>
      </c>
      <c r="V464" s="19" t="s">
        <v>66</v>
      </c>
      <c r="W464" s="19" t="s">
        <v>67</v>
      </c>
      <c r="X464" s="19" t="s">
        <v>68</v>
      </c>
      <c r="Y464" s="21" t="s">
        <v>69</v>
      </c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2"/>
      <c r="AK464" s="22"/>
      <c r="AL464" s="22"/>
      <c r="AM464" s="21" t="s">
        <v>70</v>
      </c>
      <c r="AN464" s="21" t="s">
        <v>70</v>
      </c>
      <c r="AO464" s="21" t="str">
        <f>_xlfn.XLOOKUP(A:A,[1]TAGS!$A:$A,[1]TAGS!$BG:$BG)</f>
        <v>Montado</v>
      </c>
      <c r="AP464" s="21"/>
      <c r="AQ464" s="21"/>
      <c r="AR464" s="21"/>
      <c r="AS464" s="21"/>
      <c r="AT464" s="21"/>
      <c r="AU464" s="21"/>
    </row>
    <row r="465" spans="1:47" x14ac:dyDescent="0.35">
      <c r="A465" s="19" t="s">
        <v>1677</v>
      </c>
      <c r="B465" s="19" t="s">
        <v>52</v>
      </c>
      <c r="C465" s="19"/>
      <c r="D465" s="19" t="s">
        <v>53</v>
      </c>
      <c r="E465" s="19" t="s">
        <v>54</v>
      </c>
      <c r="F465" s="20" t="s">
        <v>816</v>
      </c>
      <c r="G465" s="20" t="s">
        <v>817</v>
      </c>
      <c r="H465" s="19" t="s">
        <v>1678</v>
      </c>
      <c r="I465" s="20" t="s">
        <v>58</v>
      </c>
      <c r="J465" s="20" t="s">
        <v>819</v>
      </c>
      <c r="K465" s="20" t="s">
        <v>1679</v>
      </c>
      <c r="L465" s="19" t="s">
        <v>61</v>
      </c>
      <c r="M465" s="19" t="s">
        <v>62</v>
      </c>
      <c r="N465" s="20" t="s">
        <v>63</v>
      </c>
      <c r="O465" s="19">
        <v>21</v>
      </c>
      <c r="P465" s="19">
        <v>3.73</v>
      </c>
      <c r="Q465" s="19">
        <v>1</v>
      </c>
      <c r="R465" s="20">
        <v>7</v>
      </c>
      <c r="S465" s="19">
        <v>6.6000000000000003E-2</v>
      </c>
      <c r="T465" s="19" t="s">
        <v>64</v>
      </c>
      <c r="U465" s="19" t="s">
        <v>65</v>
      </c>
      <c r="V465" s="19" t="s">
        <v>66</v>
      </c>
      <c r="W465" s="19" t="s">
        <v>67</v>
      </c>
      <c r="X465" s="19" t="s">
        <v>68</v>
      </c>
      <c r="Y465" s="21" t="s">
        <v>69</v>
      </c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2"/>
      <c r="AK465" s="22"/>
      <c r="AL465" s="22"/>
      <c r="AM465" s="21" t="s">
        <v>70</v>
      </c>
      <c r="AN465" s="21" t="s">
        <v>70</v>
      </c>
      <c r="AO465" s="21" t="str">
        <f>_xlfn.XLOOKUP(A:A,[1]TAGS!$A:$A,[1]TAGS!$BG:$BG)</f>
        <v>Montado</v>
      </c>
      <c r="AP465" s="21"/>
      <c r="AQ465" s="21"/>
      <c r="AR465" s="21"/>
      <c r="AS465" s="21"/>
      <c r="AT465" s="21"/>
      <c r="AU465" s="21"/>
    </row>
    <row r="466" spans="1:47" x14ac:dyDescent="0.35">
      <c r="A466" s="19" t="s">
        <v>1680</v>
      </c>
      <c r="B466" s="19" t="s">
        <v>52</v>
      </c>
      <c r="C466" s="19"/>
      <c r="D466" s="19" t="s">
        <v>53</v>
      </c>
      <c r="E466" s="19" t="s">
        <v>54</v>
      </c>
      <c r="F466" s="20" t="s">
        <v>1681</v>
      </c>
      <c r="G466" s="20" t="s">
        <v>1682</v>
      </c>
      <c r="H466" s="19" t="s">
        <v>1683</v>
      </c>
      <c r="I466" s="20" t="s">
        <v>58</v>
      </c>
      <c r="J466" s="20" t="s">
        <v>1684</v>
      </c>
      <c r="K466" s="20" t="s">
        <v>1685</v>
      </c>
      <c r="L466" s="19" t="s">
        <v>61</v>
      </c>
      <c r="M466" s="19" t="s">
        <v>62</v>
      </c>
      <c r="N466" s="20" t="s">
        <v>63</v>
      </c>
      <c r="O466" s="19">
        <v>21</v>
      </c>
      <c r="P466" s="19">
        <v>3.73</v>
      </c>
      <c r="Q466" s="19">
        <v>1</v>
      </c>
      <c r="R466" s="20">
        <v>7</v>
      </c>
      <c r="S466" s="19">
        <v>6.6000000000000003E-2</v>
      </c>
      <c r="T466" s="19" t="s">
        <v>64</v>
      </c>
      <c r="U466" s="19" t="s">
        <v>65</v>
      </c>
      <c r="V466" s="19" t="s">
        <v>66</v>
      </c>
      <c r="W466" s="19" t="s">
        <v>67</v>
      </c>
      <c r="X466" s="19" t="s">
        <v>68</v>
      </c>
      <c r="Y466" s="21" t="s">
        <v>69</v>
      </c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2"/>
      <c r="AK466" s="22"/>
      <c r="AL466" s="22"/>
      <c r="AM466" s="21" t="s">
        <v>70</v>
      </c>
      <c r="AN466" s="21" t="s">
        <v>70</v>
      </c>
      <c r="AO466" s="21" t="str">
        <f>_xlfn.XLOOKUP(A:A,[1]TAGS!$A:$A,[1]TAGS!$BG:$BG)</f>
        <v>Montado</v>
      </c>
      <c r="AP466" s="21"/>
      <c r="AQ466" s="21"/>
      <c r="AR466" s="21"/>
      <c r="AS466" s="21"/>
      <c r="AT466" s="21"/>
      <c r="AU466" s="21"/>
    </row>
    <row r="467" spans="1:47" x14ac:dyDescent="0.35">
      <c r="A467" s="19" t="s">
        <v>1686</v>
      </c>
      <c r="B467" s="19" t="s">
        <v>52</v>
      </c>
      <c r="C467" s="19"/>
      <c r="D467" s="19" t="s">
        <v>53</v>
      </c>
      <c r="E467" s="19" t="s">
        <v>54</v>
      </c>
      <c r="F467" s="20" t="s">
        <v>1687</v>
      </c>
      <c r="G467" s="20" t="s">
        <v>1688</v>
      </c>
      <c r="H467" s="19" t="s">
        <v>1689</v>
      </c>
      <c r="I467" s="20" t="s">
        <v>58</v>
      </c>
      <c r="J467" s="20" t="s">
        <v>1690</v>
      </c>
      <c r="K467" s="20" t="s">
        <v>1691</v>
      </c>
      <c r="L467" s="19" t="s">
        <v>61</v>
      </c>
      <c r="M467" s="19" t="s">
        <v>62</v>
      </c>
      <c r="N467" s="20" t="s">
        <v>63</v>
      </c>
      <c r="O467" s="19">
        <v>21</v>
      </c>
      <c r="P467" s="19">
        <v>3.73</v>
      </c>
      <c r="Q467" s="19">
        <v>1</v>
      </c>
      <c r="R467" s="20">
        <v>7</v>
      </c>
      <c r="S467" s="19">
        <v>6.6000000000000003E-2</v>
      </c>
      <c r="T467" s="19" t="s">
        <v>64</v>
      </c>
      <c r="U467" s="19" t="s">
        <v>65</v>
      </c>
      <c r="V467" s="19" t="s">
        <v>66</v>
      </c>
      <c r="W467" s="19" t="s">
        <v>67</v>
      </c>
      <c r="X467" s="19" t="s">
        <v>68</v>
      </c>
      <c r="Y467" s="21" t="s">
        <v>69</v>
      </c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2"/>
      <c r="AK467" s="22"/>
      <c r="AL467" s="22"/>
      <c r="AM467" s="21" t="s">
        <v>70</v>
      </c>
      <c r="AN467" s="21" t="s">
        <v>70</v>
      </c>
      <c r="AO467" s="21" t="str">
        <f>_xlfn.XLOOKUP(A:A,[1]TAGS!$A:$A,[1]TAGS!$BG:$BG)</f>
        <v>Em programação</v>
      </c>
      <c r="AP467" s="21"/>
      <c r="AQ467" s="21"/>
      <c r="AR467" s="21"/>
      <c r="AS467" s="21"/>
      <c r="AT467" s="21"/>
      <c r="AU467" s="21"/>
    </row>
    <row r="468" spans="1:47" x14ac:dyDescent="0.35">
      <c r="A468" s="19" t="s">
        <v>1692</v>
      </c>
      <c r="B468" s="19" t="s">
        <v>52</v>
      </c>
      <c r="C468" s="19"/>
      <c r="D468" s="19" t="s">
        <v>53</v>
      </c>
      <c r="E468" s="19" t="s">
        <v>54</v>
      </c>
      <c r="F468" s="20" t="s">
        <v>1693</v>
      </c>
      <c r="G468" s="20" t="s">
        <v>1694</v>
      </c>
      <c r="H468" s="19" t="s">
        <v>1695</v>
      </c>
      <c r="I468" s="20" t="s">
        <v>58</v>
      </c>
      <c r="J468" s="20" t="s">
        <v>1696</v>
      </c>
      <c r="K468" s="20" t="s">
        <v>1697</v>
      </c>
      <c r="L468" s="19" t="s">
        <v>61</v>
      </c>
      <c r="M468" s="19" t="s">
        <v>62</v>
      </c>
      <c r="N468" s="20" t="s">
        <v>63</v>
      </c>
      <c r="O468" s="19">
        <v>21</v>
      </c>
      <c r="P468" s="19">
        <v>3.73</v>
      </c>
      <c r="Q468" s="19">
        <v>1</v>
      </c>
      <c r="R468" s="20">
        <v>7</v>
      </c>
      <c r="S468" s="19">
        <v>6.6000000000000003E-2</v>
      </c>
      <c r="T468" s="19" t="s">
        <v>64</v>
      </c>
      <c r="U468" s="19" t="s">
        <v>65</v>
      </c>
      <c r="V468" s="19" t="s">
        <v>66</v>
      </c>
      <c r="W468" s="19" t="s">
        <v>67</v>
      </c>
      <c r="X468" s="19" t="s">
        <v>68</v>
      </c>
      <c r="Y468" s="21" t="s">
        <v>69</v>
      </c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2"/>
      <c r="AK468" s="22"/>
      <c r="AL468" s="22"/>
      <c r="AM468" s="21" t="s">
        <v>70</v>
      </c>
      <c r="AN468" s="21" t="s">
        <v>70</v>
      </c>
      <c r="AO468" s="21" t="str">
        <f>_xlfn.XLOOKUP(A:A,[1]TAGS!$A:$A,[1]TAGS!$BG:$BG)</f>
        <v>Não Montado</v>
      </c>
      <c r="AP468" s="21"/>
      <c r="AQ468" s="21"/>
      <c r="AR468" s="21"/>
      <c r="AS468" s="21"/>
      <c r="AT468" s="21"/>
      <c r="AU468" s="21"/>
    </row>
    <row r="469" spans="1:47" x14ac:dyDescent="0.35">
      <c r="A469" s="19" t="s">
        <v>1698</v>
      </c>
      <c r="B469" s="19" t="s">
        <v>52</v>
      </c>
      <c r="C469" s="19"/>
      <c r="D469" s="19" t="s">
        <v>53</v>
      </c>
      <c r="E469" s="19" t="s">
        <v>54</v>
      </c>
      <c r="F469" s="20" t="s">
        <v>1693</v>
      </c>
      <c r="G469" s="20" t="s">
        <v>1694</v>
      </c>
      <c r="H469" s="19" t="s">
        <v>1699</v>
      </c>
      <c r="I469" s="20" t="s">
        <v>58</v>
      </c>
      <c r="J469" s="20" t="s">
        <v>1696</v>
      </c>
      <c r="K469" s="20" t="s">
        <v>1700</v>
      </c>
      <c r="L469" s="19" t="s">
        <v>61</v>
      </c>
      <c r="M469" s="19" t="s">
        <v>62</v>
      </c>
      <c r="N469" s="20" t="s">
        <v>63</v>
      </c>
      <c r="O469" s="19">
        <v>21</v>
      </c>
      <c r="P469" s="19">
        <v>3.73</v>
      </c>
      <c r="Q469" s="19">
        <v>1</v>
      </c>
      <c r="R469" s="20">
        <v>7</v>
      </c>
      <c r="S469" s="19">
        <v>6.6000000000000003E-2</v>
      </c>
      <c r="T469" s="19" t="s">
        <v>64</v>
      </c>
      <c r="U469" s="19" t="s">
        <v>65</v>
      </c>
      <c r="V469" s="19" t="s">
        <v>66</v>
      </c>
      <c r="W469" s="19" t="s">
        <v>67</v>
      </c>
      <c r="X469" s="19" t="s">
        <v>68</v>
      </c>
      <c r="Y469" s="21" t="s">
        <v>69</v>
      </c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2"/>
      <c r="AK469" s="22"/>
      <c r="AL469" s="22"/>
      <c r="AM469" s="21" t="s">
        <v>70</v>
      </c>
      <c r="AN469" s="21" t="s">
        <v>70</v>
      </c>
      <c r="AO469" s="21" t="str">
        <f>_xlfn.XLOOKUP(A:A,[1]TAGS!$A:$A,[1]TAGS!$BG:$BG)</f>
        <v>Em programação</v>
      </c>
      <c r="AP469" s="21"/>
      <c r="AQ469" s="21"/>
      <c r="AR469" s="21"/>
      <c r="AS469" s="21"/>
      <c r="AT469" s="21"/>
      <c r="AU469" s="21"/>
    </row>
    <row r="470" spans="1:47" x14ac:dyDescent="0.35">
      <c r="A470" s="19" t="s">
        <v>1701</v>
      </c>
      <c r="B470" s="19" t="s">
        <v>52</v>
      </c>
      <c r="C470" s="19"/>
      <c r="D470" s="19" t="s">
        <v>53</v>
      </c>
      <c r="E470" s="19" t="s">
        <v>54</v>
      </c>
      <c r="F470" s="20" t="s">
        <v>1693</v>
      </c>
      <c r="G470" s="20" t="s">
        <v>1694</v>
      </c>
      <c r="H470" s="19" t="s">
        <v>1702</v>
      </c>
      <c r="I470" s="20" t="s">
        <v>58</v>
      </c>
      <c r="J470" s="20" t="s">
        <v>1696</v>
      </c>
      <c r="K470" s="20" t="s">
        <v>1703</v>
      </c>
      <c r="L470" s="19" t="s">
        <v>61</v>
      </c>
      <c r="M470" s="19" t="s">
        <v>62</v>
      </c>
      <c r="N470" s="20" t="s">
        <v>63</v>
      </c>
      <c r="O470" s="19">
        <v>21</v>
      </c>
      <c r="P470" s="19">
        <v>3.73</v>
      </c>
      <c r="Q470" s="19">
        <v>1</v>
      </c>
      <c r="R470" s="20">
        <v>7</v>
      </c>
      <c r="S470" s="19">
        <v>6.6000000000000003E-2</v>
      </c>
      <c r="T470" s="19" t="s">
        <v>64</v>
      </c>
      <c r="U470" s="19" t="s">
        <v>65</v>
      </c>
      <c r="V470" s="19" t="s">
        <v>66</v>
      </c>
      <c r="W470" s="19" t="s">
        <v>67</v>
      </c>
      <c r="X470" s="19" t="s">
        <v>68</v>
      </c>
      <c r="Y470" s="21" t="s">
        <v>69</v>
      </c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2"/>
      <c r="AK470" s="22"/>
      <c r="AL470" s="22"/>
      <c r="AM470" s="21" t="s">
        <v>70</v>
      </c>
      <c r="AN470" s="21" t="s">
        <v>70</v>
      </c>
      <c r="AO470" s="21" t="str">
        <f>_xlfn.XLOOKUP(A:A,[1]TAGS!$A:$A,[1]TAGS!$BG:$BG)</f>
        <v>Não Montado</v>
      </c>
      <c r="AP470" s="21"/>
      <c r="AQ470" s="21"/>
      <c r="AR470" s="21"/>
      <c r="AS470" s="21"/>
      <c r="AT470" s="21"/>
      <c r="AU470" s="21"/>
    </row>
    <row r="471" spans="1:47" x14ac:dyDescent="0.35">
      <c r="A471" s="19" t="s">
        <v>1704</v>
      </c>
      <c r="B471" s="19" t="s">
        <v>52</v>
      </c>
      <c r="C471" s="19"/>
      <c r="D471" s="19" t="s">
        <v>53</v>
      </c>
      <c r="E471" s="19" t="s">
        <v>54</v>
      </c>
      <c r="F471" s="20" t="s">
        <v>1693</v>
      </c>
      <c r="G471" s="20" t="s">
        <v>1694</v>
      </c>
      <c r="H471" s="19" t="s">
        <v>1705</v>
      </c>
      <c r="I471" s="20" t="s">
        <v>58</v>
      </c>
      <c r="J471" s="20" t="s">
        <v>1696</v>
      </c>
      <c r="K471" s="20" t="s">
        <v>1706</v>
      </c>
      <c r="L471" s="19" t="s">
        <v>61</v>
      </c>
      <c r="M471" s="19" t="s">
        <v>62</v>
      </c>
      <c r="N471" s="20" t="s">
        <v>63</v>
      </c>
      <c r="O471" s="19">
        <v>21</v>
      </c>
      <c r="P471" s="19">
        <v>3.73</v>
      </c>
      <c r="Q471" s="19">
        <v>1</v>
      </c>
      <c r="R471" s="20">
        <v>7</v>
      </c>
      <c r="S471" s="19">
        <v>6.6000000000000003E-2</v>
      </c>
      <c r="T471" s="19" t="s">
        <v>64</v>
      </c>
      <c r="U471" s="19" t="s">
        <v>65</v>
      </c>
      <c r="V471" s="19" t="s">
        <v>66</v>
      </c>
      <c r="W471" s="19" t="s">
        <v>67</v>
      </c>
      <c r="X471" s="19" t="s">
        <v>68</v>
      </c>
      <c r="Y471" s="21" t="s">
        <v>69</v>
      </c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2"/>
      <c r="AK471" s="22"/>
      <c r="AL471" s="22"/>
      <c r="AM471" s="21" t="s">
        <v>70</v>
      </c>
      <c r="AN471" s="21" t="s">
        <v>70</v>
      </c>
      <c r="AO471" s="21" t="str">
        <f>_xlfn.XLOOKUP(A:A,[1]TAGS!$A:$A,[1]TAGS!$BG:$BG)</f>
        <v>Não Montado</v>
      </c>
      <c r="AP471" s="21"/>
      <c r="AQ471" s="21"/>
      <c r="AR471" s="21"/>
      <c r="AS471" s="21"/>
      <c r="AT471" s="21"/>
      <c r="AU471" s="21"/>
    </row>
    <row r="472" spans="1:47" x14ac:dyDescent="0.35">
      <c r="A472" s="19" t="s">
        <v>1707</v>
      </c>
      <c r="B472" s="19" t="s">
        <v>52</v>
      </c>
      <c r="C472" s="19"/>
      <c r="D472" s="19" t="s">
        <v>53</v>
      </c>
      <c r="E472" s="19" t="s">
        <v>54</v>
      </c>
      <c r="F472" s="20" t="s">
        <v>1693</v>
      </c>
      <c r="G472" s="20" t="s">
        <v>1694</v>
      </c>
      <c r="H472" s="19" t="s">
        <v>1708</v>
      </c>
      <c r="I472" s="20" t="s">
        <v>58</v>
      </c>
      <c r="J472" s="20" t="s">
        <v>1696</v>
      </c>
      <c r="K472" s="20" t="s">
        <v>1709</v>
      </c>
      <c r="L472" s="19" t="s">
        <v>61</v>
      </c>
      <c r="M472" s="19" t="s">
        <v>62</v>
      </c>
      <c r="N472" s="20" t="s">
        <v>63</v>
      </c>
      <c r="O472" s="19">
        <v>21</v>
      </c>
      <c r="P472" s="19">
        <v>3.73</v>
      </c>
      <c r="Q472" s="19">
        <v>1</v>
      </c>
      <c r="R472" s="20">
        <v>7</v>
      </c>
      <c r="S472" s="19">
        <v>6.6000000000000003E-2</v>
      </c>
      <c r="T472" s="19" t="s">
        <v>64</v>
      </c>
      <c r="U472" s="19" t="s">
        <v>65</v>
      </c>
      <c r="V472" s="19" t="s">
        <v>66</v>
      </c>
      <c r="W472" s="19" t="s">
        <v>67</v>
      </c>
      <c r="X472" s="19" t="s">
        <v>68</v>
      </c>
      <c r="Y472" s="21" t="s">
        <v>69</v>
      </c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2"/>
      <c r="AK472" s="22"/>
      <c r="AL472" s="22"/>
      <c r="AM472" s="21" t="s">
        <v>70</v>
      </c>
      <c r="AN472" s="21" t="s">
        <v>70</v>
      </c>
      <c r="AO472" s="21" t="str">
        <f>_xlfn.XLOOKUP(A:A,[1]TAGS!$A:$A,[1]TAGS!$BG:$BG)</f>
        <v>Não Montado</v>
      </c>
      <c r="AP472" s="21"/>
      <c r="AQ472" s="21"/>
      <c r="AR472" s="21"/>
      <c r="AS472" s="21"/>
      <c r="AT472" s="21"/>
      <c r="AU472" s="21"/>
    </row>
    <row r="473" spans="1:47" x14ac:dyDescent="0.35">
      <c r="A473" s="19" t="s">
        <v>1710</v>
      </c>
      <c r="B473" s="19" t="s">
        <v>52</v>
      </c>
      <c r="C473" s="19"/>
      <c r="D473" s="19" t="s">
        <v>53</v>
      </c>
      <c r="E473" s="19" t="s">
        <v>54</v>
      </c>
      <c r="F473" s="20" t="s">
        <v>55</v>
      </c>
      <c r="G473" s="20" t="s">
        <v>56</v>
      </c>
      <c r="H473" s="19" t="s">
        <v>1711</v>
      </c>
      <c r="I473" s="20" t="s">
        <v>58</v>
      </c>
      <c r="J473" s="20" t="s">
        <v>59</v>
      </c>
      <c r="K473" s="20" t="s">
        <v>1712</v>
      </c>
      <c r="L473" s="19" t="s">
        <v>61</v>
      </c>
      <c r="M473" s="19" t="s">
        <v>62</v>
      </c>
      <c r="N473" s="20" t="s">
        <v>63</v>
      </c>
      <c r="O473" s="19">
        <v>21</v>
      </c>
      <c r="P473" s="19">
        <v>3.73</v>
      </c>
      <c r="Q473" s="19">
        <v>1</v>
      </c>
      <c r="R473" s="20">
        <v>7</v>
      </c>
      <c r="S473" s="19">
        <v>6.6000000000000003E-2</v>
      </c>
      <c r="T473" s="19" t="s">
        <v>64</v>
      </c>
      <c r="U473" s="19" t="s">
        <v>65</v>
      </c>
      <c r="V473" s="19" t="s">
        <v>66</v>
      </c>
      <c r="W473" s="19" t="s">
        <v>67</v>
      </c>
      <c r="X473" s="19" t="s">
        <v>68</v>
      </c>
      <c r="Y473" s="21" t="s">
        <v>69</v>
      </c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2"/>
      <c r="AK473" s="22"/>
      <c r="AL473" s="22"/>
      <c r="AM473" s="21" t="s">
        <v>70</v>
      </c>
      <c r="AN473" s="21" t="s">
        <v>70</v>
      </c>
      <c r="AO473" s="21" t="str">
        <f>_xlfn.XLOOKUP(A:A,[1]TAGS!$A:$A,[1]TAGS!$BG:$BG)</f>
        <v>Montado</v>
      </c>
      <c r="AP473" s="21"/>
      <c r="AQ473" s="21"/>
      <c r="AR473" s="21"/>
      <c r="AS473" s="21"/>
      <c r="AT473" s="21"/>
      <c r="AU473" s="21"/>
    </row>
    <row r="474" spans="1:47" x14ac:dyDescent="0.35">
      <c r="A474" s="19" t="s">
        <v>1713</v>
      </c>
      <c r="B474" s="19" t="s">
        <v>52</v>
      </c>
      <c r="C474" s="19"/>
      <c r="D474" s="19" t="s">
        <v>53</v>
      </c>
      <c r="E474" s="19" t="s">
        <v>54</v>
      </c>
      <c r="F474" s="20" t="s">
        <v>55</v>
      </c>
      <c r="G474" s="20" t="s">
        <v>56</v>
      </c>
      <c r="H474" s="19" t="s">
        <v>1714</v>
      </c>
      <c r="I474" s="20" t="s">
        <v>58</v>
      </c>
      <c r="J474" s="20" t="s">
        <v>59</v>
      </c>
      <c r="K474" s="20" t="s">
        <v>1715</v>
      </c>
      <c r="L474" s="19" t="s">
        <v>61</v>
      </c>
      <c r="M474" s="19" t="s">
        <v>62</v>
      </c>
      <c r="N474" s="20" t="s">
        <v>63</v>
      </c>
      <c r="O474" s="19">
        <v>21</v>
      </c>
      <c r="P474" s="19">
        <v>3.73</v>
      </c>
      <c r="Q474" s="19">
        <v>1</v>
      </c>
      <c r="R474" s="20">
        <v>7</v>
      </c>
      <c r="S474" s="19">
        <v>6.6000000000000003E-2</v>
      </c>
      <c r="T474" s="19" t="s">
        <v>64</v>
      </c>
      <c r="U474" s="19" t="s">
        <v>65</v>
      </c>
      <c r="V474" s="19" t="s">
        <v>66</v>
      </c>
      <c r="W474" s="19" t="s">
        <v>67</v>
      </c>
      <c r="X474" s="19" t="s">
        <v>68</v>
      </c>
      <c r="Y474" s="21" t="s">
        <v>69</v>
      </c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2"/>
      <c r="AK474" s="22"/>
      <c r="AL474" s="22"/>
      <c r="AM474" s="21" t="s">
        <v>70</v>
      </c>
      <c r="AN474" s="21" t="s">
        <v>70</v>
      </c>
      <c r="AO474" s="21" t="str">
        <f>_xlfn.XLOOKUP(A:A,[1]TAGS!$A:$A,[1]TAGS!$BG:$BG)</f>
        <v>Não Montado</v>
      </c>
      <c r="AP474" s="21"/>
      <c r="AQ474" s="21"/>
      <c r="AR474" s="21"/>
      <c r="AS474" s="21"/>
      <c r="AT474" s="21"/>
      <c r="AU474" s="21"/>
    </row>
    <row r="475" spans="1:47" x14ac:dyDescent="0.35">
      <c r="A475" s="19" t="s">
        <v>1716</v>
      </c>
      <c r="B475" s="19" t="s">
        <v>52</v>
      </c>
      <c r="C475" s="19"/>
      <c r="D475" s="19" t="s">
        <v>53</v>
      </c>
      <c r="E475" s="19" t="s">
        <v>54</v>
      </c>
      <c r="F475" s="20" t="s">
        <v>55</v>
      </c>
      <c r="G475" s="20" t="s">
        <v>56</v>
      </c>
      <c r="H475" s="19" t="s">
        <v>1717</v>
      </c>
      <c r="I475" s="20" t="s">
        <v>58</v>
      </c>
      <c r="J475" s="20" t="s">
        <v>59</v>
      </c>
      <c r="K475" s="20" t="s">
        <v>1718</v>
      </c>
      <c r="L475" s="19" t="s">
        <v>61</v>
      </c>
      <c r="M475" s="19" t="s">
        <v>62</v>
      </c>
      <c r="N475" s="20" t="s">
        <v>63</v>
      </c>
      <c r="O475" s="19">
        <v>21</v>
      </c>
      <c r="P475" s="19">
        <v>3.73</v>
      </c>
      <c r="Q475" s="19">
        <v>1</v>
      </c>
      <c r="R475" s="20">
        <v>7</v>
      </c>
      <c r="S475" s="19">
        <v>6.6000000000000003E-2</v>
      </c>
      <c r="T475" s="19" t="s">
        <v>64</v>
      </c>
      <c r="U475" s="19" t="s">
        <v>65</v>
      </c>
      <c r="V475" s="19" t="s">
        <v>66</v>
      </c>
      <c r="W475" s="19" t="s">
        <v>67</v>
      </c>
      <c r="X475" s="19" t="s">
        <v>68</v>
      </c>
      <c r="Y475" s="21" t="s">
        <v>69</v>
      </c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2"/>
      <c r="AK475" s="22"/>
      <c r="AL475" s="22"/>
      <c r="AM475" s="21" t="s">
        <v>70</v>
      </c>
      <c r="AN475" s="21" t="s">
        <v>70</v>
      </c>
      <c r="AO475" s="21" t="str">
        <f>_xlfn.XLOOKUP(A:A,[1]TAGS!$A:$A,[1]TAGS!$BG:$BG)</f>
        <v>Não Montado</v>
      </c>
      <c r="AP475" s="21"/>
      <c r="AQ475" s="21"/>
      <c r="AR475" s="21"/>
      <c r="AS475" s="21"/>
      <c r="AT475" s="21"/>
      <c r="AU475" s="21"/>
    </row>
    <row r="476" spans="1:47" x14ac:dyDescent="0.35">
      <c r="A476" s="19" t="s">
        <v>1719</v>
      </c>
      <c r="B476" s="19" t="s">
        <v>52</v>
      </c>
      <c r="C476" s="19"/>
      <c r="D476" s="19" t="s">
        <v>53</v>
      </c>
      <c r="E476" s="19" t="s">
        <v>54</v>
      </c>
      <c r="F476" s="20" t="s">
        <v>55</v>
      </c>
      <c r="G476" s="20" t="s">
        <v>56</v>
      </c>
      <c r="H476" s="19" t="s">
        <v>1720</v>
      </c>
      <c r="I476" s="20" t="s">
        <v>58</v>
      </c>
      <c r="J476" s="20" t="s">
        <v>59</v>
      </c>
      <c r="K476" s="20" t="s">
        <v>1721</v>
      </c>
      <c r="L476" s="19" t="s">
        <v>61</v>
      </c>
      <c r="M476" s="19" t="s">
        <v>62</v>
      </c>
      <c r="N476" s="20" t="s">
        <v>63</v>
      </c>
      <c r="O476" s="19">
        <v>21</v>
      </c>
      <c r="P476" s="19">
        <v>3.73</v>
      </c>
      <c r="Q476" s="19">
        <v>1</v>
      </c>
      <c r="R476" s="20">
        <v>7</v>
      </c>
      <c r="S476" s="19">
        <v>6.6000000000000003E-2</v>
      </c>
      <c r="T476" s="19" t="s">
        <v>64</v>
      </c>
      <c r="U476" s="19" t="s">
        <v>65</v>
      </c>
      <c r="V476" s="19" t="s">
        <v>66</v>
      </c>
      <c r="W476" s="19" t="s">
        <v>67</v>
      </c>
      <c r="X476" s="19" t="s">
        <v>68</v>
      </c>
      <c r="Y476" s="21" t="s">
        <v>69</v>
      </c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2"/>
      <c r="AK476" s="22"/>
      <c r="AL476" s="22"/>
      <c r="AM476" s="21" t="s">
        <v>70</v>
      </c>
      <c r="AN476" s="21" t="s">
        <v>70</v>
      </c>
      <c r="AO476" s="21" t="str">
        <f>_xlfn.XLOOKUP(A:A,[1]TAGS!$A:$A,[1]TAGS!$BG:$BG)</f>
        <v>Não Montado</v>
      </c>
      <c r="AP476" s="21"/>
      <c r="AQ476" s="21"/>
      <c r="AR476" s="21"/>
      <c r="AS476" s="21"/>
      <c r="AT476" s="21"/>
      <c r="AU476" s="21"/>
    </row>
    <row r="477" spans="1:47" x14ac:dyDescent="0.35">
      <c r="A477" s="19" t="s">
        <v>1722</v>
      </c>
      <c r="B477" s="19" t="s">
        <v>52</v>
      </c>
      <c r="C477" s="19"/>
      <c r="D477" s="19" t="s">
        <v>53</v>
      </c>
      <c r="E477" s="19" t="s">
        <v>54</v>
      </c>
      <c r="F477" s="20" t="s">
        <v>55</v>
      </c>
      <c r="G477" s="20" t="s">
        <v>56</v>
      </c>
      <c r="H477" s="19" t="s">
        <v>1723</v>
      </c>
      <c r="I477" s="20" t="s">
        <v>58</v>
      </c>
      <c r="J477" s="20" t="s">
        <v>59</v>
      </c>
      <c r="K477" s="20" t="s">
        <v>1724</v>
      </c>
      <c r="L477" s="19" t="s">
        <v>61</v>
      </c>
      <c r="M477" s="19" t="s">
        <v>62</v>
      </c>
      <c r="N477" s="20" t="s">
        <v>63</v>
      </c>
      <c r="O477" s="19">
        <v>21</v>
      </c>
      <c r="P477" s="19">
        <v>3.73</v>
      </c>
      <c r="Q477" s="19">
        <v>1</v>
      </c>
      <c r="R477" s="20">
        <v>7</v>
      </c>
      <c r="S477" s="19">
        <v>6.6000000000000003E-2</v>
      </c>
      <c r="T477" s="19" t="s">
        <v>64</v>
      </c>
      <c r="U477" s="19" t="s">
        <v>65</v>
      </c>
      <c r="V477" s="19" t="s">
        <v>66</v>
      </c>
      <c r="W477" s="19" t="s">
        <v>67</v>
      </c>
      <c r="X477" s="19" t="s">
        <v>68</v>
      </c>
      <c r="Y477" s="21" t="s">
        <v>69</v>
      </c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2"/>
      <c r="AK477" s="22"/>
      <c r="AL477" s="22"/>
      <c r="AM477" s="21" t="s">
        <v>70</v>
      </c>
      <c r="AN477" s="21" t="s">
        <v>70</v>
      </c>
      <c r="AO477" s="21" t="str">
        <f>_xlfn.XLOOKUP(A:A,[1]TAGS!$A:$A,[1]TAGS!$BG:$BG)</f>
        <v>Montado</v>
      </c>
      <c r="AP477" s="21"/>
      <c r="AQ477" s="21"/>
      <c r="AR477" s="21"/>
      <c r="AS477" s="21"/>
      <c r="AT477" s="21"/>
      <c r="AU477" s="21"/>
    </row>
    <row r="478" spans="1:47" x14ac:dyDescent="0.35">
      <c r="A478" s="19" t="s">
        <v>1725</v>
      </c>
      <c r="B478" s="19" t="s">
        <v>52</v>
      </c>
      <c r="C478" s="19"/>
      <c r="D478" s="19" t="s">
        <v>53</v>
      </c>
      <c r="E478" s="19" t="s">
        <v>54</v>
      </c>
      <c r="F478" s="20" t="s">
        <v>55</v>
      </c>
      <c r="G478" s="20" t="s">
        <v>56</v>
      </c>
      <c r="H478" s="19" t="s">
        <v>1726</v>
      </c>
      <c r="I478" s="20" t="s">
        <v>58</v>
      </c>
      <c r="J478" s="20" t="s">
        <v>59</v>
      </c>
      <c r="K478" s="20" t="s">
        <v>1727</v>
      </c>
      <c r="L478" s="19" t="s">
        <v>61</v>
      </c>
      <c r="M478" s="19" t="s">
        <v>62</v>
      </c>
      <c r="N478" s="20" t="s">
        <v>63</v>
      </c>
      <c r="O478" s="19">
        <v>21</v>
      </c>
      <c r="P478" s="19">
        <v>3.73</v>
      </c>
      <c r="Q478" s="19">
        <v>1</v>
      </c>
      <c r="R478" s="20">
        <v>7</v>
      </c>
      <c r="S478" s="19">
        <v>6.6000000000000003E-2</v>
      </c>
      <c r="T478" s="19" t="s">
        <v>64</v>
      </c>
      <c r="U478" s="19" t="s">
        <v>65</v>
      </c>
      <c r="V478" s="19" t="s">
        <v>66</v>
      </c>
      <c r="W478" s="19" t="s">
        <v>67</v>
      </c>
      <c r="X478" s="19" t="s">
        <v>68</v>
      </c>
      <c r="Y478" s="21" t="s">
        <v>69</v>
      </c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2"/>
      <c r="AK478" s="22"/>
      <c r="AL478" s="22"/>
      <c r="AM478" s="21" t="s">
        <v>70</v>
      </c>
      <c r="AN478" s="21" t="s">
        <v>70</v>
      </c>
      <c r="AO478" s="21" t="str">
        <f>_xlfn.XLOOKUP(A:A,[1]TAGS!$A:$A,[1]TAGS!$BG:$BG)</f>
        <v>Programar</v>
      </c>
      <c r="AP478" s="21"/>
      <c r="AQ478" s="21"/>
      <c r="AR478" s="21"/>
      <c r="AS478" s="21"/>
      <c r="AT478" s="21"/>
      <c r="AU478" s="21"/>
    </row>
    <row r="479" spans="1:47" x14ac:dyDescent="0.35">
      <c r="A479" s="19" t="s">
        <v>1728</v>
      </c>
      <c r="B479" s="19" t="s">
        <v>52</v>
      </c>
      <c r="C479" s="19"/>
      <c r="D479" s="19" t="s">
        <v>53</v>
      </c>
      <c r="E479" s="19" t="s">
        <v>54</v>
      </c>
      <c r="F479" s="20" t="s">
        <v>55</v>
      </c>
      <c r="G479" s="20" t="s">
        <v>56</v>
      </c>
      <c r="H479" s="19" t="s">
        <v>1729</v>
      </c>
      <c r="I479" s="20" t="s">
        <v>58</v>
      </c>
      <c r="J479" s="20" t="s">
        <v>59</v>
      </c>
      <c r="K479" s="20" t="s">
        <v>1730</v>
      </c>
      <c r="L479" s="19" t="s">
        <v>61</v>
      </c>
      <c r="M479" s="19" t="s">
        <v>62</v>
      </c>
      <c r="N479" s="20" t="s">
        <v>63</v>
      </c>
      <c r="O479" s="19">
        <v>21</v>
      </c>
      <c r="P479" s="19">
        <v>3.73</v>
      </c>
      <c r="Q479" s="19">
        <v>1</v>
      </c>
      <c r="R479" s="20">
        <v>7</v>
      </c>
      <c r="S479" s="19">
        <v>6.6000000000000003E-2</v>
      </c>
      <c r="T479" s="19" t="s">
        <v>64</v>
      </c>
      <c r="U479" s="19" t="s">
        <v>65</v>
      </c>
      <c r="V479" s="19" t="s">
        <v>66</v>
      </c>
      <c r="W479" s="19" t="s">
        <v>67</v>
      </c>
      <c r="X479" s="19" t="s">
        <v>68</v>
      </c>
      <c r="Y479" s="21" t="s">
        <v>69</v>
      </c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2"/>
      <c r="AK479" s="22"/>
      <c r="AL479" s="22"/>
      <c r="AM479" s="21" t="s">
        <v>70</v>
      </c>
      <c r="AN479" s="21" t="s">
        <v>70</v>
      </c>
      <c r="AO479" s="21" t="str">
        <f>_xlfn.XLOOKUP(A:A,[1]TAGS!$A:$A,[1]TAGS!$BG:$BG)</f>
        <v>Não Montado</v>
      </c>
      <c r="AP479" s="21"/>
      <c r="AQ479" s="21"/>
      <c r="AR479" s="21"/>
      <c r="AS479" s="21"/>
      <c r="AT479" s="21"/>
      <c r="AU479" s="21"/>
    </row>
    <row r="480" spans="1:47" x14ac:dyDescent="0.35">
      <c r="A480" s="19" t="s">
        <v>1731</v>
      </c>
      <c r="B480" s="19" t="s">
        <v>52</v>
      </c>
      <c r="C480" s="19"/>
      <c r="D480" s="19" t="s">
        <v>53</v>
      </c>
      <c r="E480" s="19" t="s">
        <v>54</v>
      </c>
      <c r="F480" s="20" t="s">
        <v>55</v>
      </c>
      <c r="G480" s="20" t="s">
        <v>56</v>
      </c>
      <c r="H480" s="19" t="s">
        <v>1732</v>
      </c>
      <c r="I480" s="20" t="s">
        <v>58</v>
      </c>
      <c r="J480" s="20" t="s">
        <v>59</v>
      </c>
      <c r="K480" s="20" t="s">
        <v>1733</v>
      </c>
      <c r="L480" s="19" t="s">
        <v>61</v>
      </c>
      <c r="M480" s="19" t="s">
        <v>62</v>
      </c>
      <c r="N480" s="20" t="s">
        <v>63</v>
      </c>
      <c r="O480" s="19">
        <v>21</v>
      </c>
      <c r="P480" s="19">
        <v>3.73</v>
      </c>
      <c r="Q480" s="19">
        <v>1</v>
      </c>
      <c r="R480" s="20">
        <v>7</v>
      </c>
      <c r="S480" s="19">
        <v>6.6000000000000003E-2</v>
      </c>
      <c r="T480" s="19" t="s">
        <v>64</v>
      </c>
      <c r="U480" s="19" t="s">
        <v>65</v>
      </c>
      <c r="V480" s="19" t="s">
        <v>66</v>
      </c>
      <c r="W480" s="19" t="s">
        <v>67</v>
      </c>
      <c r="X480" s="19" t="s">
        <v>68</v>
      </c>
      <c r="Y480" s="21" t="s">
        <v>69</v>
      </c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2"/>
      <c r="AK480" s="22"/>
      <c r="AL480" s="22"/>
      <c r="AM480" s="21" t="s">
        <v>70</v>
      </c>
      <c r="AN480" s="21" t="s">
        <v>70</v>
      </c>
      <c r="AO480" s="21" t="str">
        <f>_xlfn.XLOOKUP(A:A,[1]TAGS!$A:$A,[1]TAGS!$BG:$BG)</f>
        <v>Não Montado</v>
      </c>
      <c r="AP480" s="21"/>
      <c r="AQ480" s="21"/>
      <c r="AR480" s="21"/>
      <c r="AS480" s="21"/>
      <c r="AT480" s="21"/>
      <c r="AU480" s="21"/>
    </row>
    <row r="481" spans="1:47" x14ac:dyDescent="0.35">
      <c r="A481" s="19" t="s">
        <v>1734</v>
      </c>
      <c r="B481" s="19" t="s">
        <v>52</v>
      </c>
      <c r="C481" s="19"/>
      <c r="D481" s="19" t="s">
        <v>53</v>
      </c>
      <c r="E481" s="19" t="s">
        <v>54</v>
      </c>
      <c r="F481" s="20" t="s">
        <v>55</v>
      </c>
      <c r="G481" s="20" t="s">
        <v>56</v>
      </c>
      <c r="H481" s="19" t="s">
        <v>1735</v>
      </c>
      <c r="I481" s="20" t="s">
        <v>58</v>
      </c>
      <c r="J481" s="20" t="s">
        <v>59</v>
      </c>
      <c r="K481" s="20" t="s">
        <v>1736</v>
      </c>
      <c r="L481" s="19" t="s">
        <v>61</v>
      </c>
      <c r="M481" s="19" t="s">
        <v>62</v>
      </c>
      <c r="N481" s="20" t="s">
        <v>63</v>
      </c>
      <c r="O481" s="19">
        <v>21</v>
      </c>
      <c r="P481" s="19">
        <v>3.73</v>
      </c>
      <c r="Q481" s="19">
        <v>1</v>
      </c>
      <c r="R481" s="20">
        <v>7</v>
      </c>
      <c r="S481" s="19">
        <v>6.6000000000000003E-2</v>
      </c>
      <c r="T481" s="19" t="s">
        <v>64</v>
      </c>
      <c r="U481" s="19" t="s">
        <v>65</v>
      </c>
      <c r="V481" s="19" t="s">
        <v>66</v>
      </c>
      <c r="W481" s="19" t="s">
        <v>67</v>
      </c>
      <c r="X481" s="19" t="s">
        <v>68</v>
      </c>
      <c r="Y481" s="21" t="s">
        <v>69</v>
      </c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2"/>
      <c r="AK481" s="22"/>
      <c r="AL481" s="22"/>
      <c r="AM481" s="21" t="s">
        <v>70</v>
      </c>
      <c r="AN481" s="21" t="s">
        <v>70</v>
      </c>
      <c r="AO481" s="21" t="str">
        <f>_xlfn.XLOOKUP(A:A,[1]TAGS!$A:$A,[1]TAGS!$BG:$BG)</f>
        <v>Não Montado</v>
      </c>
      <c r="AP481" s="21"/>
      <c r="AQ481" s="21"/>
      <c r="AR481" s="21"/>
      <c r="AS481" s="21"/>
      <c r="AT481" s="21"/>
      <c r="AU481" s="21"/>
    </row>
    <row r="482" spans="1:47" x14ac:dyDescent="0.35">
      <c r="A482" s="19" t="s">
        <v>1737</v>
      </c>
      <c r="B482" s="19" t="s">
        <v>52</v>
      </c>
      <c r="C482" s="19"/>
      <c r="D482" s="19" t="s">
        <v>53</v>
      </c>
      <c r="E482" s="19" t="s">
        <v>54</v>
      </c>
      <c r="F482" s="20" t="s">
        <v>55</v>
      </c>
      <c r="G482" s="20" t="s">
        <v>56</v>
      </c>
      <c r="H482" s="19" t="s">
        <v>1738</v>
      </c>
      <c r="I482" s="20" t="s">
        <v>58</v>
      </c>
      <c r="J482" s="20" t="s">
        <v>59</v>
      </c>
      <c r="K482" s="20" t="s">
        <v>1739</v>
      </c>
      <c r="L482" s="19" t="s">
        <v>61</v>
      </c>
      <c r="M482" s="19" t="s">
        <v>62</v>
      </c>
      <c r="N482" s="20" t="s">
        <v>63</v>
      </c>
      <c r="O482" s="19">
        <v>21</v>
      </c>
      <c r="P482" s="19">
        <v>3.73</v>
      </c>
      <c r="Q482" s="19">
        <v>1</v>
      </c>
      <c r="R482" s="20">
        <v>7</v>
      </c>
      <c r="S482" s="19">
        <v>6.6000000000000003E-2</v>
      </c>
      <c r="T482" s="19" t="s">
        <v>64</v>
      </c>
      <c r="U482" s="19" t="s">
        <v>65</v>
      </c>
      <c r="V482" s="19" t="s">
        <v>66</v>
      </c>
      <c r="W482" s="19" t="s">
        <v>67</v>
      </c>
      <c r="X482" s="19" t="s">
        <v>68</v>
      </c>
      <c r="Y482" s="21" t="s">
        <v>69</v>
      </c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2"/>
      <c r="AK482" s="22"/>
      <c r="AL482" s="22"/>
      <c r="AM482" s="21" t="s">
        <v>70</v>
      </c>
      <c r="AN482" s="21" t="s">
        <v>70</v>
      </c>
      <c r="AO482" s="21" t="str">
        <f>_xlfn.XLOOKUP(A:A,[1]TAGS!$A:$A,[1]TAGS!$BG:$BG)</f>
        <v>Não Montado</v>
      </c>
      <c r="AP482" s="21"/>
      <c r="AQ482" s="21"/>
      <c r="AR482" s="21"/>
      <c r="AS482" s="21"/>
      <c r="AT482" s="21"/>
      <c r="AU482" s="21"/>
    </row>
    <row r="483" spans="1:47" x14ac:dyDescent="0.35">
      <c r="A483" s="19" t="s">
        <v>1740</v>
      </c>
      <c r="B483" s="19" t="s">
        <v>52</v>
      </c>
      <c r="C483" s="19"/>
      <c r="D483" s="19" t="s">
        <v>53</v>
      </c>
      <c r="E483" s="19" t="s">
        <v>54</v>
      </c>
      <c r="F483" s="20" t="s">
        <v>55</v>
      </c>
      <c r="G483" s="20" t="s">
        <v>56</v>
      </c>
      <c r="H483" s="19" t="s">
        <v>1741</v>
      </c>
      <c r="I483" s="20" t="s">
        <v>58</v>
      </c>
      <c r="J483" s="20" t="s">
        <v>59</v>
      </c>
      <c r="K483" s="20" t="s">
        <v>1742</v>
      </c>
      <c r="L483" s="19" t="s">
        <v>61</v>
      </c>
      <c r="M483" s="19" t="s">
        <v>62</v>
      </c>
      <c r="N483" s="20" t="s">
        <v>63</v>
      </c>
      <c r="O483" s="19">
        <v>21</v>
      </c>
      <c r="P483" s="19">
        <v>3.73</v>
      </c>
      <c r="Q483" s="19">
        <v>1</v>
      </c>
      <c r="R483" s="20">
        <v>7</v>
      </c>
      <c r="S483" s="19">
        <v>6.6000000000000003E-2</v>
      </c>
      <c r="T483" s="19" t="s">
        <v>64</v>
      </c>
      <c r="U483" s="19" t="s">
        <v>65</v>
      </c>
      <c r="V483" s="19" t="s">
        <v>66</v>
      </c>
      <c r="W483" s="19" t="s">
        <v>67</v>
      </c>
      <c r="X483" s="19" t="s">
        <v>68</v>
      </c>
      <c r="Y483" s="21" t="s">
        <v>69</v>
      </c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2"/>
      <c r="AK483" s="22"/>
      <c r="AL483" s="22"/>
      <c r="AM483" s="21" t="s">
        <v>70</v>
      </c>
      <c r="AN483" s="21" t="s">
        <v>70</v>
      </c>
      <c r="AO483" s="21" t="str">
        <f>_xlfn.XLOOKUP(A:A,[1]TAGS!$A:$A,[1]TAGS!$BG:$BG)</f>
        <v>Não Montado</v>
      </c>
      <c r="AP483" s="21"/>
      <c r="AQ483" s="21"/>
      <c r="AR483" s="21"/>
      <c r="AS483" s="21"/>
      <c r="AT483" s="21"/>
      <c r="AU483" s="21"/>
    </row>
    <row r="484" spans="1:47" x14ac:dyDescent="0.35">
      <c r="A484" s="19" t="s">
        <v>1743</v>
      </c>
      <c r="B484" s="19" t="s">
        <v>52</v>
      </c>
      <c r="C484" s="19"/>
      <c r="D484" s="19" t="s">
        <v>53</v>
      </c>
      <c r="E484" s="19" t="s">
        <v>54</v>
      </c>
      <c r="F484" s="20" t="s">
        <v>55</v>
      </c>
      <c r="G484" s="20" t="s">
        <v>56</v>
      </c>
      <c r="H484" s="19" t="s">
        <v>1744</v>
      </c>
      <c r="I484" s="20" t="s">
        <v>58</v>
      </c>
      <c r="J484" s="20" t="s">
        <v>59</v>
      </c>
      <c r="K484" s="20" t="s">
        <v>1745</v>
      </c>
      <c r="L484" s="19" t="s">
        <v>61</v>
      </c>
      <c r="M484" s="19" t="s">
        <v>62</v>
      </c>
      <c r="N484" s="20" t="s">
        <v>63</v>
      </c>
      <c r="O484" s="19">
        <v>21</v>
      </c>
      <c r="P484" s="19">
        <v>3.73</v>
      </c>
      <c r="Q484" s="19">
        <v>1</v>
      </c>
      <c r="R484" s="20">
        <v>7</v>
      </c>
      <c r="S484" s="19">
        <v>6.6000000000000003E-2</v>
      </c>
      <c r="T484" s="19" t="s">
        <v>64</v>
      </c>
      <c r="U484" s="19" t="s">
        <v>65</v>
      </c>
      <c r="V484" s="19" t="s">
        <v>66</v>
      </c>
      <c r="W484" s="19" t="s">
        <v>67</v>
      </c>
      <c r="X484" s="19" t="s">
        <v>68</v>
      </c>
      <c r="Y484" s="21" t="s">
        <v>69</v>
      </c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2"/>
      <c r="AK484" s="22"/>
      <c r="AL484" s="22"/>
      <c r="AM484" s="21" t="s">
        <v>70</v>
      </c>
      <c r="AN484" s="21" t="s">
        <v>70</v>
      </c>
      <c r="AO484" s="21" t="str">
        <f>_xlfn.XLOOKUP(A:A,[1]TAGS!$A:$A,[1]TAGS!$BG:$BG)</f>
        <v>Não Montado</v>
      </c>
      <c r="AP484" s="21"/>
      <c r="AQ484" s="21"/>
      <c r="AR484" s="21"/>
      <c r="AS484" s="21"/>
      <c r="AT484" s="21"/>
      <c r="AU484" s="21"/>
    </row>
    <row r="485" spans="1:47" x14ac:dyDescent="0.35">
      <c r="A485" s="19" t="s">
        <v>1746</v>
      </c>
      <c r="B485" s="19" t="s">
        <v>52</v>
      </c>
      <c r="C485" s="19"/>
      <c r="D485" s="19" t="s">
        <v>53</v>
      </c>
      <c r="E485" s="19" t="s">
        <v>54</v>
      </c>
      <c r="F485" s="20" t="s">
        <v>55</v>
      </c>
      <c r="G485" s="20" t="s">
        <v>56</v>
      </c>
      <c r="H485" s="19" t="s">
        <v>1747</v>
      </c>
      <c r="I485" s="20" t="s">
        <v>58</v>
      </c>
      <c r="J485" s="20" t="s">
        <v>59</v>
      </c>
      <c r="K485" s="20" t="s">
        <v>1748</v>
      </c>
      <c r="L485" s="19" t="s">
        <v>61</v>
      </c>
      <c r="M485" s="19" t="s">
        <v>62</v>
      </c>
      <c r="N485" s="20" t="s">
        <v>63</v>
      </c>
      <c r="O485" s="19">
        <v>21</v>
      </c>
      <c r="P485" s="19">
        <v>3.73</v>
      </c>
      <c r="Q485" s="19">
        <v>1</v>
      </c>
      <c r="R485" s="20">
        <v>7</v>
      </c>
      <c r="S485" s="19">
        <v>6.6000000000000003E-2</v>
      </c>
      <c r="T485" s="19" t="s">
        <v>64</v>
      </c>
      <c r="U485" s="19" t="s">
        <v>65</v>
      </c>
      <c r="V485" s="19" t="s">
        <v>66</v>
      </c>
      <c r="W485" s="19" t="s">
        <v>67</v>
      </c>
      <c r="X485" s="19" t="s">
        <v>68</v>
      </c>
      <c r="Y485" s="21" t="s">
        <v>69</v>
      </c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2"/>
      <c r="AK485" s="22"/>
      <c r="AL485" s="22"/>
      <c r="AM485" s="21" t="s">
        <v>70</v>
      </c>
      <c r="AN485" s="21" t="s">
        <v>70</v>
      </c>
      <c r="AO485" s="21" t="str">
        <f>_xlfn.XLOOKUP(A:A,[1]TAGS!$A:$A,[1]TAGS!$BG:$BG)</f>
        <v>Não Montado</v>
      </c>
      <c r="AP485" s="21"/>
      <c r="AQ485" s="21"/>
      <c r="AR485" s="21"/>
      <c r="AS485" s="21"/>
      <c r="AT485" s="21"/>
      <c r="AU485" s="21"/>
    </row>
    <row r="486" spans="1:47" x14ac:dyDescent="0.35">
      <c r="A486" s="19" t="s">
        <v>1749</v>
      </c>
      <c r="B486" s="19" t="s">
        <v>52</v>
      </c>
      <c r="C486" s="19"/>
      <c r="D486" s="19" t="s">
        <v>53</v>
      </c>
      <c r="E486" s="19" t="s">
        <v>54</v>
      </c>
      <c r="F486" s="20" t="s">
        <v>397</v>
      </c>
      <c r="G486" s="20" t="s">
        <v>398</v>
      </c>
      <c r="H486" s="19" t="s">
        <v>1750</v>
      </c>
      <c r="I486" s="20" t="s">
        <v>58</v>
      </c>
      <c r="J486" s="20" t="s">
        <v>400</v>
      </c>
      <c r="K486" s="20" t="s">
        <v>1751</v>
      </c>
      <c r="L486" s="19" t="s">
        <v>61</v>
      </c>
      <c r="M486" s="19" t="s">
        <v>62</v>
      </c>
      <c r="N486" s="20" t="s">
        <v>63</v>
      </c>
      <c r="O486" s="19">
        <v>21</v>
      </c>
      <c r="P486" s="19">
        <v>3.73</v>
      </c>
      <c r="Q486" s="19">
        <v>1</v>
      </c>
      <c r="R486" s="20">
        <v>7</v>
      </c>
      <c r="S486" s="19">
        <v>6.6000000000000003E-2</v>
      </c>
      <c r="T486" s="19" t="s">
        <v>64</v>
      </c>
      <c r="U486" s="19" t="s">
        <v>65</v>
      </c>
      <c r="V486" s="19" t="s">
        <v>66</v>
      </c>
      <c r="W486" s="19" t="s">
        <v>67</v>
      </c>
      <c r="X486" s="19" t="s">
        <v>68</v>
      </c>
      <c r="Y486" s="21" t="s">
        <v>69</v>
      </c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2"/>
      <c r="AK486" s="22"/>
      <c r="AL486" s="22"/>
      <c r="AM486" s="21" t="s">
        <v>70</v>
      </c>
      <c r="AN486" s="21" t="s">
        <v>70</v>
      </c>
      <c r="AO486" s="21" t="str">
        <f>_xlfn.XLOOKUP(A:A,[1]TAGS!$A:$A,[1]TAGS!$BG:$BG)</f>
        <v>Montado</v>
      </c>
      <c r="AP486" s="21"/>
      <c r="AQ486" s="21"/>
      <c r="AR486" s="21"/>
      <c r="AS486" s="21"/>
      <c r="AT486" s="21"/>
      <c r="AU486" s="21"/>
    </row>
    <row r="487" spans="1:47" x14ac:dyDescent="0.35">
      <c r="A487" s="19" t="s">
        <v>1752</v>
      </c>
      <c r="B487" s="19" t="s">
        <v>52</v>
      </c>
      <c r="C487" s="19"/>
      <c r="D487" s="19" t="s">
        <v>53</v>
      </c>
      <c r="E487" s="19" t="s">
        <v>54</v>
      </c>
      <c r="F487" s="20" t="s">
        <v>397</v>
      </c>
      <c r="G487" s="20" t="s">
        <v>398</v>
      </c>
      <c r="H487" s="19" t="s">
        <v>1753</v>
      </c>
      <c r="I487" s="20" t="s">
        <v>58</v>
      </c>
      <c r="J487" s="20" t="s">
        <v>400</v>
      </c>
      <c r="K487" s="20" t="s">
        <v>1754</v>
      </c>
      <c r="L487" s="19" t="s">
        <v>61</v>
      </c>
      <c r="M487" s="19" t="s">
        <v>62</v>
      </c>
      <c r="N487" s="20" t="s">
        <v>63</v>
      </c>
      <c r="O487" s="19">
        <v>21</v>
      </c>
      <c r="P487" s="19">
        <v>3.73</v>
      </c>
      <c r="Q487" s="19">
        <v>1</v>
      </c>
      <c r="R487" s="20">
        <v>7</v>
      </c>
      <c r="S487" s="19">
        <v>6.6000000000000003E-2</v>
      </c>
      <c r="T487" s="19" t="s">
        <v>64</v>
      </c>
      <c r="U487" s="19" t="s">
        <v>65</v>
      </c>
      <c r="V487" s="19" t="s">
        <v>66</v>
      </c>
      <c r="W487" s="19" t="s">
        <v>67</v>
      </c>
      <c r="X487" s="19" t="s">
        <v>68</v>
      </c>
      <c r="Y487" s="21" t="s">
        <v>69</v>
      </c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2"/>
      <c r="AK487" s="22"/>
      <c r="AL487" s="22"/>
      <c r="AM487" s="21" t="s">
        <v>70</v>
      </c>
      <c r="AN487" s="21" t="s">
        <v>70</v>
      </c>
      <c r="AO487" s="21" t="str">
        <f>_xlfn.XLOOKUP(A:A,[1]TAGS!$A:$A,[1]TAGS!$BG:$BG)</f>
        <v>Não Montado</v>
      </c>
      <c r="AP487" s="21"/>
      <c r="AQ487" s="21"/>
      <c r="AR487" s="21"/>
      <c r="AS487" s="21"/>
      <c r="AT487" s="21"/>
      <c r="AU487" s="21"/>
    </row>
    <row r="488" spans="1:47" x14ac:dyDescent="0.35">
      <c r="A488" s="19" t="s">
        <v>1755</v>
      </c>
      <c r="B488" s="19" t="s">
        <v>52</v>
      </c>
      <c r="C488" s="19"/>
      <c r="D488" s="19" t="s">
        <v>53</v>
      </c>
      <c r="E488" s="19" t="s">
        <v>54</v>
      </c>
      <c r="F488" s="20" t="s">
        <v>370</v>
      </c>
      <c r="G488" s="20" t="s">
        <v>371</v>
      </c>
      <c r="H488" s="19" t="s">
        <v>1756</v>
      </c>
      <c r="I488" s="20" t="s">
        <v>58</v>
      </c>
      <c r="J488" s="20" t="s">
        <v>373</v>
      </c>
      <c r="K488" s="20" t="s">
        <v>1757</v>
      </c>
      <c r="L488" s="19" t="s">
        <v>61</v>
      </c>
      <c r="M488" s="19" t="s">
        <v>62</v>
      </c>
      <c r="N488" s="20" t="s">
        <v>63</v>
      </c>
      <c r="O488" s="19">
        <v>21</v>
      </c>
      <c r="P488" s="19">
        <v>3.73</v>
      </c>
      <c r="Q488" s="19">
        <v>1</v>
      </c>
      <c r="R488" s="20">
        <v>7</v>
      </c>
      <c r="S488" s="19">
        <v>6.6000000000000003E-2</v>
      </c>
      <c r="T488" s="19" t="s">
        <v>64</v>
      </c>
      <c r="U488" s="19" t="s">
        <v>65</v>
      </c>
      <c r="V488" s="19" t="s">
        <v>66</v>
      </c>
      <c r="W488" s="19" t="s">
        <v>67</v>
      </c>
      <c r="X488" s="19" t="s">
        <v>68</v>
      </c>
      <c r="Y488" s="21" t="s">
        <v>69</v>
      </c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2"/>
      <c r="AK488" s="22"/>
      <c r="AL488" s="22"/>
      <c r="AM488" s="21" t="s">
        <v>70</v>
      </c>
      <c r="AN488" s="21" t="s">
        <v>70</v>
      </c>
      <c r="AO488" s="21" t="str">
        <f>_xlfn.XLOOKUP(A:A,[1]TAGS!$A:$A,[1]TAGS!$BG:$BG)</f>
        <v>Montado</v>
      </c>
      <c r="AP488" s="21"/>
      <c r="AQ488" s="21"/>
      <c r="AR488" s="21"/>
      <c r="AS488" s="21"/>
      <c r="AT488" s="21"/>
      <c r="AU488" s="21"/>
    </row>
    <row r="489" spans="1:47" x14ac:dyDescent="0.35">
      <c r="A489" s="19" t="s">
        <v>1758</v>
      </c>
      <c r="B489" s="19" t="s">
        <v>52</v>
      </c>
      <c r="C489" s="19"/>
      <c r="D489" s="19" t="s">
        <v>53</v>
      </c>
      <c r="E489" s="19" t="s">
        <v>54</v>
      </c>
      <c r="F489" s="20" t="s">
        <v>370</v>
      </c>
      <c r="G489" s="20" t="s">
        <v>371</v>
      </c>
      <c r="H489" s="19" t="s">
        <v>1759</v>
      </c>
      <c r="I489" s="20" t="s">
        <v>58</v>
      </c>
      <c r="J489" s="20" t="s">
        <v>373</v>
      </c>
      <c r="K489" s="20" t="s">
        <v>1760</v>
      </c>
      <c r="L489" s="19" t="s">
        <v>61</v>
      </c>
      <c r="M489" s="19" t="s">
        <v>62</v>
      </c>
      <c r="N489" s="20" t="s">
        <v>63</v>
      </c>
      <c r="O489" s="19">
        <v>21</v>
      </c>
      <c r="P489" s="19">
        <v>3.73</v>
      </c>
      <c r="Q489" s="19">
        <v>1</v>
      </c>
      <c r="R489" s="20">
        <v>7</v>
      </c>
      <c r="S489" s="19">
        <v>6.6000000000000003E-2</v>
      </c>
      <c r="T489" s="19" t="s">
        <v>64</v>
      </c>
      <c r="U489" s="19" t="s">
        <v>65</v>
      </c>
      <c r="V489" s="19" t="s">
        <v>66</v>
      </c>
      <c r="W489" s="19" t="s">
        <v>67</v>
      </c>
      <c r="X489" s="19" t="s">
        <v>68</v>
      </c>
      <c r="Y489" s="21" t="s">
        <v>69</v>
      </c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2"/>
      <c r="AK489" s="22"/>
      <c r="AL489" s="22"/>
      <c r="AM489" s="21" t="s">
        <v>70</v>
      </c>
      <c r="AN489" s="21" t="s">
        <v>70</v>
      </c>
      <c r="AO489" s="21" t="str">
        <f>_xlfn.XLOOKUP(A:A,[1]TAGS!$A:$A,[1]TAGS!$BG:$BG)</f>
        <v>Não Montado</v>
      </c>
      <c r="AP489" s="21"/>
      <c r="AQ489" s="21"/>
      <c r="AR489" s="21"/>
      <c r="AS489" s="21"/>
      <c r="AT489" s="21"/>
      <c r="AU489" s="21"/>
    </row>
    <row r="490" spans="1:47" x14ac:dyDescent="0.35">
      <c r="A490" s="19" t="s">
        <v>1761</v>
      </c>
      <c r="B490" s="19" t="s">
        <v>52</v>
      </c>
      <c r="C490" s="19"/>
      <c r="D490" s="19" t="s">
        <v>53</v>
      </c>
      <c r="E490" s="19" t="s">
        <v>54</v>
      </c>
      <c r="F490" s="20" t="s">
        <v>370</v>
      </c>
      <c r="G490" s="20" t="s">
        <v>371</v>
      </c>
      <c r="H490" s="19" t="s">
        <v>1762</v>
      </c>
      <c r="I490" s="20" t="s">
        <v>58</v>
      </c>
      <c r="J490" s="20" t="s">
        <v>373</v>
      </c>
      <c r="K490" s="20" t="s">
        <v>1763</v>
      </c>
      <c r="L490" s="19" t="s">
        <v>61</v>
      </c>
      <c r="M490" s="19" t="s">
        <v>62</v>
      </c>
      <c r="N490" s="20" t="s">
        <v>63</v>
      </c>
      <c r="O490" s="19">
        <v>21</v>
      </c>
      <c r="P490" s="19">
        <v>3.73</v>
      </c>
      <c r="Q490" s="19">
        <v>1</v>
      </c>
      <c r="R490" s="20">
        <v>7</v>
      </c>
      <c r="S490" s="19">
        <v>6.6000000000000003E-2</v>
      </c>
      <c r="T490" s="19" t="s">
        <v>64</v>
      </c>
      <c r="U490" s="19" t="s">
        <v>65</v>
      </c>
      <c r="V490" s="19" t="s">
        <v>66</v>
      </c>
      <c r="W490" s="19" t="s">
        <v>67</v>
      </c>
      <c r="X490" s="19" t="s">
        <v>68</v>
      </c>
      <c r="Y490" s="21" t="s">
        <v>69</v>
      </c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2"/>
      <c r="AK490" s="22"/>
      <c r="AL490" s="22"/>
      <c r="AM490" s="21" t="s">
        <v>70</v>
      </c>
      <c r="AN490" s="21" t="s">
        <v>70</v>
      </c>
      <c r="AO490" s="21" t="str">
        <f>_xlfn.XLOOKUP(A:A,[1]TAGS!$A:$A,[1]TAGS!$BG:$BG)</f>
        <v>Não Montado</v>
      </c>
      <c r="AP490" s="21"/>
      <c r="AQ490" s="21"/>
      <c r="AR490" s="21"/>
      <c r="AS490" s="21"/>
      <c r="AT490" s="21"/>
      <c r="AU490" s="21"/>
    </row>
    <row r="491" spans="1:47" x14ac:dyDescent="0.35">
      <c r="A491" s="19" t="s">
        <v>1764</v>
      </c>
      <c r="B491" s="19" t="s">
        <v>52</v>
      </c>
      <c r="C491" s="19"/>
      <c r="D491" s="19" t="s">
        <v>53</v>
      </c>
      <c r="E491" s="19" t="s">
        <v>54</v>
      </c>
      <c r="F491" s="20" t="s">
        <v>370</v>
      </c>
      <c r="G491" s="20" t="s">
        <v>371</v>
      </c>
      <c r="H491" s="19" t="s">
        <v>1765</v>
      </c>
      <c r="I491" s="20" t="s">
        <v>58</v>
      </c>
      <c r="J491" s="20" t="s">
        <v>373</v>
      </c>
      <c r="K491" s="20" t="s">
        <v>1766</v>
      </c>
      <c r="L491" s="19" t="s">
        <v>61</v>
      </c>
      <c r="M491" s="19" t="s">
        <v>62</v>
      </c>
      <c r="N491" s="20" t="s">
        <v>63</v>
      </c>
      <c r="O491" s="19">
        <v>21</v>
      </c>
      <c r="P491" s="19">
        <v>3.73</v>
      </c>
      <c r="Q491" s="19">
        <v>1</v>
      </c>
      <c r="R491" s="20">
        <v>7</v>
      </c>
      <c r="S491" s="19">
        <v>6.6000000000000003E-2</v>
      </c>
      <c r="T491" s="19" t="s">
        <v>64</v>
      </c>
      <c r="U491" s="19" t="s">
        <v>65</v>
      </c>
      <c r="V491" s="19" t="s">
        <v>66</v>
      </c>
      <c r="W491" s="19" t="s">
        <v>67</v>
      </c>
      <c r="X491" s="19" t="s">
        <v>68</v>
      </c>
      <c r="Y491" s="21" t="s">
        <v>69</v>
      </c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2"/>
      <c r="AK491" s="22"/>
      <c r="AL491" s="22"/>
      <c r="AM491" s="21" t="s">
        <v>70</v>
      </c>
      <c r="AN491" s="21" t="s">
        <v>70</v>
      </c>
      <c r="AO491" s="21" t="str">
        <f>_xlfn.XLOOKUP(A:A,[1]TAGS!$A:$A,[1]TAGS!$BG:$BG)</f>
        <v>Não Montado</v>
      </c>
      <c r="AP491" s="21"/>
      <c r="AQ491" s="21"/>
      <c r="AR491" s="21"/>
      <c r="AS491" s="21"/>
      <c r="AT491" s="21"/>
      <c r="AU491" s="21"/>
    </row>
    <row r="492" spans="1:47" x14ac:dyDescent="0.35">
      <c r="A492" s="19" t="s">
        <v>1767</v>
      </c>
      <c r="B492" s="19" t="s">
        <v>52</v>
      </c>
      <c r="C492" s="19"/>
      <c r="D492" s="19" t="s">
        <v>53</v>
      </c>
      <c r="E492" s="19" t="s">
        <v>54</v>
      </c>
      <c r="F492" s="20" t="s">
        <v>370</v>
      </c>
      <c r="G492" s="20" t="s">
        <v>371</v>
      </c>
      <c r="H492" s="19" t="s">
        <v>1768</v>
      </c>
      <c r="I492" s="20" t="s">
        <v>58</v>
      </c>
      <c r="J492" s="20" t="s">
        <v>373</v>
      </c>
      <c r="K492" s="20" t="s">
        <v>1769</v>
      </c>
      <c r="L492" s="19" t="s">
        <v>61</v>
      </c>
      <c r="M492" s="19" t="s">
        <v>62</v>
      </c>
      <c r="N492" s="20" t="s">
        <v>63</v>
      </c>
      <c r="O492" s="19">
        <v>21</v>
      </c>
      <c r="P492" s="19">
        <v>3.73</v>
      </c>
      <c r="Q492" s="19">
        <v>1</v>
      </c>
      <c r="R492" s="20">
        <v>7</v>
      </c>
      <c r="S492" s="19">
        <v>6.6000000000000003E-2</v>
      </c>
      <c r="T492" s="19" t="s">
        <v>64</v>
      </c>
      <c r="U492" s="19" t="s">
        <v>65</v>
      </c>
      <c r="V492" s="19" t="s">
        <v>66</v>
      </c>
      <c r="W492" s="19" t="s">
        <v>67</v>
      </c>
      <c r="X492" s="19" t="s">
        <v>68</v>
      </c>
      <c r="Y492" s="21" t="s">
        <v>69</v>
      </c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2"/>
      <c r="AK492" s="22"/>
      <c r="AL492" s="22"/>
      <c r="AM492" s="21" t="s">
        <v>70</v>
      </c>
      <c r="AN492" s="21" t="s">
        <v>70</v>
      </c>
      <c r="AO492" s="21" t="str">
        <f>_xlfn.XLOOKUP(A:A,[1]TAGS!$A:$A,[1]TAGS!$BG:$BG)</f>
        <v>Não Montado</v>
      </c>
      <c r="AP492" s="21"/>
      <c r="AQ492" s="21"/>
      <c r="AR492" s="21"/>
      <c r="AS492" s="21"/>
      <c r="AT492" s="21"/>
      <c r="AU492" s="21"/>
    </row>
    <row r="493" spans="1:47" x14ac:dyDescent="0.35">
      <c r="A493" s="19" t="s">
        <v>1770</v>
      </c>
      <c r="B493" s="19" t="s">
        <v>52</v>
      </c>
      <c r="C493" s="19"/>
      <c r="D493" s="19" t="s">
        <v>53</v>
      </c>
      <c r="E493" s="19" t="s">
        <v>54</v>
      </c>
      <c r="F493" s="20" t="s">
        <v>370</v>
      </c>
      <c r="G493" s="20" t="s">
        <v>371</v>
      </c>
      <c r="H493" s="19" t="s">
        <v>1771</v>
      </c>
      <c r="I493" s="20" t="s">
        <v>58</v>
      </c>
      <c r="J493" s="20" t="s">
        <v>373</v>
      </c>
      <c r="K493" s="20" t="s">
        <v>1772</v>
      </c>
      <c r="L493" s="19" t="s">
        <v>61</v>
      </c>
      <c r="M493" s="19" t="s">
        <v>62</v>
      </c>
      <c r="N493" s="20" t="s">
        <v>63</v>
      </c>
      <c r="O493" s="19">
        <v>21</v>
      </c>
      <c r="P493" s="19">
        <v>3.73</v>
      </c>
      <c r="Q493" s="19">
        <v>1</v>
      </c>
      <c r="R493" s="20">
        <v>7</v>
      </c>
      <c r="S493" s="19">
        <v>6.6000000000000003E-2</v>
      </c>
      <c r="T493" s="19" t="s">
        <v>64</v>
      </c>
      <c r="U493" s="19" t="s">
        <v>65</v>
      </c>
      <c r="V493" s="19" t="s">
        <v>66</v>
      </c>
      <c r="W493" s="19" t="s">
        <v>67</v>
      </c>
      <c r="X493" s="19" t="s">
        <v>68</v>
      </c>
      <c r="Y493" s="21" t="s">
        <v>69</v>
      </c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2"/>
      <c r="AK493" s="22"/>
      <c r="AL493" s="22"/>
      <c r="AM493" s="21" t="s">
        <v>70</v>
      </c>
      <c r="AN493" s="21" t="s">
        <v>70</v>
      </c>
      <c r="AO493" s="21" t="str">
        <f>_xlfn.XLOOKUP(A:A,[1]TAGS!$A:$A,[1]TAGS!$BG:$BG)</f>
        <v>Não Montado</v>
      </c>
      <c r="AP493" s="21"/>
      <c r="AQ493" s="21"/>
      <c r="AR493" s="21"/>
      <c r="AS493" s="21"/>
      <c r="AT493" s="21"/>
      <c r="AU493" s="21"/>
    </row>
    <row r="494" spans="1:47" x14ac:dyDescent="0.35">
      <c r="A494" s="19" t="s">
        <v>1773</v>
      </c>
      <c r="B494" s="19" t="s">
        <v>52</v>
      </c>
      <c r="C494" s="19"/>
      <c r="D494" s="19" t="s">
        <v>53</v>
      </c>
      <c r="E494" s="19" t="s">
        <v>54</v>
      </c>
      <c r="F494" s="20" t="s">
        <v>370</v>
      </c>
      <c r="G494" s="20" t="s">
        <v>371</v>
      </c>
      <c r="H494" s="19" t="s">
        <v>1774</v>
      </c>
      <c r="I494" s="20" t="s">
        <v>58</v>
      </c>
      <c r="J494" s="20" t="s">
        <v>373</v>
      </c>
      <c r="K494" s="20" t="s">
        <v>1775</v>
      </c>
      <c r="L494" s="19" t="s">
        <v>61</v>
      </c>
      <c r="M494" s="19" t="s">
        <v>62</v>
      </c>
      <c r="N494" s="20" t="s">
        <v>63</v>
      </c>
      <c r="O494" s="19">
        <v>21</v>
      </c>
      <c r="P494" s="19">
        <v>3.73</v>
      </c>
      <c r="Q494" s="19">
        <v>1</v>
      </c>
      <c r="R494" s="20">
        <v>7</v>
      </c>
      <c r="S494" s="19">
        <v>6.6000000000000003E-2</v>
      </c>
      <c r="T494" s="19" t="s">
        <v>64</v>
      </c>
      <c r="U494" s="19" t="s">
        <v>65</v>
      </c>
      <c r="V494" s="19" t="s">
        <v>66</v>
      </c>
      <c r="W494" s="19" t="s">
        <v>67</v>
      </c>
      <c r="X494" s="19" t="s">
        <v>68</v>
      </c>
      <c r="Y494" s="21" t="s">
        <v>69</v>
      </c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2"/>
      <c r="AK494" s="22"/>
      <c r="AL494" s="22"/>
      <c r="AM494" s="21" t="s">
        <v>70</v>
      </c>
      <c r="AN494" s="21" t="s">
        <v>70</v>
      </c>
      <c r="AO494" s="21" t="str">
        <f>_xlfn.XLOOKUP(A:A,[1]TAGS!$A:$A,[1]TAGS!$BG:$BG)</f>
        <v>Não Montado</v>
      </c>
      <c r="AP494" s="21"/>
      <c r="AQ494" s="21"/>
      <c r="AR494" s="21"/>
      <c r="AS494" s="21"/>
      <c r="AT494" s="21"/>
      <c r="AU494" s="21"/>
    </row>
    <row r="495" spans="1:47" x14ac:dyDescent="0.35">
      <c r="A495" s="19" t="s">
        <v>1776</v>
      </c>
      <c r="B495" s="19" t="s">
        <v>52</v>
      </c>
      <c r="C495" s="19"/>
      <c r="D495" s="19" t="s">
        <v>53</v>
      </c>
      <c r="E495" s="19" t="s">
        <v>54</v>
      </c>
      <c r="F495" s="20" t="s">
        <v>370</v>
      </c>
      <c r="G495" s="20" t="s">
        <v>371</v>
      </c>
      <c r="H495" s="19" t="s">
        <v>1777</v>
      </c>
      <c r="I495" s="20" t="s">
        <v>58</v>
      </c>
      <c r="J495" s="20" t="s">
        <v>373</v>
      </c>
      <c r="K495" s="20" t="s">
        <v>1778</v>
      </c>
      <c r="L495" s="19" t="s">
        <v>61</v>
      </c>
      <c r="M495" s="19" t="s">
        <v>62</v>
      </c>
      <c r="N495" s="20" t="s">
        <v>63</v>
      </c>
      <c r="O495" s="19">
        <v>21</v>
      </c>
      <c r="P495" s="19">
        <v>3.73</v>
      </c>
      <c r="Q495" s="19">
        <v>1</v>
      </c>
      <c r="R495" s="20">
        <v>7</v>
      </c>
      <c r="S495" s="19">
        <v>6.6000000000000003E-2</v>
      </c>
      <c r="T495" s="19" t="s">
        <v>64</v>
      </c>
      <c r="U495" s="19" t="s">
        <v>65</v>
      </c>
      <c r="V495" s="19" t="s">
        <v>66</v>
      </c>
      <c r="W495" s="19" t="s">
        <v>67</v>
      </c>
      <c r="X495" s="19" t="s">
        <v>68</v>
      </c>
      <c r="Y495" s="21" t="s">
        <v>69</v>
      </c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2"/>
      <c r="AK495" s="22"/>
      <c r="AL495" s="22"/>
      <c r="AM495" s="21" t="s">
        <v>70</v>
      </c>
      <c r="AN495" s="21" t="s">
        <v>70</v>
      </c>
      <c r="AO495" s="21" t="str">
        <f>_xlfn.XLOOKUP(A:A,[1]TAGS!$A:$A,[1]TAGS!$BG:$BG)</f>
        <v>Não Montado</v>
      </c>
      <c r="AP495" s="21"/>
      <c r="AQ495" s="21"/>
      <c r="AR495" s="21"/>
      <c r="AS495" s="21"/>
      <c r="AT495" s="21"/>
      <c r="AU495" s="21"/>
    </row>
    <row r="496" spans="1:47" x14ac:dyDescent="0.35">
      <c r="A496" s="19" t="s">
        <v>1779</v>
      </c>
      <c r="B496" s="19" t="s">
        <v>52</v>
      </c>
      <c r="C496" s="19"/>
      <c r="D496" s="19" t="s">
        <v>53</v>
      </c>
      <c r="E496" s="19" t="s">
        <v>54</v>
      </c>
      <c r="F496" s="20" t="s">
        <v>706</v>
      </c>
      <c r="G496" s="20" t="s">
        <v>707</v>
      </c>
      <c r="H496" s="19" t="s">
        <v>1780</v>
      </c>
      <c r="I496" s="20" t="s">
        <v>124</v>
      </c>
      <c r="J496" s="20" t="s">
        <v>709</v>
      </c>
      <c r="K496" s="20" t="s">
        <v>1781</v>
      </c>
      <c r="L496" s="19" t="s">
        <v>61</v>
      </c>
      <c r="M496" s="19" t="s">
        <v>62</v>
      </c>
      <c r="N496" s="20" t="s">
        <v>63</v>
      </c>
      <c r="O496" s="19">
        <v>21</v>
      </c>
      <c r="P496" s="19">
        <v>3.73</v>
      </c>
      <c r="Q496" s="19">
        <v>1</v>
      </c>
      <c r="R496" s="20">
        <v>7</v>
      </c>
      <c r="S496" s="19">
        <v>6.6000000000000003E-2</v>
      </c>
      <c r="T496" s="19" t="s">
        <v>64</v>
      </c>
      <c r="U496" s="19" t="s">
        <v>65</v>
      </c>
      <c r="V496" s="19" t="s">
        <v>66</v>
      </c>
      <c r="W496" s="19" t="s">
        <v>67</v>
      </c>
      <c r="X496" s="19" t="s">
        <v>68</v>
      </c>
      <c r="Y496" s="21" t="s">
        <v>69</v>
      </c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2"/>
      <c r="AK496" s="22"/>
      <c r="AL496" s="22"/>
      <c r="AM496" s="21" t="s">
        <v>70</v>
      </c>
      <c r="AN496" s="21" t="s">
        <v>70</v>
      </c>
      <c r="AO496" s="21" t="str">
        <f>_xlfn.XLOOKUP(A:A,[1]TAGS!$A:$A,[1]TAGS!$BG:$BG)</f>
        <v>Não Montado</v>
      </c>
      <c r="AP496" s="21"/>
      <c r="AQ496" s="21"/>
      <c r="AR496" s="21"/>
      <c r="AS496" s="21"/>
      <c r="AT496" s="21"/>
      <c r="AU496" s="21"/>
    </row>
    <row r="497" spans="1:47" x14ac:dyDescent="0.35">
      <c r="A497" s="19" t="s">
        <v>1782</v>
      </c>
      <c r="B497" s="19" t="s">
        <v>52</v>
      </c>
      <c r="C497" s="19"/>
      <c r="D497" s="19" t="s">
        <v>53</v>
      </c>
      <c r="E497" s="19" t="s">
        <v>54</v>
      </c>
      <c r="F497" s="20" t="s">
        <v>706</v>
      </c>
      <c r="G497" s="20" t="s">
        <v>707</v>
      </c>
      <c r="H497" s="19" t="s">
        <v>1783</v>
      </c>
      <c r="I497" s="20" t="s">
        <v>124</v>
      </c>
      <c r="J497" s="20" t="s">
        <v>709</v>
      </c>
      <c r="K497" s="20" t="s">
        <v>1784</v>
      </c>
      <c r="L497" s="19" t="s">
        <v>61</v>
      </c>
      <c r="M497" s="19" t="s">
        <v>62</v>
      </c>
      <c r="N497" s="20" t="s">
        <v>63</v>
      </c>
      <c r="O497" s="19">
        <v>21</v>
      </c>
      <c r="P497" s="19">
        <v>3.73</v>
      </c>
      <c r="Q497" s="19">
        <v>1</v>
      </c>
      <c r="R497" s="20">
        <v>7</v>
      </c>
      <c r="S497" s="19">
        <v>6.6000000000000003E-2</v>
      </c>
      <c r="T497" s="19" t="s">
        <v>64</v>
      </c>
      <c r="U497" s="19" t="s">
        <v>65</v>
      </c>
      <c r="V497" s="19" t="s">
        <v>66</v>
      </c>
      <c r="W497" s="19" t="s">
        <v>67</v>
      </c>
      <c r="X497" s="19" t="s">
        <v>68</v>
      </c>
      <c r="Y497" s="21" t="s">
        <v>69</v>
      </c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2"/>
      <c r="AK497" s="22"/>
      <c r="AL497" s="22"/>
      <c r="AM497" s="21" t="s">
        <v>70</v>
      </c>
      <c r="AN497" s="21" t="s">
        <v>70</v>
      </c>
      <c r="AO497" s="21" t="str">
        <f>_xlfn.XLOOKUP(A:A,[1]TAGS!$A:$A,[1]TAGS!$BG:$BG)</f>
        <v>Montado</v>
      </c>
      <c r="AP497" s="21"/>
      <c r="AQ497" s="21"/>
      <c r="AR497" s="21"/>
      <c r="AS497" s="21"/>
      <c r="AT497" s="21"/>
      <c r="AU497" s="21"/>
    </row>
    <row r="498" spans="1:47" x14ac:dyDescent="0.35">
      <c r="A498" s="19" t="s">
        <v>1785</v>
      </c>
      <c r="B498" s="19" t="s">
        <v>52</v>
      </c>
      <c r="C498" s="19"/>
      <c r="D498" s="19" t="s">
        <v>53</v>
      </c>
      <c r="E498" s="19" t="s">
        <v>54</v>
      </c>
      <c r="F498" s="20" t="s">
        <v>706</v>
      </c>
      <c r="G498" s="20" t="s">
        <v>707</v>
      </c>
      <c r="H498" s="19" t="s">
        <v>1786</v>
      </c>
      <c r="I498" s="20" t="s">
        <v>124</v>
      </c>
      <c r="J498" s="20" t="s">
        <v>709</v>
      </c>
      <c r="K498" s="20" t="s">
        <v>1787</v>
      </c>
      <c r="L498" s="19" t="s">
        <v>61</v>
      </c>
      <c r="M498" s="19" t="s">
        <v>62</v>
      </c>
      <c r="N498" s="20" t="s">
        <v>63</v>
      </c>
      <c r="O498" s="19">
        <v>21</v>
      </c>
      <c r="P498" s="19">
        <v>3.73</v>
      </c>
      <c r="Q498" s="19">
        <v>1</v>
      </c>
      <c r="R498" s="20">
        <v>7</v>
      </c>
      <c r="S498" s="19">
        <v>6.6000000000000003E-2</v>
      </c>
      <c r="T498" s="19" t="s">
        <v>64</v>
      </c>
      <c r="U498" s="19" t="s">
        <v>65</v>
      </c>
      <c r="V498" s="19" t="s">
        <v>66</v>
      </c>
      <c r="W498" s="19" t="s">
        <v>67</v>
      </c>
      <c r="X498" s="19" t="s">
        <v>68</v>
      </c>
      <c r="Y498" s="21" t="s">
        <v>69</v>
      </c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2"/>
      <c r="AK498" s="22"/>
      <c r="AL498" s="22"/>
      <c r="AM498" s="21" t="s">
        <v>70</v>
      </c>
      <c r="AN498" s="21" t="s">
        <v>70</v>
      </c>
      <c r="AO498" s="21" t="str">
        <f>_xlfn.XLOOKUP(A:A,[1]TAGS!$A:$A,[1]TAGS!$BG:$BG)</f>
        <v>Montado</v>
      </c>
      <c r="AP498" s="21"/>
      <c r="AQ498" s="21"/>
      <c r="AR498" s="21"/>
      <c r="AS498" s="21"/>
      <c r="AT498" s="21"/>
      <c r="AU498" s="21"/>
    </row>
    <row r="499" spans="1:47" x14ac:dyDescent="0.35">
      <c r="A499" s="19" t="s">
        <v>1788</v>
      </c>
      <c r="B499" s="19" t="s">
        <v>52</v>
      </c>
      <c r="C499" s="19"/>
      <c r="D499" s="19" t="s">
        <v>53</v>
      </c>
      <c r="E499" s="19" t="s">
        <v>54</v>
      </c>
      <c r="F499" s="20" t="s">
        <v>706</v>
      </c>
      <c r="G499" s="20" t="s">
        <v>707</v>
      </c>
      <c r="H499" s="19" t="s">
        <v>1789</v>
      </c>
      <c r="I499" s="20" t="s">
        <v>124</v>
      </c>
      <c r="J499" s="20" t="s">
        <v>709</v>
      </c>
      <c r="K499" s="20" t="s">
        <v>1790</v>
      </c>
      <c r="L499" s="19" t="s">
        <v>61</v>
      </c>
      <c r="M499" s="19" t="s">
        <v>62</v>
      </c>
      <c r="N499" s="20" t="s">
        <v>63</v>
      </c>
      <c r="O499" s="19">
        <v>21</v>
      </c>
      <c r="P499" s="19">
        <v>3.73</v>
      </c>
      <c r="Q499" s="19">
        <v>1</v>
      </c>
      <c r="R499" s="20">
        <v>7</v>
      </c>
      <c r="S499" s="19">
        <v>6.6000000000000003E-2</v>
      </c>
      <c r="T499" s="19" t="s">
        <v>64</v>
      </c>
      <c r="U499" s="19" t="s">
        <v>65</v>
      </c>
      <c r="V499" s="19" t="s">
        <v>66</v>
      </c>
      <c r="W499" s="19" t="s">
        <v>67</v>
      </c>
      <c r="X499" s="19" t="s">
        <v>68</v>
      </c>
      <c r="Y499" s="21" t="s">
        <v>69</v>
      </c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2"/>
      <c r="AK499" s="22"/>
      <c r="AL499" s="22"/>
      <c r="AM499" s="21" t="s">
        <v>70</v>
      </c>
      <c r="AN499" s="21" t="s">
        <v>70</v>
      </c>
      <c r="AO499" s="21" t="str">
        <f>_xlfn.XLOOKUP(A:A,[1]TAGS!$A:$A,[1]TAGS!$BG:$BG)</f>
        <v>Não Montado</v>
      </c>
      <c r="AP499" s="21"/>
      <c r="AQ499" s="21"/>
      <c r="AR499" s="21"/>
      <c r="AS499" s="21"/>
      <c r="AT499" s="21"/>
      <c r="AU499" s="21"/>
    </row>
    <row r="500" spans="1:47" x14ac:dyDescent="0.35">
      <c r="A500" s="19" t="s">
        <v>1791</v>
      </c>
      <c r="B500" s="19" t="s">
        <v>52</v>
      </c>
      <c r="C500" s="19"/>
      <c r="D500" s="19" t="s">
        <v>53</v>
      </c>
      <c r="E500" s="19" t="s">
        <v>54</v>
      </c>
      <c r="F500" s="20" t="s">
        <v>55</v>
      </c>
      <c r="G500" s="20" t="s">
        <v>56</v>
      </c>
      <c r="H500" s="19" t="s">
        <v>1792</v>
      </c>
      <c r="I500" s="20" t="s">
        <v>58</v>
      </c>
      <c r="J500" s="20" t="s">
        <v>59</v>
      </c>
      <c r="K500" s="20" t="s">
        <v>1793</v>
      </c>
      <c r="L500" s="19" t="s">
        <v>61</v>
      </c>
      <c r="M500" s="19" t="s">
        <v>62</v>
      </c>
      <c r="N500" s="20" t="s">
        <v>63</v>
      </c>
      <c r="O500" s="19">
        <v>21</v>
      </c>
      <c r="P500" s="19">
        <v>3.73</v>
      </c>
      <c r="Q500" s="19">
        <v>1</v>
      </c>
      <c r="R500" s="20">
        <v>7</v>
      </c>
      <c r="S500" s="19">
        <v>6.6000000000000003E-2</v>
      </c>
      <c r="T500" s="19" t="s">
        <v>64</v>
      </c>
      <c r="U500" s="19" t="s">
        <v>65</v>
      </c>
      <c r="V500" s="19" t="s">
        <v>66</v>
      </c>
      <c r="W500" s="19" t="s">
        <v>67</v>
      </c>
      <c r="X500" s="19" t="s">
        <v>68</v>
      </c>
      <c r="Y500" s="21" t="s">
        <v>69</v>
      </c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2"/>
      <c r="AK500" s="22"/>
      <c r="AL500" s="22"/>
      <c r="AM500" s="21" t="s">
        <v>70</v>
      </c>
      <c r="AN500" s="21" t="s">
        <v>70</v>
      </c>
      <c r="AO500" s="21" t="str">
        <f>_xlfn.XLOOKUP(A:A,[1]TAGS!$A:$A,[1]TAGS!$BG:$BG)</f>
        <v>Não Montado</v>
      </c>
      <c r="AP500" s="21"/>
      <c r="AQ500" s="21"/>
      <c r="AR500" s="21"/>
      <c r="AS500" s="21"/>
      <c r="AT500" s="21"/>
      <c r="AU500" s="21"/>
    </row>
    <row r="501" spans="1:47" x14ac:dyDescent="0.35">
      <c r="A501" s="19" t="s">
        <v>1794</v>
      </c>
      <c r="B501" s="19" t="s">
        <v>52</v>
      </c>
      <c r="C501" s="19"/>
      <c r="D501" s="19" t="s">
        <v>53</v>
      </c>
      <c r="E501" s="19" t="s">
        <v>54</v>
      </c>
      <c r="F501" s="20" t="s">
        <v>370</v>
      </c>
      <c r="G501" s="20" t="s">
        <v>371</v>
      </c>
      <c r="H501" s="19" t="s">
        <v>1795</v>
      </c>
      <c r="I501" s="20" t="s">
        <v>58</v>
      </c>
      <c r="J501" s="20" t="s">
        <v>373</v>
      </c>
      <c r="K501" s="20" t="s">
        <v>1796</v>
      </c>
      <c r="L501" s="19" t="s">
        <v>61</v>
      </c>
      <c r="M501" s="19" t="s">
        <v>62</v>
      </c>
      <c r="N501" s="20" t="s">
        <v>63</v>
      </c>
      <c r="O501" s="19">
        <v>21</v>
      </c>
      <c r="P501" s="19">
        <v>3.73</v>
      </c>
      <c r="Q501" s="19">
        <v>1</v>
      </c>
      <c r="R501" s="20">
        <v>7</v>
      </c>
      <c r="S501" s="19">
        <v>6.6000000000000003E-2</v>
      </c>
      <c r="T501" s="19" t="s">
        <v>64</v>
      </c>
      <c r="U501" s="19" t="s">
        <v>65</v>
      </c>
      <c r="V501" s="19" t="s">
        <v>66</v>
      </c>
      <c r="W501" s="19" t="s">
        <v>67</v>
      </c>
      <c r="X501" s="19" t="s">
        <v>68</v>
      </c>
      <c r="Y501" s="21" t="s">
        <v>69</v>
      </c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2"/>
      <c r="AK501" s="22"/>
      <c r="AL501" s="22"/>
      <c r="AM501" s="21" t="s">
        <v>70</v>
      </c>
      <c r="AN501" s="21" t="s">
        <v>70</v>
      </c>
      <c r="AO501" s="21" t="str">
        <f>_xlfn.XLOOKUP(A:A,[1]TAGS!$A:$A,[1]TAGS!$BG:$BG)</f>
        <v>Não Montado</v>
      </c>
      <c r="AP501" s="21"/>
      <c r="AQ501" s="21"/>
      <c r="AR501" s="21"/>
      <c r="AS501" s="21"/>
      <c r="AT501" s="21"/>
      <c r="AU501" s="21"/>
    </row>
    <row r="502" spans="1:47" x14ac:dyDescent="0.35">
      <c r="A502" s="19" t="s">
        <v>1797</v>
      </c>
      <c r="B502" s="19" t="s">
        <v>52</v>
      </c>
      <c r="C502" s="19"/>
      <c r="D502" s="19" t="s">
        <v>53</v>
      </c>
      <c r="E502" s="19" t="s">
        <v>54</v>
      </c>
      <c r="F502" s="20" t="s">
        <v>397</v>
      </c>
      <c r="G502" s="20" t="s">
        <v>398</v>
      </c>
      <c r="H502" s="19" t="s">
        <v>1798</v>
      </c>
      <c r="I502" s="20" t="s">
        <v>58</v>
      </c>
      <c r="J502" s="20" t="s">
        <v>400</v>
      </c>
      <c r="K502" s="20" t="s">
        <v>1799</v>
      </c>
      <c r="L502" s="19" t="s">
        <v>61</v>
      </c>
      <c r="M502" s="19" t="s">
        <v>62</v>
      </c>
      <c r="N502" s="20" t="s">
        <v>63</v>
      </c>
      <c r="O502" s="19">
        <v>21</v>
      </c>
      <c r="P502" s="19">
        <v>3.73</v>
      </c>
      <c r="Q502" s="19">
        <v>1</v>
      </c>
      <c r="R502" s="20">
        <v>7</v>
      </c>
      <c r="S502" s="19">
        <v>6.6000000000000003E-2</v>
      </c>
      <c r="T502" s="19" t="s">
        <v>64</v>
      </c>
      <c r="U502" s="19" t="s">
        <v>65</v>
      </c>
      <c r="V502" s="19" t="s">
        <v>66</v>
      </c>
      <c r="W502" s="19" t="s">
        <v>67</v>
      </c>
      <c r="X502" s="19" t="s">
        <v>68</v>
      </c>
      <c r="Y502" s="21" t="s">
        <v>69</v>
      </c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2"/>
      <c r="AK502" s="22"/>
      <c r="AL502" s="22"/>
      <c r="AM502" s="21" t="s">
        <v>70</v>
      </c>
      <c r="AN502" s="21" t="s">
        <v>70</v>
      </c>
      <c r="AO502" s="21" t="str">
        <f>_xlfn.XLOOKUP(A:A,[1]TAGS!$A:$A,[1]TAGS!$BG:$BG)</f>
        <v>Não Montado</v>
      </c>
      <c r="AP502" s="21"/>
      <c r="AQ502" s="21"/>
      <c r="AR502" s="21"/>
      <c r="AS502" s="21"/>
      <c r="AT502" s="21"/>
      <c r="AU502" s="21"/>
    </row>
    <row r="503" spans="1:47" x14ac:dyDescent="0.35">
      <c r="A503" s="19" t="s">
        <v>1800</v>
      </c>
      <c r="B503" s="19" t="s">
        <v>52</v>
      </c>
      <c r="C503" s="19"/>
      <c r="D503" s="19" t="s">
        <v>53</v>
      </c>
      <c r="E503" s="19" t="s">
        <v>54</v>
      </c>
      <c r="F503" s="20" t="s">
        <v>55</v>
      </c>
      <c r="G503" s="20" t="s">
        <v>75</v>
      </c>
      <c r="H503" s="19" t="s">
        <v>1801</v>
      </c>
      <c r="I503" s="20" t="s">
        <v>58</v>
      </c>
      <c r="J503" s="20" t="s">
        <v>77</v>
      </c>
      <c r="K503" s="20" t="s">
        <v>1802</v>
      </c>
      <c r="L503" s="19" t="s">
        <v>61</v>
      </c>
      <c r="M503" s="19" t="s">
        <v>62</v>
      </c>
      <c r="N503" s="20" t="s">
        <v>63</v>
      </c>
      <c r="O503" s="19">
        <v>21</v>
      </c>
      <c r="P503" s="19">
        <v>3.73</v>
      </c>
      <c r="Q503" s="19">
        <v>1</v>
      </c>
      <c r="R503" s="20">
        <v>7</v>
      </c>
      <c r="S503" s="19">
        <v>6.6000000000000003E-2</v>
      </c>
      <c r="T503" s="19" t="s">
        <v>64</v>
      </c>
      <c r="U503" s="19" t="s">
        <v>65</v>
      </c>
      <c r="V503" s="19" t="s">
        <v>66</v>
      </c>
      <c r="W503" s="19" t="s">
        <v>67</v>
      </c>
      <c r="X503" s="19" t="s">
        <v>68</v>
      </c>
      <c r="Y503" s="21" t="s">
        <v>69</v>
      </c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2"/>
      <c r="AK503" s="22"/>
      <c r="AL503" s="22"/>
      <c r="AM503" s="21" t="s">
        <v>70</v>
      </c>
      <c r="AN503" s="21" t="s">
        <v>70</v>
      </c>
      <c r="AO503" s="21" t="str">
        <f>_xlfn.XLOOKUP(A:A,[1]TAGS!$A:$A,[1]TAGS!$BG:$BG)</f>
        <v>Não Montado</v>
      </c>
      <c r="AP503" s="21"/>
      <c r="AQ503" s="21"/>
      <c r="AR503" s="21"/>
      <c r="AS503" s="21"/>
      <c r="AT503" s="21"/>
      <c r="AU503" s="21"/>
    </row>
    <row r="504" spans="1:47" x14ac:dyDescent="0.35">
      <c r="A504" s="19" t="s">
        <v>1803</v>
      </c>
      <c r="B504" s="19" t="s">
        <v>52</v>
      </c>
      <c r="C504" s="19"/>
      <c r="D504" s="19" t="s">
        <v>53</v>
      </c>
      <c r="E504" s="19" t="s">
        <v>54</v>
      </c>
      <c r="F504" s="20" t="s">
        <v>55</v>
      </c>
      <c r="G504" s="20" t="s">
        <v>75</v>
      </c>
      <c r="H504" s="19" t="s">
        <v>1804</v>
      </c>
      <c r="I504" s="20" t="s">
        <v>58</v>
      </c>
      <c r="J504" s="20" t="s">
        <v>77</v>
      </c>
      <c r="K504" s="20" t="s">
        <v>1805</v>
      </c>
      <c r="L504" s="19" t="s">
        <v>61</v>
      </c>
      <c r="M504" s="19" t="s">
        <v>62</v>
      </c>
      <c r="N504" s="20" t="s">
        <v>63</v>
      </c>
      <c r="O504" s="19">
        <v>21</v>
      </c>
      <c r="P504" s="19">
        <v>3.73</v>
      </c>
      <c r="Q504" s="19">
        <v>1</v>
      </c>
      <c r="R504" s="20">
        <v>7</v>
      </c>
      <c r="S504" s="19">
        <v>6.6000000000000003E-2</v>
      </c>
      <c r="T504" s="19" t="s">
        <v>64</v>
      </c>
      <c r="U504" s="19" t="s">
        <v>65</v>
      </c>
      <c r="V504" s="19" t="s">
        <v>66</v>
      </c>
      <c r="W504" s="19" t="s">
        <v>67</v>
      </c>
      <c r="X504" s="19" t="s">
        <v>68</v>
      </c>
      <c r="Y504" s="21" t="s">
        <v>69</v>
      </c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2"/>
      <c r="AK504" s="22"/>
      <c r="AL504" s="22"/>
      <c r="AM504" s="21" t="s">
        <v>70</v>
      </c>
      <c r="AN504" s="21" t="s">
        <v>70</v>
      </c>
      <c r="AO504" s="21" t="str">
        <f>_xlfn.XLOOKUP(A:A,[1]TAGS!$A:$A,[1]TAGS!$BG:$BG)</f>
        <v>Não Montado</v>
      </c>
      <c r="AP504" s="21"/>
      <c r="AQ504" s="21"/>
      <c r="AR504" s="21"/>
      <c r="AS504" s="21"/>
      <c r="AT504" s="21"/>
      <c r="AU504" s="21"/>
    </row>
    <row r="505" spans="1:47" x14ac:dyDescent="0.35">
      <c r="A505" s="19" t="s">
        <v>1806</v>
      </c>
      <c r="B505" s="19" t="s">
        <v>52</v>
      </c>
      <c r="C505" s="19"/>
      <c r="D505" s="19" t="s">
        <v>53</v>
      </c>
      <c r="E505" s="19" t="s">
        <v>54</v>
      </c>
      <c r="F505" s="20" t="s">
        <v>55</v>
      </c>
      <c r="G505" s="20" t="s">
        <v>75</v>
      </c>
      <c r="H505" s="19" t="s">
        <v>1807</v>
      </c>
      <c r="I505" s="20" t="s">
        <v>58</v>
      </c>
      <c r="J505" s="20" t="s">
        <v>77</v>
      </c>
      <c r="K505" s="20" t="s">
        <v>1808</v>
      </c>
      <c r="L505" s="19" t="s">
        <v>61</v>
      </c>
      <c r="M505" s="19" t="s">
        <v>62</v>
      </c>
      <c r="N505" s="20" t="s">
        <v>63</v>
      </c>
      <c r="O505" s="19">
        <v>21</v>
      </c>
      <c r="P505" s="19">
        <v>3.73</v>
      </c>
      <c r="Q505" s="19">
        <v>1</v>
      </c>
      <c r="R505" s="20">
        <v>7</v>
      </c>
      <c r="S505" s="19">
        <v>6.6000000000000003E-2</v>
      </c>
      <c r="T505" s="19" t="s">
        <v>64</v>
      </c>
      <c r="U505" s="19" t="s">
        <v>65</v>
      </c>
      <c r="V505" s="19" t="s">
        <v>66</v>
      </c>
      <c r="W505" s="19" t="s">
        <v>67</v>
      </c>
      <c r="X505" s="19" t="s">
        <v>68</v>
      </c>
      <c r="Y505" s="21" t="s">
        <v>69</v>
      </c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2"/>
      <c r="AK505" s="22"/>
      <c r="AL505" s="22"/>
      <c r="AM505" s="21" t="s">
        <v>70</v>
      </c>
      <c r="AN505" s="21" t="s">
        <v>70</v>
      </c>
      <c r="AO505" s="21" t="str">
        <f>_xlfn.XLOOKUP(A:A,[1]TAGS!$A:$A,[1]TAGS!$BG:$BG)</f>
        <v>Não Montado</v>
      </c>
      <c r="AP505" s="21"/>
      <c r="AQ505" s="21"/>
      <c r="AR505" s="21"/>
      <c r="AS505" s="21"/>
      <c r="AT505" s="21"/>
      <c r="AU505" s="21"/>
    </row>
    <row r="506" spans="1:47" x14ac:dyDescent="0.35">
      <c r="A506" s="19" t="s">
        <v>1809</v>
      </c>
      <c r="B506" s="19" t="s">
        <v>52</v>
      </c>
      <c r="C506" s="19"/>
      <c r="D506" s="19" t="s">
        <v>53</v>
      </c>
      <c r="E506" s="19" t="s">
        <v>54</v>
      </c>
      <c r="F506" s="20" t="s">
        <v>55</v>
      </c>
      <c r="G506" s="20" t="s">
        <v>75</v>
      </c>
      <c r="H506" s="19" t="s">
        <v>1810</v>
      </c>
      <c r="I506" s="20" t="s">
        <v>58</v>
      </c>
      <c r="J506" s="20" t="s">
        <v>77</v>
      </c>
      <c r="K506" s="20" t="s">
        <v>1811</v>
      </c>
      <c r="L506" s="19" t="s">
        <v>61</v>
      </c>
      <c r="M506" s="19" t="s">
        <v>62</v>
      </c>
      <c r="N506" s="20" t="s">
        <v>63</v>
      </c>
      <c r="O506" s="19">
        <v>21</v>
      </c>
      <c r="P506" s="19">
        <v>3.73</v>
      </c>
      <c r="Q506" s="19">
        <v>1</v>
      </c>
      <c r="R506" s="20">
        <v>7</v>
      </c>
      <c r="S506" s="19">
        <v>6.6000000000000003E-2</v>
      </c>
      <c r="T506" s="19" t="s">
        <v>64</v>
      </c>
      <c r="U506" s="19" t="s">
        <v>65</v>
      </c>
      <c r="V506" s="19" t="s">
        <v>66</v>
      </c>
      <c r="W506" s="19" t="s">
        <v>67</v>
      </c>
      <c r="X506" s="19" t="s">
        <v>68</v>
      </c>
      <c r="Y506" s="21" t="s">
        <v>69</v>
      </c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2"/>
      <c r="AK506" s="22"/>
      <c r="AL506" s="22"/>
      <c r="AM506" s="21" t="s">
        <v>70</v>
      </c>
      <c r="AN506" s="21" t="s">
        <v>70</v>
      </c>
      <c r="AO506" s="21" t="str">
        <f>_xlfn.XLOOKUP(A:A,[1]TAGS!$A:$A,[1]TAGS!$BG:$BG)</f>
        <v>Não Montado</v>
      </c>
      <c r="AP506" s="21"/>
      <c r="AQ506" s="21"/>
      <c r="AR506" s="21"/>
      <c r="AS506" s="21"/>
      <c r="AT506" s="21"/>
      <c r="AU506" s="21"/>
    </row>
    <row r="507" spans="1:47" x14ac:dyDescent="0.35">
      <c r="A507" s="19" t="s">
        <v>1812</v>
      </c>
      <c r="B507" s="19" t="s">
        <v>52</v>
      </c>
      <c r="C507" s="19"/>
      <c r="D507" s="19" t="s">
        <v>53</v>
      </c>
      <c r="E507" s="19" t="s">
        <v>54</v>
      </c>
      <c r="F507" s="20" t="s">
        <v>55</v>
      </c>
      <c r="G507" s="20" t="s">
        <v>75</v>
      </c>
      <c r="H507" s="19" t="s">
        <v>1813</v>
      </c>
      <c r="I507" s="20" t="s">
        <v>58</v>
      </c>
      <c r="J507" s="20" t="s">
        <v>77</v>
      </c>
      <c r="K507" s="20" t="s">
        <v>1814</v>
      </c>
      <c r="L507" s="19" t="s">
        <v>61</v>
      </c>
      <c r="M507" s="19" t="s">
        <v>62</v>
      </c>
      <c r="N507" s="20" t="s">
        <v>63</v>
      </c>
      <c r="O507" s="19">
        <v>21</v>
      </c>
      <c r="P507" s="19">
        <v>3.73</v>
      </c>
      <c r="Q507" s="19">
        <v>1</v>
      </c>
      <c r="R507" s="20">
        <v>7</v>
      </c>
      <c r="S507" s="19">
        <v>6.6000000000000003E-2</v>
      </c>
      <c r="T507" s="19" t="s">
        <v>64</v>
      </c>
      <c r="U507" s="19" t="s">
        <v>65</v>
      </c>
      <c r="V507" s="19" t="s">
        <v>66</v>
      </c>
      <c r="W507" s="19" t="s">
        <v>67</v>
      </c>
      <c r="X507" s="19" t="s">
        <v>68</v>
      </c>
      <c r="Y507" s="21" t="s">
        <v>69</v>
      </c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2"/>
      <c r="AK507" s="22"/>
      <c r="AL507" s="22"/>
      <c r="AM507" s="21" t="s">
        <v>70</v>
      </c>
      <c r="AN507" s="21" t="s">
        <v>70</v>
      </c>
      <c r="AO507" s="21" t="str">
        <f>_xlfn.XLOOKUP(A:A,[1]TAGS!$A:$A,[1]TAGS!$BG:$BG)</f>
        <v>Montado</v>
      </c>
      <c r="AP507" s="21"/>
      <c r="AQ507" s="21"/>
      <c r="AR507" s="21"/>
      <c r="AS507" s="21"/>
      <c r="AT507" s="21"/>
      <c r="AU507" s="21"/>
    </row>
    <row r="508" spans="1:47" x14ac:dyDescent="0.35">
      <c r="A508" s="19" t="s">
        <v>1815</v>
      </c>
      <c r="B508" s="19" t="s">
        <v>52</v>
      </c>
      <c r="C508" s="19"/>
      <c r="D508" s="19" t="s">
        <v>53</v>
      </c>
      <c r="E508" s="19" t="s">
        <v>54</v>
      </c>
      <c r="F508" s="20" t="s">
        <v>55</v>
      </c>
      <c r="G508" s="20" t="s">
        <v>75</v>
      </c>
      <c r="H508" s="19" t="s">
        <v>1816</v>
      </c>
      <c r="I508" s="20" t="s">
        <v>58</v>
      </c>
      <c r="J508" s="20" t="s">
        <v>77</v>
      </c>
      <c r="K508" s="20" t="s">
        <v>1817</v>
      </c>
      <c r="L508" s="19" t="s">
        <v>61</v>
      </c>
      <c r="M508" s="19" t="s">
        <v>62</v>
      </c>
      <c r="N508" s="20" t="s">
        <v>63</v>
      </c>
      <c r="O508" s="19">
        <v>21</v>
      </c>
      <c r="P508" s="19">
        <v>3.73</v>
      </c>
      <c r="Q508" s="19">
        <v>1</v>
      </c>
      <c r="R508" s="20">
        <v>7</v>
      </c>
      <c r="S508" s="19">
        <v>6.6000000000000003E-2</v>
      </c>
      <c r="T508" s="19" t="s">
        <v>64</v>
      </c>
      <c r="U508" s="19" t="s">
        <v>65</v>
      </c>
      <c r="V508" s="19" t="s">
        <v>66</v>
      </c>
      <c r="W508" s="19" t="s">
        <v>67</v>
      </c>
      <c r="X508" s="19" t="s">
        <v>68</v>
      </c>
      <c r="Y508" s="21" t="s">
        <v>69</v>
      </c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2"/>
      <c r="AK508" s="22"/>
      <c r="AL508" s="22"/>
      <c r="AM508" s="21" t="s">
        <v>70</v>
      </c>
      <c r="AN508" s="21" t="s">
        <v>70</v>
      </c>
      <c r="AO508" s="21" t="str">
        <f>_xlfn.XLOOKUP(A:A,[1]TAGS!$A:$A,[1]TAGS!$BG:$BG)</f>
        <v>Montado</v>
      </c>
      <c r="AP508" s="21"/>
      <c r="AQ508" s="21"/>
      <c r="AR508" s="21"/>
      <c r="AS508" s="21"/>
      <c r="AT508" s="21"/>
      <c r="AU508" s="21"/>
    </row>
    <row r="509" spans="1:47" x14ac:dyDescent="0.35">
      <c r="A509" s="19" t="s">
        <v>1818</v>
      </c>
      <c r="B509" s="19" t="s">
        <v>52</v>
      </c>
      <c r="C509" s="19"/>
      <c r="D509" s="19" t="s">
        <v>53</v>
      </c>
      <c r="E509" s="19" t="s">
        <v>54</v>
      </c>
      <c r="F509" s="20" t="s">
        <v>55</v>
      </c>
      <c r="G509" s="20" t="s">
        <v>75</v>
      </c>
      <c r="H509" s="19" t="s">
        <v>1819</v>
      </c>
      <c r="I509" s="20" t="s">
        <v>58</v>
      </c>
      <c r="J509" s="20" t="s">
        <v>77</v>
      </c>
      <c r="K509" s="20" t="s">
        <v>1820</v>
      </c>
      <c r="L509" s="19" t="s">
        <v>61</v>
      </c>
      <c r="M509" s="19" t="s">
        <v>62</v>
      </c>
      <c r="N509" s="20" t="s">
        <v>63</v>
      </c>
      <c r="O509" s="19">
        <v>21</v>
      </c>
      <c r="P509" s="19">
        <v>3.73</v>
      </c>
      <c r="Q509" s="19">
        <v>1</v>
      </c>
      <c r="R509" s="20">
        <v>7</v>
      </c>
      <c r="S509" s="19">
        <v>6.6000000000000003E-2</v>
      </c>
      <c r="T509" s="19" t="s">
        <v>64</v>
      </c>
      <c r="U509" s="19" t="s">
        <v>65</v>
      </c>
      <c r="V509" s="19" t="s">
        <v>66</v>
      </c>
      <c r="W509" s="19" t="s">
        <v>67</v>
      </c>
      <c r="X509" s="19" t="s">
        <v>68</v>
      </c>
      <c r="Y509" s="21" t="s">
        <v>69</v>
      </c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2"/>
      <c r="AK509" s="22"/>
      <c r="AL509" s="22"/>
      <c r="AM509" s="21" t="s">
        <v>70</v>
      </c>
      <c r="AN509" s="21" t="s">
        <v>70</v>
      </c>
      <c r="AO509" s="21" t="str">
        <f>_xlfn.XLOOKUP(A:A,[1]TAGS!$A:$A,[1]TAGS!$BG:$BG)</f>
        <v>Não Montado</v>
      </c>
      <c r="AP509" s="21"/>
      <c r="AQ509" s="21"/>
      <c r="AR509" s="21"/>
      <c r="AS509" s="21"/>
      <c r="AT509" s="21"/>
      <c r="AU509" s="21"/>
    </row>
    <row r="510" spans="1:47" x14ac:dyDescent="0.35">
      <c r="A510" s="19" t="s">
        <v>1821</v>
      </c>
      <c r="B510" s="19" t="s">
        <v>52</v>
      </c>
      <c r="C510" s="19"/>
      <c r="D510" s="19" t="s">
        <v>53</v>
      </c>
      <c r="E510" s="19" t="s">
        <v>54</v>
      </c>
      <c r="F510" s="20" t="s">
        <v>55</v>
      </c>
      <c r="G510" s="20" t="s">
        <v>75</v>
      </c>
      <c r="H510" s="19" t="s">
        <v>1822</v>
      </c>
      <c r="I510" s="20" t="s">
        <v>58</v>
      </c>
      <c r="J510" s="20" t="s">
        <v>77</v>
      </c>
      <c r="K510" s="20" t="s">
        <v>1823</v>
      </c>
      <c r="L510" s="19" t="s">
        <v>61</v>
      </c>
      <c r="M510" s="19" t="s">
        <v>62</v>
      </c>
      <c r="N510" s="20" t="s">
        <v>63</v>
      </c>
      <c r="O510" s="19">
        <v>21</v>
      </c>
      <c r="P510" s="19">
        <v>3.73</v>
      </c>
      <c r="Q510" s="19">
        <v>1</v>
      </c>
      <c r="R510" s="20">
        <v>7</v>
      </c>
      <c r="S510" s="19">
        <v>6.6000000000000003E-2</v>
      </c>
      <c r="T510" s="19" t="s">
        <v>64</v>
      </c>
      <c r="U510" s="19" t="s">
        <v>65</v>
      </c>
      <c r="V510" s="19" t="s">
        <v>66</v>
      </c>
      <c r="W510" s="19" t="s">
        <v>67</v>
      </c>
      <c r="X510" s="19" t="s">
        <v>68</v>
      </c>
      <c r="Y510" s="21" t="s">
        <v>69</v>
      </c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2"/>
      <c r="AK510" s="22"/>
      <c r="AL510" s="22"/>
      <c r="AM510" s="21" t="s">
        <v>70</v>
      </c>
      <c r="AN510" s="21" t="s">
        <v>70</v>
      </c>
      <c r="AO510" s="21" t="str">
        <f>_xlfn.XLOOKUP(A:A,[1]TAGS!$A:$A,[1]TAGS!$BG:$BG)</f>
        <v>Não Montado</v>
      </c>
      <c r="AP510" s="21"/>
      <c r="AQ510" s="21"/>
      <c r="AR510" s="21"/>
      <c r="AS510" s="21"/>
      <c r="AT510" s="21"/>
      <c r="AU510" s="21"/>
    </row>
    <row r="511" spans="1:47" x14ac:dyDescent="0.35">
      <c r="A511" s="19" t="s">
        <v>1824</v>
      </c>
      <c r="B511" s="19" t="s">
        <v>52</v>
      </c>
      <c r="C511" s="19"/>
      <c r="D511" s="19" t="s">
        <v>53</v>
      </c>
      <c r="E511" s="19" t="s">
        <v>54</v>
      </c>
      <c r="F511" s="20" t="s">
        <v>55</v>
      </c>
      <c r="G511" s="20" t="s">
        <v>75</v>
      </c>
      <c r="H511" s="19" t="s">
        <v>1825</v>
      </c>
      <c r="I511" s="20" t="s">
        <v>58</v>
      </c>
      <c r="J511" s="20" t="s">
        <v>77</v>
      </c>
      <c r="K511" s="20" t="s">
        <v>1826</v>
      </c>
      <c r="L511" s="19" t="s">
        <v>61</v>
      </c>
      <c r="M511" s="19" t="s">
        <v>62</v>
      </c>
      <c r="N511" s="20" t="s">
        <v>63</v>
      </c>
      <c r="O511" s="19">
        <v>21</v>
      </c>
      <c r="P511" s="19">
        <v>3.73</v>
      </c>
      <c r="Q511" s="19">
        <v>1</v>
      </c>
      <c r="R511" s="20">
        <v>7</v>
      </c>
      <c r="S511" s="19">
        <v>6.6000000000000003E-2</v>
      </c>
      <c r="T511" s="19" t="s">
        <v>64</v>
      </c>
      <c r="U511" s="19" t="s">
        <v>65</v>
      </c>
      <c r="V511" s="19" t="s">
        <v>66</v>
      </c>
      <c r="W511" s="19" t="s">
        <v>67</v>
      </c>
      <c r="X511" s="19" t="s">
        <v>68</v>
      </c>
      <c r="Y511" s="21" t="s">
        <v>69</v>
      </c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2"/>
      <c r="AK511" s="22"/>
      <c r="AL511" s="22"/>
      <c r="AM511" s="21" t="s">
        <v>70</v>
      </c>
      <c r="AN511" s="21" t="s">
        <v>70</v>
      </c>
      <c r="AO511" s="21" t="str">
        <f>_xlfn.XLOOKUP(A:A,[1]TAGS!$A:$A,[1]TAGS!$BG:$BG)</f>
        <v>Não Montado</v>
      </c>
      <c r="AP511" s="21"/>
      <c r="AQ511" s="21"/>
      <c r="AR511" s="21"/>
      <c r="AS511" s="21"/>
      <c r="AT511" s="21"/>
      <c r="AU511" s="21"/>
    </row>
    <row r="512" spans="1:47" x14ac:dyDescent="0.35">
      <c r="A512" s="19" t="s">
        <v>1827</v>
      </c>
      <c r="B512" s="19" t="s">
        <v>52</v>
      </c>
      <c r="C512" s="19"/>
      <c r="D512" s="19" t="s">
        <v>53</v>
      </c>
      <c r="E512" s="19" t="s">
        <v>54</v>
      </c>
      <c r="F512" s="20" t="s">
        <v>55</v>
      </c>
      <c r="G512" s="20" t="s">
        <v>75</v>
      </c>
      <c r="H512" s="19" t="s">
        <v>1828</v>
      </c>
      <c r="I512" s="20" t="s">
        <v>58</v>
      </c>
      <c r="J512" s="20" t="s">
        <v>77</v>
      </c>
      <c r="K512" s="20" t="s">
        <v>1829</v>
      </c>
      <c r="L512" s="19" t="s">
        <v>61</v>
      </c>
      <c r="M512" s="19" t="s">
        <v>62</v>
      </c>
      <c r="N512" s="20" t="s">
        <v>63</v>
      </c>
      <c r="O512" s="19">
        <v>21</v>
      </c>
      <c r="P512" s="19">
        <v>3.73</v>
      </c>
      <c r="Q512" s="19">
        <v>1</v>
      </c>
      <c r="R512" s="20">
        <v>7.5</v>
      </c>
      <c r="S512" s="19">
        <v>6.6000000000000003E-2</v>
      </c>
      <c r="T512" s="19" t="s">
        <v>64</v>
      </c>
      <c r="U512" s="19" t="s">
        <v>65</v>
      </c>
      <c r="V512" s="19" t="s">
        <v>66</v>
      </c>
      <c r="W512" s="19" t="s">
        <v>67</v>
      </c>
      <c r="X512" s="19" t="s">
        <v>68</v>
      </c>
      <c r="Y512" s="21" t="s">
        <v>69</v>
      </c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2"/>
      <c r="AK512" s="22"/>
      <c r="AL512" s="22"/>
      <c r="AM512" s="21" t="s">
        <v>70</v>
      </c>
      <c r="AN512" s="21" t="s">
        <v>70</v>
      </c>
      <c r="AO512" s="21" t="str">
        <f>_xlfn.XLOOKUP(A:A,[1]TAGS!$A:$A,[1]TAGS!$BG:$BG)</f>
        <v>Não Montado</v>
      </c>
      <c r="AP512" s="21"/>
      <c r="AQ512" s="21"/>
      <c r="AR512" s="21"/>
      <c r="AS512" s="21"/>
      <c r="AT512" s="21"/>
      <c r="AU512" s="21"/>
    </row>
    <row r="513" spans="1:47" x14ac:dyDescent="0.35">
      <c r="A513" s="19" t="s">
        <v>1830</v>
      </c>
      <c r="B513" s="19" t="s">
        <v>52</v>
      </c>
      <c r="C513" s="19"/>
      <c r="D513" s="19" t="s">
        <v>53</v>
      </c>
      <c r="E513" s="19" t="s">
        <v>54</v>
      </c>
      <c r="F513" s="20" t="s">
        <v>397</v>
      </c>
      <c r="G513" s="20" t="s">
        <v>398</v>
      </c>
      <c r="H513" s="19" t="s">
        <v>1831</v>
      </c>
      <c r="I513" s="20" t="s">
        <v>58</v>
      </c>
      <c r="J513" s="20" t="s">
        <v>400</v>
      </c>
      <c r="K513" s="20" t="s">
        <v>1832</v>
      </c>
      <c r="L513" s="19" t="s">
        <v>61</v>
      </c>
      <c r="M513" s="19" t="s">
        <v>62</v>
      </c>
      <c r="N513" s="20" t="s">
        <v>63</v>
      </c>
      <c r="O513" s="19">
        <v>21</v>
      </c>
      <c r="P513" s="19">
        <v>3.73</v>
      </c>
      <c r="Q513" s="19">
        <v>1</v>
      </c>
      <c r="R513" s="20">
        <v>7.5</v>
      </c>
      <c r="S513" s="19">
        <v>6.6000000000000003E-2</v>
      </c>
      <c r="T513" s="19" t="s">
        <v>64</v>
      </c>
      <c r="U513" s="19" t="s">
        <v>65</v>
      </c>
      <c r="V513" s="19" t="s">
        <v>66</v>
      </c>
      <c r="W513" s="19" t="s">
        <v>67</v>
      </c>
      <c r="X513" s="19" t="s">
        <v>68</v>
      </c>
      <c r="Y513" s="21" t="s">
        <v>69</v>
      </c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2"/>
      <c r="AK513" s="22"/>
      <c r="AL513" s="22"/>
      <c r="AM513" s="21" t="s">
        <v>70</v>
      </c>
      <c r="AN513" s="21" t="s">
        <v>70</v>
      </c>
      <c r="AO513" s="21" t="str">
        <f>_xlfn.XLOOKUP(A:A,[1]TAGS!$A:$A,[1]TAGS!$BG:$BG)</f>
        <v>Montado</v>
      </c>
      <c r="AP513" s="21"/>
      <c r="AQ513" s="21"/>
      <c r="AR513" s="21"/>
      <c r="AS513" s="21"/>
      <c r="AT513" s="21"/>
      <c r="AU513" s="21"/>
    </row>
    <row r="514" spans="1:47" x14ac:dyDescent="0.35">
      <c r="A514" s="19" t="s">
        <v>1833</v>
      </c>
      <c r="B514" s="19" t="s">
        <v>52</v>
      </c>
      <c r="C514" s="19"/>
      <c r="D514" s="19" t="s">
        <v>53</v>
      </c>
      <c r="E514" s="19" t="s">
        <v>54</v>
      </c>
      <c r="F514" s="20" t="s">
        <v>370</v>
      </c>
      <c r="G514" s="20" t="s">
        <v>371</v>
      </c>
      <c r="H514" s="19" t="s">
        <v>1834</v>
      </c>
      <c r="I514" s="20" t="s">
        <v>58</v>
      </c>
      <c r="J514" s="20" t="s">
        <v>373</v>
      </c>
      <c r="K514" s="20" t="s">
        <v>1835</v>
      </c>
      <c r="L514" s="19" t="s">
        <v>61</v>
      </c>
      <c r="M514" s="19" t="s">
        <v>62</v>
      </c>
      <c r="N514" s="20" t="s">
        <v>63</v>
      </c>
      <c r="O514" s="19">
        <v>21</v>
      </c>
      <c r="P514" s="19">
        <v>3.73</v>
      </c>
      <c r="Q514" s="19">
        <v>1</v>
      </c>
      <c r="R514" s="20">
        <v>7.5</v>
      </c>
      <c r="S514" s="19">
        <v>6.6000000000000003E-2</v>
      </c>
      <c r="T514" s="19" t="s">
        <v>64</v>
      </c>
      <c r="U514" s="19" t="s">
        <v>65</v>
      </c>
      <c r="V514" s="19" t="s">
        <v>66</v>
      </c>
      <c r="W514" s="19" t="s">
        <v>67</v>
      </c>
      <c r="X514" s="19" t="s">
        <v>68</v>
      </c>
      <c r="Y514" s="21" t="s">
        <v>69</v>
      </c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2"/>
      <c r="AK514" s="22"/>
      <c r="AL514" s="22"/>
      <c r="AM514" s="21" t="s">
        <v>70</v>
      </c>
      <c r="AN514" s="21" t="s">
        <v>70</v>
      </c>
      <c r="AO514" s="21" t="str">
        <f>_xlfn.XLOOKUP(A:A,[1]TAGS!$A:$A,[1]TAGS!$BG:$BG)</f>
        <v>Não Montado</v>
      </c>
      <c r="AP514" s="21"/>
      <c r="AQ514" s="21"/>
      <c r="AR514" s="21"/>
      <c r="AS514" s="21"/>
      <c r="AT514" s="21"/>
      <c r="AU514" s="21"/>
    </row>
    <row r="515" spans="1:47" x14ac:dyDescent="0.35">
      <c r="A515" s="19" t="s">
        <v>1836</v>
      </c>
      <c r="B515" s="19" t="s">
        <v>52</v>
      </c>
      <c r="C515" s="19"/>
      <c r="D515" s="19" t="s">
        <v>53</v>
      </c>
      <c r="E515" s="19" t="s">
        <v>54</v>
      </c>
      <c r="F515" s="20" t="s">
        <v>370</v>
      </c>
      <c r="G515" s="20" t="s">
        <v>371</v>
      </c>
      <c r="H515" s="19" t="s">
        <v>1837</v>
      </c>
      <c r="I515" s="20" t="s">
        <v>58</v>
      </c>
      <c r="J515" s="20" t="s">
        <v>373</v>
      </c>
      <c r="K515" s="20" t="s">
        <v>1838</v>
      </c>
      <c r="L515" s="19" t="s">
        <v>61</v>
      </c>
      <c r="M515" s="19" t="s">
        <v>62</v>
      </c>
      <c r="N515" s="20" t="s">
        <v>63</v>
      </c>
      <c r="O515" s="19">
        <v>21</v>
      </c>
      <c r="P515" s="19">
        <v>3.73</v>
      </c>
      <c r="Q515" s="19">
        <v>1</v>
      </c>
      <c r="R515" s="20">
        <v>7.5</v>
      </c>
      <c r="S515" s="19">
        <v>6.6000000000000003E-2</v>
      </c>
      <c r="T515" s="19" t="s">
        <v>64</v>
      </c>
      <c r="U515" s="19" t="s">
        <v>65</v>
      </c>
      <c r="V515" s="19" t="s">
        <v>66</v>
      </c>
      <c r="W515" s="19" t="s">
        <v>67</v>
      </c>
      <c r="X515" s="19" t="s">
        <v>68</v>
      </c>
      <c r="Y515" s="21" t="s">
        <v>69</v>
      </c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2"/>
      <c r="AK515" s="22"/>
      <c r="AL515" s="22"/>
      <c r="AM515" s="21" t="s">
        <v>70</v>
      </c>
      <c r="AN515" s="21" t="s">
        <v>70</v>
      </c>
      <c r="AO515" s="21" t="str">
        <f>_xlfn.XLOOKUP(A:A,[1]TAGS!$A:$A,[1]TAGS!$BG:$BG)</f>
        <v>Não Montado</v>
      </c>
      <c r="AP515" s="21"/>
      <c r="AQ515" s="21"/>
      <c r="AR515" s="21"/>
      <c r="AS515" s="21"/>
      <c r="AT515" s="21"/>
      <c r="AU515" s="21"/>
    </row>
    <row r="516" spans="1:47" x14ac:dyDescent="0.35">
      <c r="A516" s="19" t="s">
        <v>1839</v>
      </c>
      <c r="B516" s="19" t="s">
        <v>52</v>
      </c>
      <c r="C516" s="19"/>
      <c r="D516" s="19" t="s">
        <v>53</v>
      </c>
      <c r="E516" s="19" t="s">
        <v>54</v>
      </c>
      <c r="F516" s="20" t="s">
        <v>370</v>
      </c>
      <c r="G516" s="20" t="s">
        <v>371</v>
      </c>
      <c r="H516" s="19" t="s">
        <v>1840</v>
      </c>
      <c r="I516" s="20" t="s">
        <v>58</v>
      </c>
      <c r="J516" s="20" t="s">
        <v>373</v>
      </c>
      <c r="K516" s="20" t="s">
        <v>1841</v>
      </c>
      <c r="L516" s="19" t="s">
        <v>61</v>
      </c>
      <c r="M516" s="19" t="s">
        <v>62</v>
      </c>
      <c r="N516" s="20" t="s">
        <v>63</v>
      </c>
      <c r="O516" s="19">
        <v>21</v>
      </c>
      <c r="P516" s="19">
        <v>3.73</v>
      </c>
      <c r="Q516" s="19">
        <v>1</v>
      </c>
      <c r="R516" s="20">
        <v>7.5</v>
      </c>
      <c r="S516" s="19">
        <v>6.6000000000000003E-2</v>
      </c>
      <c r="T516" s="19" t="s">
        <v>64</v>
      </c>
      <c r="U516" s="19" t="s">
        <v>65</v>
      </c>
      <c r="V516" s="19" t="s">
        <v>66</v>
      </c>
      <c r="W516" s="19" t="s">
        <v>67</v>
      </c>
      <c r="X516" s="19" t="s">
        <v>68</v>
      </c>
      <c r="Y516" s="21" t="s">
        <v>69</v>
      </c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2"/>
      <c r="AK516" s="22"/>
      <c r="AL516" s="22"/>
      <c r="AM516" s="21" t="s">
        <v>70</v>
      </c>
      <c r="AN516" s="21" t="s">
        <v>70</v>
      </c>
      <c r="AO516" s="21" t="str">
        <f>_xlfn.XLOOKUP(A:A,[1]TAGS!$A:$A,[1]TAGS!$BG:$BG)</f>
        <v>Não Montado</v>
      </c>
      <c r="AP516" s="21"/>
      <c r="AQ516" s="21"/>
      <c r="AR516" s="21"/>
      <c r="AS516" s="21"/>
      <c r="AT516" s="21"/>
      <c r="AU516" s="21"/>
    </row>
    <row r="517" spans="1:47" x14ac:dyDescent="0.35">
      <c r="A517" s="19" t="s">
        <v>1842</v>
      </c>
      <c r="B517" s="19" t="s">
        <v>52</v>
      </c>
      <c r="C517" s="19"/>
      <c r="D517" s="19" t="s">
        <v>53</v>
      </c>
      <c r="E517" s="19" t="s">
        <v>54</v>
      </c>
      <c r="F517" s="20" t="s">
        <v>370</v>
      </c>
      <c r="G517" s="20" t="s">
        <v>371</v>
      </c>
      <c r="H517" s="19" t="s">
        <v>1843</v>
      </c>
      <c r="I517" s="20" t="s">
        <v>58</v>
      </c>
      <c r="J517" s="20" t="s">
        <v>373</v>
      </c>
      <c r="K517" s="20" t="s">
        <v>1844</v>
      </c>
      <c r="L517" s="19" t="s">
        <v>61</v>
      </c>
      <c r="M517" s="19" t="s">
        <v>62</v>
      </c>
      <c r="N517" s="20" t="s">
        <v>63</v>
      </c>
      <c r="O517" s="19">
        <v>21</v>
      </c>
      <c r="P517" s="19">
        <v>3.73</v>
      </c>
      <c r="Q517" s="19">
        <v>1</v>
      </c>
      <c r="R517" s="20">
        <v>7.5</v>
      </c>
      <c r="S517" s="19">
        <v>6.6000000000000003E-2</v>
      </c>
      <c r="T517" s="19" t="s">
        <v>64</v>
      </c>
      <c r="U517" s="19" t="s">
        <v>65</v>
      </c>
      <c r="V517" s="19" t="s">
        <v>66</v>
      </c>
      <c r="W517" s="19" t="s">
        <v>67</v>
      </c>
      <c r="X517" s="19" t="s">
        <v>68</v>
      </c>
      <c r="Y517" s="21" t="s">
        <v>69</v>
      </c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2"/>
      <c r="AK517" s="22"/>
      <c r="AL517" s="22"/>
      <c r="AM517" s="21" t="s">
        <v>70</v>
      </c>
      <c r="AN517" s="21" t="s">
        <v>70</v>
      </c>
      <c r="AO517" s="21" t="str">
        <f>_xlfn.XLOOKUP(A:A,[1]TAGS!$A:$A,[1]TAGS!$BG:$BG)</f>
        <v>Não Montado</v>
      </c>
      <c r="AP517" s="21"/>
      <c r="AQ517" s="21"/>
      <c r="AR517" s="21"/>
      <c r="AS517" s="21"/>
      <c r="AT517" s="21"/>
      <c r="AU517" s="21"/>
    </row>
    <row r="518" spans="1:47" x14ac:dyDescent="0.35">
      <c r="A518" s="19" t="s">
        <v>1845</v>
      </c>
      <c r="B518" s="19" t="s">
        <v>52</v>
      </c>
      <c r="C518" s="19"/>
      <c r="D518" s="19" t="s">
        <v>53</v>
      </c>
      <c r="E518" s="19" t="s">
        <v>54</v>
      </c>
      <c r="F518" s="20" t="s">
        <v>370</v>
      </c>
      <c r="G518" s="20" t="s">
        <v>371</v>
      </c>
      <c r="H518" s="19" t="s">
        <v>1846</v>
      </c>
      <c r="I518" s="20" t="s">
        <v>58</v>
      </c>
      <c r="J518" s="20" t="s">
        <v>373</v>
      </c>
      <c r="K518" s="20" t="s">
        <v>1847</v>
      </c>
      <c r="L518" s="19" t="s">
        <v>61</v>
      </c>
      <c r="M518" s="19" t="s">
        <v>62</v>
      </c>
      <c r="N518" s="20" t="s">
        <v>63</v>
      </c>
      <c r="O518" s="19">
        <v>21</v>
      </c>
      <c r="P518" s="19">
        <v>3.73</v>
      </c>
      <c r="Q518" s="19">
        <v>1</v>
      </c>
      <c r="R518" s="20">
        <v>7.5</v>
      </c>
      <c r="S518" s="19">
        <v>6.6000000000000003E-2</v>
      </c>
      <c r="T518" s="19" t="s">
        <v>64</v>
      </c>
      <c r="U518" s="19" t="s">
        <v>65</v>
      </c>
      <c r="V518" s="19" t="s">
        <v>66</v>
      </c>
      <c r="W518" s="19" t="s">
        <v>67</v>
      </c>
      <c r="X518" s="19" t="s">
        <v>68</v>
      </c>
      <c r="Y518" s="21" t="s">
        <v>69</v>
      </c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2"/>
      <c r="AK518" s="22"/>
      <c r="AL518" s="22"/>
      <c r="AM518" s="21" t="s">
        <v>70</v>
      </c>
      <c r="AN518" s="21" t="s">
        <v>70</v>
      </c>
      <c r="AO518" s="21" t="str">
        <f>_xlfn.XLOOKUP(A:A,[1]TAGS!$A:$A,[1]TAGS!$BG:$BG)</f>
        <v>Montado</v>
      </c>
      <c r="AP518" s="21"/>
      <c r="AQ518" s="21"/>
      <c r="AR518" s="21"/>
      <c r="AS518" s="21"/>
      <c r="AT518" s="21"/>
      <c r="AU518" s="21"/>
    </row>
    <row r="519" spans="1:47" x14ac:dyDescent="0.35">
      <c r="A519" s="19" t="s">
        <v>1848</v>
      </c>
      <c r="B519" s="19" t="s">
        <v>52</v>
      </c>
      <c r="C519" s="19"/>
      <c r="D519" s="19" t="s">
        <v>53</v>
      </c>
      <c r="E519" s="19" t="s">
        <v>54</v>
      </c>
      <c r="F519" s="20" t="s">
        <v>370</v>
      </c>
      <c r="G519" s="20" t="s">
        <v>371</v>
      </c>
      <c r="H519" s="19" t="s">
        <v>1849</v>
      </c>
      <c r="I519" s="20" t="s">
        <v>58</v>
      </c>
      <c r="J519" s="20" t="s">
        <v>373</v>
      </c>
      <c r="K519" s="20" t="s">
        <v>1850</v>
      </c>
      <c r="L519" s="19" t="s">
        <v>61</v>
      </c>
      <c r="M519" s="19" t="s">
        <v>62</v>
      </c>
      <c r="N519" s="20" t="s">
        <v>63</v>
      </c>
      <c r="O519" s="19">
        <v>21</v>
      </c>
      <c r="P519" s="19">
        <v>3.73</v>
      </c>
      <c r="Q519" s="19">
        <v>1</v>
      </c>
      <c r="R519" s="20">
        <v>7.5</v>
      </c>
      <c r="S519" s="19">
        <v>6.6000000000000003E-2</v>
      </c>
      <c r="T519" s="19" t="s">
        <v>64</v>
      </c>
      <c r="U519" s="19" t="s">
        <v>65</v>
      </c>
      <c r="V519" s="19" t="s">
        <v>66</v>
      </c>
      <c r="W519" s="19" t="s">
        <v>67</v>
      </c>
      <c r="X519" s="19" t="s">
        <v>68</v>
      </c>
      <c r="Y519" s="21" t="s">
        <v>69</v>
      </c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2"/>
      <c r="AK519" s="22"/>
      <c r="AL519" s="22"/>
      <c r="AM519" s="21" t="s">
        <v>70</v>
      </c>
      <c r="AN519" s="21" t="s">
        <v>70</v>
      </c>
      <c r="AO519" s="21" t="str">
        <f>_xlfn.XLOOKUP(A:A,[1]TAGS!$A:$A,[1]TAGS!$BG:$BG)</f>
        <v>Não Montado</v>
      </c>
      <c r="AP519" s="21"/>
      <c r="AQ519" s="21"/>
      <c r="AR519" s="21"/>
      <c r="AS519" s="21"/>
      <c r="AT519" s="21"/>
      <c r="AU519" s="21"/>
    </row>
    <row r="520" spans="1:47" x14ac:dyDescent="0.35">
      <c r="A520" s="19" t="s">
        <v>1851</v>
      </c>
      <c r="B520" s="19" t="s">
        <v>52</v>
      </c>
      <c r="C520" s="19"/>
      <c r="D520" s="19" t="s">
        <v>53</v>
      </c>
      <c r="E520" s="19" t="s">
        <v>54</v>
      </c>
      <c r="F520" s="20" t="s">
        <v>706</v>
      </c>
      <c r="G520" s="20" t="s">
        <v>707</v>
      </c>
      <c r="H520" s="19" t="s">
        <v>1852</v>
      </c>
      <c r="I520" s="20" t="s">
        <v>124</v>
      </c>
      <c r="J520" s="20" t="s">
        <v>709</v>
      </c>
      <c r="K520" s="20" t="s">
        <v>1853</v>
      </c>
      <c r="L520" s="19" t="s">
        <v>61</v>
      </c>
      <c r="M520" s="19" t="s">
        <v>62</v>
      </c>
      <c r="N520" s="20" t="s">
        <v>63</v>
      </c>
      <c r="O520" s="19">
        <v>21</v>
      </c>
      <c r="P520" s="19">
        <v>3.73</v>
      </c>
      <c r="Q520" s="19">
        <v>1</v>
      </c>
      <c r="R520" s="20">
        <v>7.5</v>
      </c>
      <c r="S520" s="19">
        <v>6.6000000000000003E-2</v>
      </c>
      <c r="T520" s="19" t="s">
        <v>64</v>
      </c>
      <c r="U520" s="19" t="s">
        <v>65</v>
      </c>
      <c r="V520" s="19" t="s">
        <v>66</v>
      </c>
      <c r="W520" s="19" t="s">
        <v>67</v>
      </c>
      <c r="X520" s="19" t="s">
        <v>68</v>
      </c>
      <c r="Y520" s="21" t="s">
        <v>69</v>
      </c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2"/>
      <c r="AK520" s="22"/>
      <c r="AL520" s="22"/>
      <c r="AM520" s="21" t="s">
        <v>70</v>
      </c>
      <c r="AN520" s="21" t="s">
        <v>70</v>
      </c>
      <c r="AO520" s="21" t="str">
        <f>_xlfn.XLOOKUP(A:A,[1]TAGS!$A:$A,[1]TAGS!$BG:$BG)</f>
        <v>Programar</v>
      </c>
      <c r="AP520" s="21"/>
      <c r="AQ520" s="21"/>
      <c r="AR520" s="21"/>
      <c r="AS520" s="21"/>
      <c r="AT520" s="21"/>
      <c r="AU520" s="21"/>
    </row>
    <row r="521" spans="1:47" x14ac:dyDescent="0.35">
      <c r="A521" s="19" t="s">
        <v>1854</v>
      </c>
      <c r="B521" s="19" t="s">
        <v>52</v>
      </c>
      <c r="C521" s="19"/>
      <c r="D521" s="19" t="s">
        <v>53</v>
      </c>
      <c r="E521" s="19" t="s">
        <v>54</v>
      </c>
      <c r="F521" s="20" t="s">
        <v>706</v>
      </c>
      <c r="G521" s="20" t="s">
        <v>707</v>
      </c>
      <c r="H521" s="19" t="s">
        <v>1855</v>
      </c>
      <c r="I521" s="20" t="s">
        <v>124</v>
      </c>
      <c r="J521" s="20" t="s">
        <v>709</v>
      </c>
      <c r="K521" s="20" t="s">
        <v>1856</v>
      </c>
      <c r="L521" s="19" t="s">
        <v>61</v>
      </c>
      <c r="M521" s="19" t="s">
        <v>62</v>
      </c>
      <c r="N521" s="20" t="s">
        <v>63</v>
      </c>
      <c r="O521" s="19">
        <v>21</v>
      </c>
      <c r="P521" s="19">
        <v>3.73</v>
      </c>
      <c r="Q521" s="19">
        <v>1</v>
      </c>
      <c r="R521" s="20">
        <v>7.5</v>
      </c>
      <c r="S521" s="19">
        <v>6.6000000000000003E-2</v>
      </c>
      <c r="T521" s="19" t="s">
        <v>64</v>
      </c>
      <c r="U521" s="19" t="s">
        <v>65</v>
      </c>
      <c r="V521" s="19" t="s">
        <v>66</v>
      </c>
      <c r="W521" s="19" t="s">
        <v>67</v>
      </c>
      <c r="X521" s="19" t="s">
        <v>68</v>
      </c>
      <c r="Y521" s="21" t="s">
        <v>69</v>
      </c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2"/>
      <c r="AK521" s="22"/>
      <c r="AL521" s="22"/>
      <c r="AM521" s="21" t="s">
        <v>70</v>
      </c>
      <c r="AN521" s="21" t="s">
        <v>70</v>
      </c>
      <c r="AO521" s="21" t="str">
        <f>_xlfn.XLOOKUP(A:A,[1]TAGS!$A:$A,[1]TAGS!$BG:$BG)</f>
        <v>Não Montado</v>
      </c>
      <c r="AP521" s="21"/>
      <c r="AQ521" s="21"/>
      <c r="AR521" s="21"/>
      <c r="AS521" s="21"/>
      <c r="AT521" s="21"/>
      <c r="AU521" s="21"/>
    </row>
    <row r="522" spans="1:47" x14ac:dyDescent="0.35">
      <c r="A522" s="19" t="s">
        <v>1857</v>
      </c>
      <c r="B522" s="19" t="s">
        <v>52</v>
      </c>
      <c r="C522" s="19"/>
      <c r="D522" s="19" t="s">
        <v>53</v>
      </c>
      <c r="E522" s="19" t="s">
        <v>54</v>
      </c>
      <c r="F522" s="20" t="s">
        <v>706</v>
      </c>
      <c r="G522" s="20" t="s">
        <v>707</v>
      </c>
      <c r="H522" s="19" t="s">
        <v>1858</v>
      </c>
      <c r="I522" s="20" t="s">
        <v>124</v>
      </c>
      <c r="J522" s="20" t="s">
        <v>709</v>
      </c>
      <c r="K522" s="20" t="s">
        <v>1859</v>
      </c>
      <c r="L522" s="19" t="s">
        <v>61</v>
      </c>
      <c r="M522" s="19" t="s">
        <v>62</v>
      </c>
      <c r="N522" s="20" t="s">
        <v>63</v>
      </c>
      <c r="O522" s="19">
        <v>21</v>
      </c>
      <c r="P522" s="19">
        <v>3.73</v>
      </c>
      <c r="Q522" s="19">
        <v>1</v>
      </c>
      <c r="R522" s="20">
        <v>7.5</v>
      </c>
      <c r="S522" s="19">
        <v>6.6000000000000003E-2</v>
      </c>
      <c r="T522" s="19" t="s">
        <v>64</v>
      </c>
      <c r="U522" s="19" t="s">
        <v>65</v>
      </c>
      <c r="V522" s="19" t="s">
        <v>66</v>
      </c>
      <c r="W522" s="19" t="s">
        <v>67</v>
      </c>
      <c r="X522" s="19" t="s">
        <v>68</v>
      </c>
      <c r="Y522" s="21" t="s">
        <v>69</v>
      </c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2"/>
      <c r="AK522" s="22"/>
      <c r="AL522" s="22"/>
      <c r="AM522" s="21" t="s">
        <v>70</v>
      </c>
      <c r="AN522" s="21" t="s">
        <v>70</v>
      </c>
      <c r="AO522" s="21" t="str">
        <f>_xlfn.XLOOKUP(A:A,[1]TAGS!$A:$A,[1]TAGS!$BG:$BG)</f>
        <v>Não Montado</v>
      </c>
      <c r="AP522" s="21"/>
      <c r="AQ522" s="21"/>
      <c r="AR522" s="21"/>
      <c r="AS522" s="21"/>
      <c r="AT522" s="21"/>
      <c r="AU522" s="21"/>
    </row>
    <row r="523" spans="1:47" x14ac:dyDescent="0.35">
      <c r="A523" s="19" t="s">
        <v>1860</v>
      </c>
      <c r="B523" s="19" t="s">
        <v>52</v>
      </c>
      <c r="C523" s="19"/>
      <c r="D523" s="19" t="s">
        <v>53</v>
      </c>
      <c r="E523" s="19" t="s">
        <v>54</v>
      </c>
      <c r="F523" s="20" t="s">
        <v>397</v>
      </c>
      <c r="G523" s="20" t="s">
        <v>398</v>
      </c>
      <c r="H523" s="19" t="s">
        <v>1861</v>
      </c>
      <c r="I523" s="20" t="s">
        <v>58</v>
      </c>
      <c r="J523" s="20" t="s">
        <v>400</v>
      </c>
      <c r="K523" s="20" t="s">
        <v>1862</v>
      </c>
      <c r="L523" s="19" t="s">
        <v>61</v>
      </c>
      <c r="M523" s="19" t="s">
        <v>62</v>
      </c>
      <c r="N523" s="20" t="s">
        <v>63</v>
      </c>
      <c r="O523" s="19">
        <v>21</v>
      </c>
      <c r="P523" s="19">
        <v>3.73</v>
      </c>
      <c r="Q523" s="19">
        <v>1</v>
      </c>
      <c r="R523" s="20">
        <v>7.5</v>
      </c>
      <c r="S523" s="19">
        <v>6.6000000000000003E-2</v>
      </c>
      <c r="T523" s="19" t="s">
        <v>64</v>
      </c>
      <c r="U523" s="19" t="s">
        <v>65</v>
      </c>
      <c r="V523" s="19" t="s">
        <v>66</v>
      </c>
      <c r="W523" s="19" t="s">
        <v>67</v>
      </c>
      <c r="X523" s="19" t="s">
        <v>68</v>
      </c>
      <c r="Y523" s="21" t="s">
        <v>69</v>
      </c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2"/>
      <c r="AK523" s="22"/>
      <c r="AL523" s="22"/>
      <c r="AM523" s="21" t="s">
        <v>70</v>
      </c>
      <c r="AN523" s="21" t="s">
        <v>70</v>
      </c>
      <c r="AO523" s="21" t="str">
        <f>_xlfn.XLOOKUP(A:A,[1]TAGS!$A:$A,[1]TAGS!$BG:$BG)</f>
        <v>Não Montado</v>
      </c>
      <c r="AP523" s="21"/>
      <c r="AQ523" s="21"/>
      <c r="AR523" s="21"/>
      <c r="AS523" s="21"/>
      <c r="AT523" s="21"/>
      <c r="AU523" s="21"/>
    </row>
    <row r="524" spans="1:47" x14ac:dyDescent="0.35">
      <c r="A524" s="19" t="s">
        <v>1863</v>
      </c>
      <c r="B524" s="19" t="s">
        <v>52</v>
      </c>
      <c r="C524" s="19"/>
      <c r="D524" s="19" t="s">
        <v>53</v>
      </c>
      <c r="E524" s="19" t="s">
        <v>54</v>
      </c>
      <c r="F524" s="20" t="s">
        <v>341</v>
      </c>
      <c r="G524" s="20" t="s">
        <v>1205</v>
      </c>
      <c r="H524" s="19" t="s">
        <v>1864</v>
      </c>
      <c r="I524" s="20" t="s">
        <v>58</v>
      </c>
      <c r="J524" s="20" t="s">
        <v>1207</v>
      </c>
      <c r="K524" s="20" t="s">
        <v>1865</v>
      </c>
      <c r="L524" s="19" t="s">
        <v>61</v>
      </c>
      <c r="M524" s="19" t="s">
        <v>62</v>
      </c>
      <c r="N524" s="20" t="s">
        <v>63</v>
      </c>
      <c r="O524" s="19">
        <v>21</v>
      </c>
      <c r="P524" s="19">
        <v>3.73</v>
      </c>
      <c r="Q524" s="19">
        <v>1</v>
      </c>
      <c r="R524" s="20">
        <v>7.5</v>
      </c>
      <c r="S524" s="19">
        <v>6.6000000000000003E-2</v>
      </c>
      <c r="T524" s="19" t="s">
        <v>64</v>
      </c>
      <c r="U524" s="19" t="s">
        <v>65</v>
      </c>
      <c r="V524" s="19" t="s">
        <v>66</v>
      </c>
      <c r="W524" s="19" t="s">
        <v>67</v>
      </c>
      <c r="X524" s="19" t="s">
        <v>68</v>
      </c>
      <c r="Y524" s="21" t="s">
        <v>69</v>
      </c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2"/>
      <c r="AK524" s="22"/>
      <c r="AL524" s="22"/>
      <c r="AM524" s="21" t="s">
        <v>70</v>
      </c>
      <c r="AN524" s="21" t="s">
        <v>70</v>
      </c>
      <c r="AO524" s="21" t="str">
        <f>_xlfn.XLOOKUP(A:A,[1]TAGS!$A:$A,[1]TAGS!$BG:$BG)</f>
        <v>Em programação</v>
      </c>
      <c r="AP524" s="21"/>
      <c r="AQ524" s="21"/>
      <c r="AR524" s="21"/>
      <c r="AS524" s="21"/>
      <c r="AT524" s="21"/>
      <c r="AU524" s="21"/>
    </row>
    <row r="525" spans="1:47" x14ac:dyDescent="0.35">
      <c r="A525" s="19" t="s">
        <v>1866</v>
      </c>
      <c r="B525" s="19" t="s">
        <v>52</v>
      </c>
      <c r="C525" s="19"/>
      <c r="D525" s="19" t="s">
        <v>53</v>
      </c>
      <c r="E525" s="19" t="s">
        <v>54</v>
      </c>
      <c r="F525" s="20" t="s">
        <v>341</v>
      </c>
      <c r="G525" s="20" t="s">
        <v>1205</v>
      </c>
      <c r="H525" s="19" t="s">
        <v>1867</v>
      </c>
      <c r="I525" s="20" t="s">
        <v>58</v>
      </c>
      <c r="J525" s="20" t="s">
        <v>1207</v>
      </c>
      <c r="K525" s="20" t="s">
        <v>1868</v>
      </c>
      <c r="L525" s="19" t="s">
        <v>61</v>
      </c>
      <c r="M525" s="19" t="s">
        <v>62</v>
      </c>
      <c r="N525" s="20" t="s">
        <v>63</v>
      </c>
      <c r="O525" s="19">
        <v>21</v>
      </c>
      <c r="P525" s="19">
        <v>3.73</v>
      </c>
      <c r="Q525" s="19">
        <v>1</v>
      </c>
      <c r="R525" s="20">
        <v>7.5</v>
      </c>
      <c r="S525" s="19">
        <v>6.6000000000000003E-2</v>
      </c>
      <c r="T525" s="19" t="s">
        <v>64</v>
      </c>
      <c r="U525" s="19" t="s">
        <v>65</v>
      </c>
      <c r="V525" s="19" t="s">
        <v>66</v>
      </c>
      <c r="W525" s="19" t="s">
        <v>67</v>
      </c>
      <c r="X525" s="19" t="s">
        <v>68</v>
      </c>
      <c r="Y525" s="21" t="s">
        <v>69</v>
      </c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2"/>
      <c r="AK525" s="22"/>
      <c r="AL525" s="22"/>
      <c r="AM525" s="21" t="s">
        <v>70</v>
      </c>
      <c r="AN525" s="21" t="s">
        <v>70</v>
      </c>
      <c r="AO525" s="21" t="str">
        <f>_xlfn.XLOOKUP(A:A,[1]TAGS!$A:$A,[1]TAGS!$BG:$BG)</f>
        <v>Em programação</v>
      </c>
      <c r="AP525" s="21"/>
      <c r="AQ525" s="21"/>
      <c r="AR525" s="21"/>
      <c r="AS525" s="21"/>
      <c r="AT525" s="21"/>
      <c r="AU525" s="21"/>
    </row>
    <row r="526" spans="1:47" x14ac:dyDescent="0.35">
      <c r="A526" s="19" t="s">
        <v>1869</v>
      </c>
      <c r="B526" s="19" t="s">
        <v>52</v>
      </c>
      <c r="C526" s="19"/>
      <c r="D526" s="19" t="s">
        <v>53</v>
      </c>
      <c r="E526" s="19" t="s">
        <v>54</v>
      </c>
      <c r="F526" s="20" t="s">
        <v>341</v>
      </c>
      <c r="G526" s="20" t="s">
        <v>1205</v>
      </c>
      <c r="H526" s="19" t="s">
        <v>1870</v>
      </c>
      <c r="I526" s="20" t="s">
        <v>58</v>
      </c>
      <c r="J526" s="20" t="s">
        <v>1207</v>
      </c>
      <c r="K526" s="20" t="s">
        <v>1871</v>
      </c>
      <c r="L526" s="19" t="s">
        <v>61</v>
      </c>
      <c r="M526" s="19" t="s">
        <v>62</v>
      </c>
      <c r="N526" s="20" t="s">
        <v>63</v>
      </c>
      <c r="O526" s="19">
        <v>21</v>
      </c>
      <c r="P526" s="19">
        <v>3.73</v>
      </c>
      <c r="Q526" s="19">
        <v>1</v>
      </c>
      <c r="R526" s="20">
        <v>7.5</v>
      </c>
      <c r="S526" s="19">
        <v>6.6000000000000003E-2</v>
      </c>
      <c r="T526" s="19" t="s">
        <v>64</v>
      </c>
      <c r="U526" s="19" t="s">
        <v>65</v>
      </c>
      <c r="V526" s="19" t="s">
        <v>66</v>
      </c>
      <c r="W526" s="19" t="s">
        <v>67</v>
      </c>
      <c r="X526" s="19" t="s">
        <v>68</v>
      </c>
      <c r="Y526" s="21" t="s">
        <v>69</v>
      </c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2"/>
      <c r="AK526" s="22"/>
      <c r="AL526" s="22"/>
      <c r="AM526" s="21" t="s">
        <v>70</v>
      </c>
      <c r="AN526" s="21" t="s">
        <v>70</v>
      </c>
      <c r="AO526" s="21" t="str">
        <f>_xlfn.XLOOKUP(A:A,[1]TAGS!$A:$A,[1]TAGS!$BG:$BG)</f>
        <v>Em programação</v>
      </c>
      <c r="AP526" s="21"/>
      <c r="AQ526" s="21"/>
      <c r="AR526" s="21"/>
      <c r="AS526" s="21"/>
      <c r="AT526" s="21"/>
      <c r="AU526" s="21"/>
    </row>
    <row r="527" spans="1:47" x14ac:dyDescent="0.35">
      <c r="A527" s="19" t="s">
        <v>1872</v>
      </c>
      <c r="B527" s="19" t="s">
        <v>52</v>
      </c>
      <c r="C527" s="19"/>
      <c r="D527" s="19" t="s">
        <v>53</v>
      </c>
      <c r="E527" s="19" t="s">
        <v>54</v>
      </c>
      <c r="F527" s="20" t="s">
        <v>341</v>
      </c>
      <c r="G527" s="20" t="s">
        <v>866</v>
      </c>
      <c r="H527" s="19" t="s">
        <v>1873</v>
      </c>
      <c r="I527" s="20" t="s">
        <v>124</v>
      </c>
      <c r="J527" s="20" t="s">
        <v>868</v>
      </c>
      <c r="K527" s="20" t="s">
        <v>1874</v>
      </c>
      <c r="L527" s="19" t="s">
        <v>61</v>
      </c>
      <c r="M527" s="19" t="s">
        <v>62</v>
      </c>
      <c r="N527" s="20" t="s">
        <v>63</v>
      </c>
      <c r="O527" s="19">
        <v>21</v>
      </c>
      <c r="P527" s="19">
        <v>3.73</v>
      </c>
      <c r="Q527" s="19">
        <v>1</v>
      </c>
      <c r="R527" s="20">
        <v>7.5</v>
      </c>
      <c r="S527" s="19">
        <v>6.6000000000000003E-2</v>
      </c>
      <c r="T527" s="19" t="s">
        <v>64</v>
      </c>
      <c r="U527" s="19" t="s">
        <v>65</v>
      </c>
      <c r="V527" s="19" t="s">
        <v>66</v>
      </c>
      <c r="W527" s="19" t="s">
        <v>67</v>
      </c>
      <c r="X527" s="19" t="s">
        <v>68</v>
      </c>
      <c r="Y527" s="21" t="s">
        <v>69</v>
      </c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2"/>
      <c r="AK527" s="22"/>
      <c r="AL527" s="22"/>
      <c r="AM527" s="21" t="s">
        <v>70</v>
      </c>
      <c r="AN527" s="21" t="s">
        <v>70</v>
      </c>
      <c r="AO527" s="21" t="str">
        <f>_xlfn.XLOOKUP(A:A,[1]TAGS!$A:$A,[1]TAGS!$BG:$BG)</f>
        <v>Em programação</v>
      </c>
      <c r="AP527" s="21"/>
      <c r="AQ527" s="21"/>
      <c r="AR527" s="21"/>
      <c r="AS527" s="21"/>
      <c r="AT527" s="21"/>
      <c r="AU527" s="21"/>
    </row>
    <row r="528" spans="1:47" x14ac:dyDescent="0.35">
      <c r="A528" s="19" t="s">
        <v>1875</v>
      </c>
      <c r="B528" s="19" t="s">
        <v>52</v>
      </c>
      <c r="C528" s="19"/>
      <c r="D528" s="19" t="s">
        <v>53</v>
      </c>
      <c r="E528" s="19" t="s">
        <v>54</v>
      </c>
      <c r="F528" s="20" t="s">
        <v>341</v>
      </c>
      <c r="G528" s="20" t="s">
        <v>866</v>
      </c>
      <c r="H528" s="19" t="s">
        <v>1876</v>
      </c>
      <c r="I528" s="20" t="s">
        <v>124</v>
      </c>
      <c r="J528" s="20" t="s">
        <v>868</v>
      </c>
      <c r="K528" s="20" t="s">
        <v>1877</v>
      </c>
      <c r="L528" s="19" t="s">
        <v>61</v>
      </c>
      <c r="M528" s="19" t="s">
        <v>62</v>
      </c>
      <c r="N528" s="20" t="s">
        <v>63</v>
      </c>
      <c r="O528" s="19">
        <v>21</v>
      </c>
      <c r="P528" s="19">
        <v>3.73</v>
      </c>
      <c r="Q528" s="19">
        <v>1</v>
      </c>
      <c r="R528" s="20">
        <v>7.5</v>
      </c>
      <c r="S528" s="19">
        <v>6.6000000000000003E-2</v>
      </c>
      <c r="T528" s="19" t="s">
        <v>64</v>
      </c>
      <c r="U528" s="19" t="s">
        <v>65</v>
      </c>
      <c r="V528" s="19" t="s">
        <v>66</v>
      </c>
      <c r="W528" s="19" t="s">
        <v>67</v>
      </c>
      <c r="X528" s="19" t="s">
        <v>68</v>
      </c>
      <c r="Y528" s="21" t="s">
        <v>69</v>
      </c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2"/>
      <c r="AK528" s="22"/>
      <c r="AL528" s="22"/>
      <c r="AM528" s="21" t="s">
        <v>70</v>
      </c>
      <c r="AN528" s="21" t="s">
        <v>70</v>
      </c>
      <c r="AO528" s="21" t="str">
        <f>_xlfn.XLOOKUP(A:A,[1]TAGS!$A:$A,[1]TAGS!$BG:$BG)</f>
        <v>Em programação</v>
      </c>
      <c r="AP528" s="21"/>
      <c r="AQ528" s="21"/>
      <c r="AR528" s="21"/>
      <c r="AS528" s="21"/>
      <c r="AT528" s="21"/>
      <c r="AU528" s="21"/>
    </row>
    <row r="529" spans="1:47" x14ac:dyDescent="0.35">
      <c r="A529" s="19" t="s">
        <v>1878</v>
      </c>
      <c r="B529" s="19" t="s">
        <v>52</v>
      </c>
      <c r="C529" s="19"/>
      <c r="D529" s="19" t="s">
        <v>53</v>
      </c>
      <c r="E529" s="19" t="s">
        <v>54</v>
      </c>
      <c r="F529" s="20" t="s">
        <v>341</v>
      </c>
      <c r="G529" s="20" t="s">
        <v>866</v>
      </c>
      <c r="H529" s="19" t="s">
        <v>1879</v>
      </c>
      <c r="I529" s="20" t="s">
        <v>124</v>
      </c>
      <c r="J529" s="20" t="s">
        <v>868</v>
      </c>
      <c r="K529" s="20" t="s">
        <v>1880</v>
      </c>
      <c r="L529" s="19" t="s">
        <v>61</v>
      </c>
      <c r="M529" s="19" t="s">
        <v>62</v>
      </c>
      <c r="N529" s="20" t="s">
        <v>63</v>
      </c>
      <c r="O529" s="19">
        <v>21</v>
      </c>
      <c r="P529" s="19">
        <v>3.73</v>
      </c>
      <c r="Q529" s="19">
        <v>1</v>
      </c>
      <c r="R529" s="20">
        <v>7.5</v>
      </c>
      <c r="S529" s="19">
        <v>6.6000000000000003E-2</v>
      </c>
      <c r="T529" s="19" t="s">
        <v>64</v>
      </c>
      <c r="U529" s="19" t="s">
        <v>65</v>
      </c>
      <c r="V529" s="19" t="s">
        <v>66</v>
      </c>
      <c r="W529" s="19" t="s">
        <v>67</v>
      </c>
      <c r="X529" s="19" t="s">
        <v>68</v>
      </c>
      <c r="Y529" s="21" t="s">
        <v>69</v>
      </c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2"/>
      <c r="AK529" s="22"/>
      <c r="AL529" s="22"/>
      <c r="AM529" s="21" t="s">
        <v>70</v>
      </c>
      <c r="AN529" s="21" t="s">
        <v>70</v>
      </c>
      <c r="AO529" s="21" t="str">
        <f>_xlfn.XLOOKUP(A:A,[1]TAGS!$A:$A,[1]TAGS!$BG:$BG)</f>
        <v>Em programação</v>
      </c>
      <c r="AP529" s="21"/>
      <c r="AQ529" s="21"/>
      <c r="AR529" s="21"/>
      <c r="AS529" s="21"/>
      <c r="AT529" s="21"/>
      <c r="AU529" s="21"/>
    </row>
    <row r="530" spans="1:47" x14ac:dyDescent="0.35">
      <c r="A530" s="19" t="s">
        <v>1881</v>
      </c>
      <c r="B530" s="19" t="s">
        <v>52</v>
      </c>
      <c r="C530" s="19"/>
      <c r="D530" s="19" t="s">
        <v>53</v>
      </c>
      <c r="E530" s="19" t="s">
        <v>54</v>
      </c>
      <c r="F530" s="20" t="s">
        <v>341</v>
      </c>
      <c r="G530" s="20" t="s">
        <v>342</v>
      </c>
      <c r="H530" s="19" t="s">
        <v>1882</v>
      </c>
      <c r="I530" s="20" t="s">
        <v>58</v>
      </c>
      <c r="J530" s="20" t="s">
        <v>344</v>
      </c>
      <c r="K530" s="20" t="s">
        <v>1883</v>
      </c>
      <c r="L530" s="19" t="s">
        <v>61</v>
      </c>
      <c r="M530" s="19" t="s">
        <v>62</v>
      </c>
      <c r="N530" s="20" t="s">
        <v>63</v>
      </c>
      <c r="O530" s="19">
        <v>21</v>
      </c>
      <c r="P530" s="19">
        <v>3.73</v>
      </c>
      <c r="Q530" s="19">
        <v>1</v>
      </c>
      <c r="R530" s="20">
        <v>7.5</v>
      </c>
      <c r="S530" s="19">
        <v>6.6000000000000003E-2</v>
      </c>
      <c r="T530" s="19" t="s">
        <v>64</v>
      </c>
      <c r="U530" s="19" t="s">
        <v>65</v>
      </c>
      <c r="V530" s="19" t="s">
        <v>66</v>
      </c>
      <c r="W530" s="19" t="s">
        <v>67</v>
      </c>
      <c r="X530" s="19" t="s">
        <v>68</v>
      </c>
      <c r="Y530" s="21" t="s">
        <v>69</v>
      </c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2"/>
      <c r="AK530" s="22"/>
      <c r="AL530" s="22"/>
      <c r="AM530" s="21" t="s">
        <v>70</v>
      </c>
      <c r="AN530" s="21" t="s">
        <v>70</v>
      </c>
      <c r="AO530" s="21" t="str">
        <f>_xlfn.XLOOKUP(A:A,[1]TAGS!$A:$A,[1]TAGS!$BG:$BG)</f>
        <v>Montado</v>
      </c>
      <c r="AP530" s="21"/>
      <c r="AQ530" s="21"/>
      <c r="AR530" s="21"/>
      <c r="AS530" s="21"/>
      <c r="AT530" s="21"/>
      <c r="AU530" s="21"/>
    </row>
    <row r="531" spans="1:47" x14ac:dyDescent="0.35">
      <c r="A531" s="19" t="s">
        <v>1884</v>
      </c>
      <c r="B531" s="19" t="s">
        <v>52</v>
      </c>
      <c r="C531" s="19"/>
      <c r="D531" s="19" t="s">
        <v>53</v>
      </c>
      <c r="E531" s="19" t="s">
        <v>54</v>
      </c>
      <c r="F531" s="20" t="s">
        <v>341</v>
      </c>
      <c r="G531" s="20" t="s">
        <v>342</v>
      </c>
      <c r="H531" s="19" t="s">
        <v>1885</v>
      </c>
      <c r="I531" s="20" t="s">
        <v>58</v>
      </c>
      <c r="J531" s="20" t="s">
        <v>344</v>
      </c>
      <c r="K531" s="20" t="s">
        <v>1886</v>
      </c>
      <c r="L531" s="19" t="s">
        <v>61</v>
      </c>
      <c r="M531" s="19" t="s">
        <v>62</v>
      </c>
      <c r="N531" s="20" t="s">
        <v>63</v>
      </c>
      <c r="O531" s="19">
        <v>21</v>
      </c>
      <c r="P531" s="19">
        <v>3.73</v>
      </c>
      <c r="Q531" s="19">
        <v>1</v>
      </c>
      <c r="R531" s="20">
        <v>7.5</v>
      </c>
      <c r="S531" s="19">
        <v>6.6000000000000003E-2</v>
      </c>
      <c r="T531" s="19" t="s">
        <v>64</v>
      </c>
      <c r="U531" s="19" t="s">
        <v>65</v>
      </c>
      <c r="V531" s="19" t="s">
        <v>66</v>
      </c>
      <c r="W531" s="19" t="s">
        <v>67</v>
      </c>
      <c r="X531" s="19" t="s">
        <v>68</v>
      </c>
      <c r="Y531" s="21" t="s">
        <v>69</v>
      </c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2"/>
      <c r="AK531" s="22"/>
      <c r="AL531" s="22"/>
      <c r="AM531" s="21" t="s">
        <v>70</v>
      </c>
      <c r="AN531" s="21" t="s">
        <v>70</v>
      </c>
      <c r="AO531" s="21" t="str">
        <f>_xlfn.XLOOKUP(A:A,[1]TAGS!$A:$A,[1]TAGS!$BG:$BG)</f>
        <v>Montado</v>
      </c>
      <c r="AP531" s="21"/>
      <c r="AQ531" s="21"/>
      <c r="AR531" s="21"/>
      <c r="AS531" s="21"/>
      <c r="AT531" s="21"/>
      <c r="AU531" s="21"/>
    </row>
    <row r="532" spans="1:47" x14ac:dyDescent="0.35">
      <c r="A532" s="19" t="s">
        <v>1887</v>
      </c>
      <c r="B532" s="19" t="s">
        <v>52</v>
      </c>
      <c r="C532" s="19"/>
      <c r="D532" s="19" t="s">
        <v>53</v>
      </c>
      <c r="E532" s="19" t="s">
        <v>54</v>
      </c>
      <c r="F532" s="20" t="s">
        <v>341</v>
      </c>
      <c r="G532" s="20" t="s">
        <v>342</v>
      </c>
      <c r="H532" s="19" t="s">
        <v>1888</v>
      </c>
      <c r="I532" s="20" t="s">
        <v>58</v>
      </c>
      <c r="J532" s="20" t="s">
        <v>344</v>
      </c>
      <c r="K532" s="20" t="s">
        <v>1889</v>
      </c>
      <c r="L532" s="19" t="s">
        <v>61</v>
      </c>
      <c r="M532" s="19" t="s">
        <v>62</v>
      </c>
      <c r="N532" s="20" t="s">
        <v>63</v>
      </c>
      <c r="O532" s="19">
        <v>21</v>
      </c>
      <c r="P532" s="19">
        <v>3.73</v>
      </c>
      <c r="Q532" s="19">
        <v>1</v>
      </c>
      <c r="R532" s="20">
        <v>7.5</v>
      </c>
      <c r="S532" s="19">
        <v>6.6000000000000003E-2</v>
      </c>
      <c r="T532" s="19" t="s">
        <v>64</v>
      </c>
      <c r="U532" s="19" t="s">
        <v>65</v>
      </c>
      <c r="V532" s="19" t="s">
        <v>66</v>
      </c>
      <c r="W532" s="19" t="s">
        <v>67</v>
      </c>
      <c r="X532" s="19" t="s">
        <v>68</v>
      </c>
      <c r="Y532" s="21" t="s">
        <v>69</v>
      </c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2"/>
      <c r="AK532" s="22"/>
      <c r="AL532" s="22"/>
      <c r="AM532" s="21" t="s">
        <v>70</v>
      </c>
      <c r="AN532" s="21" t="s">
        <v>70</v>
      </c>
      <c r="AO532" s="21" t="str">
        <f>_xlfn.XLOOKUP(A:A,[1]TAGS!$A:$A,[1]TAGS!$BG:$BG)</f>
        <v>Montado</v>
      </c>
      <c r="AP532" s="21"/>
      <c r="AQ532" s="21"/>
      <c r="AR532" s="21"/>
      <c r="AS532" s="21"/>
      <c r="AT532" s="21"/>
      <c r="AU532" s="21"/>
    </row>
    <row r="533" spans="1:47" x14ac:dyDescent="0.35">
      <c r="A533" s="19" t="s">
        <v>1890</v>
      </c>
      <c r="B533" s="19" t="s">
        <v>52</v>
      </c>
      <c r="C533" s="19"/>
      <c r="D533" s="19" t="s">
        <v>53</v>
      </c>
      <c r="E533" s="19" t="s">
        <v>54</v>
      </c>
      <c r="F533" s="20" t="s">
        <v>341</v>
      </c>
      <c r="G533" s="20" t="s">
        <v>347</v>
      </c>
      <c r="H533" s="19" t="s">
        <v>1891</v>
      </c>
      <c r="I533" s="20" t="s">
        <v>124</v>
      </c>
      <c r="J533" s="20" t="s">
        <v>349</v>
      </c>
      <c r="K533" s="20" t="s">
        <v>1892</v>
      </c>
      <c r="L533" s="19" t="s">
        <v>61</v>
      </c>
      <c r="M533" s="19" t="s">
        <v>62</v>
      </c>
      <c r="N533" s="20" t="s">
        <v>63</v>
      </c>
      <c r="O533" s="19">
        <v>21</v>
      </c>
      <c r="P533" s="19">
        <v>3.73</v>
      </c>
      <c r="Q533" s="19">
        <v>1</v>
      </c>
      <c r="R533" s="20">
        <v>7.5</v>
      </c>
      <c r="S533" s="19">
        <v>6.6000000000000003E-2</v>
      </c>
      <c r="T533" s="19" t="s">
        <v>64</v>
      </c>
      <c r="U533" s="19" t="s">
        <v>65</v>
      </c>
      <c r="V533" s="19" t="s">
        <v>66</v>
      </c>
      <c r="W533" s="19" t="s">
        <v>67</v>
      </c>
      <c r="X533" s="19" t="s">
        <v>68</v>
      </c>
      <c r="Y533" s="21" t="s">
        <v>69</v>
      </c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2"/>
      <c r="AK533" s="22"/>
      <c r="AL533" s="22"/>
      <c r="AM533" s="21" t="s">
        <v>70</v>
      </c>
      <c r="AN533" s="21" t="s">
        <v>70</v>
      </c>
      <c r="AO533" s="21" t="str">
        <f>_xlfn.XLOOKUP(A:A,[1]TAGS!$A:$A,[1]TAGS!$BG:$BG)</f>
        <v>Montado</v>
      </c>
      <c r="AP533" s="21"/>
      <c r="AQ533" s="21"/>
      <c r="AR533" s="21"/>
      <c r="AS533" s="21"/>
      <c r="AT533" s="21"/>
      <c r="AU533" s="21"/>
    </row>
    <row r="534" spans="1:47" x14ac:dyDescent="0.35">
      <c r="A534" s="19" t="s">
        <v>1893</v>
      </c>
      <c r="B534" s="19" t="s">
        <v>52</v>
      </c>
      <c r="C534" s="19"/>
      <c r="D534" s="19" t="s">
        <v>53</v>
      </c>
      <c r="E534" s="19" t="s">
        <v>54</v>
      </c>
      <c r="F534" s="20" t="s">
        <v>341</v>
      </c>
      <c r="G534" s="20" t="s">
        <v>347</v>
      </c>
      <c r="H534" s="19" t="s">
        <v>1894</v>
      </c>
      <c r="I534" s="20" t="s">
        <v>124</v>
      </c>
      <c r="J534" s="20" t="s">
        <v>349</v>
      </c>
      <c r="K534" s="20" t="s">
        <v>1895</v>
      </c>
      <c r="L534" s="19" t="s">
        <v>61</v>
      </c>
      <c r="M534" s="19" t="s">
        <v>62</v>
      </c>
      <c r="N534" s="20" t="s">
        <v>63</v>
      </c>
      <c r="O534" s="19">
        <v>21</v>
      </c>
      <c r="P534" s="19">
        <v>3.73</v>
      </c>
      <c r="Q534" s="19">
        <v>1</v>
      </c>
      <c r="R534" s="20">
        <v>7.5</v>
      </c>
      <c r="S534" s="19">
        <v>6.6000000000000003E-2</v>
      </c>
      <c r="T534" s="19" t="s">
        <v>64</v>
      </c>
      <c r="U534" s="19" t="s">
        <v>65</v>
      </c>
      <c r="V534" s="19" t="s">
        <v>66</v>
      </c>
      <c r="W534" s="19" t="s">
        <v>67</v>
      </c>
      <c r="X534" s="19" t="s">
        <v>68</v>
      </c>
      <c r="Y534" s="21" t="s">
        <v>69</v>
      </c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2"/>
      <c r="AK534" s="22"/>
      <c r="AL534" s="22"/>
      <c r="AM534" s="21" t="s">
        <v>70</v>
      </c>
      <c r="AN534" s="21" t="s">
        <v>70</v>
      </c>
      <c r="AO534" s="21" t="str">
        <f>_xlfn.XLOOKUP(A:A,[1]TAGS!$A:$A,[1]TAGS!$BG:$BG)</f>
        <v>Montado</v>
      </c>
      <c r="AP534" s="21"/>
      <c r="AQ534" s="21"/>
      <c r="AR534" s="21"/>
      <c r="AS534" s="21"/>
      <c r="AT534" s="21"/>
      <c r="AU534" s="21"/>
    </row>
    <row r="535" spans="1:47" x14ac:dyDescent="0.35">
      <c r="A535" s="19" t="s">
        <v>1896</v>
      </c>
      <c r="B535" s="19" t="s">
        <v>52</v>
      </c>
      <c r="C535" s="19"/>
      <c r="D535" s="19" t="s">
        <v>53</v>
      </c>
      <c r="E535" s="19" t="s">
        <v>54</v>
      </c>
      <c r="F535" s="20" t="s">
        <v>341</v>
      </c>
      <c r="G535" s="20" t="s">
        <v>347</v>
      </c>
      <c r="H535" s="19" t="s">
        <v>1897</v>
      </c>
      <c r="I535" s="20" t="s">
        <v>124</v>
      </c>
      <c r="J535" s="20" t="s">
        <v>349</v>
      </c>
      <c r="K535" s="20" t="s">
        <v>1898</v>
      </c>
      <c r="L535" s="19" t="s">
        <v>61</v>
      </c>
      <c r="M535" s="19" t="s">
        <v>62</v>
      </c>
      <c r="N535" s="20" t="s">
        <v>63</v>
      </c>
      <c r="O535" s="19">
        <v>21</v>
      </c>
      <c r="P535" s="19">
        <v>3.73</v>
      </c>
      <c r="Q535" s="19">
        <v>1</v>
      </c>
      <c r="R535" s="20">
        <v>7.5</v>
      </c>
      <c r="S535" s="19">
        <v>6.6000000000000003E-2</v>
      </c>
      <c r="T535" s="19" t="s">
        <v>64</v>
      </c>
      <c r="U535" s="19" t="s">
        <v>65</v>
      </c>
      <c r="V535" s="19" t="s">
        <v>66</v>
      </c>
      <c r="W535" s="19" t="s">
        <v>67</v>
      </c>
      <c r="X535" s="19" t="s">
        <v>68</v>
      </c>
      <c r="Y535" s="21" t="s">
        <v>69</v>
      </c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2"/>
      <c r="AK535" s="22"/>
      <c r="AL535" s="22"/>
      <c r="AM535" s="21" t="s">
        <v>70</v>
      </c>
      <c r="AN535" s="21" t="s">
        <v>70</v>
      </c>
      <c r="AO535" s="21" t="str">
        <f>_xlfn.XLOOKUP(A:A,[1]TAGS!$A:$A,[1]TAGS!$BG:$BG)</f>
        <v>Montado</v>
      </c>
      <c r="AP535" s="21"/>
      <c r="AQ535" s="21"/>
      <c r="AR535" s="21"/>
      <c r="AS535" s="21"/>
      <c r="AT535" s="21"/>
      <c r="AU535" s="21"/>
    </row>
    <row r="536" spans="1:47" x14ac:dyDescent="0.35">
      <c r="A536" s="19" t="s">
        <v>1899</v>
      </c>
      <c r="B536" s="19" t="s">
        <v>52</v>
      </c>
      <c r="C536" s="19"/>
      <c r="D536" s="19" t="s">
        <v>53</v>
      </c>
      <c r="E536" s="19" t="s">
        <v>54</v>
      </c>
      <c r="F536" s="20" t="s">
        <v>116</v>
      </c>
      <c r="G536" s="20" t="s">
        <v>133</v>
      </c>
      <c r="H536" s="19" t="s">
        <v>1900</v>
      </c>
      <c r="I536" s="20" t="s">
        <v>58</v>
      </c>
      <c r="J536" s="20" t="s">
        <v>135</v>
      </c>
      <c r="K536" s="20" t="s">
        <v>1901</v>
      </c>
      <c r="L536" s="19" t="s">
        <v>61</v>
      </c>
      <c r="M536" s="19" t="s">
        <v>62</v>
      </c>
      <c r="N536" s="20" t="s">
        <v>63</v>
      </c>
      <c r="O536" s="19">
        <v>21</v>
      </c>
      <c r="P536" s="19">
        <v>3.73</v>
      </c>
      <c r="Q536" s="19">
        <v>1</v>
      </c>
      <c r="R536" s="20">
        <v>7.5</v>
      </c>
      <c r="S536" s="19">
        <v>6.6000000000000003E-2</v>
      </c>
      <c r="T536" s="19" t="s">
        <v>64</v>
      </c>
      <c r="U536" s="19" t="s">
        <v>65</v>
      </c>
      <c r="V536" s="19" t="s">
        <v>66</v>
      </c>
      <c r="W536" s="19" t="s">
        <v>67</v>
      </c>
      <c r="X536" s="19" t="s">
        <v>68</v>
      </c>
      <c r="Y536" s="21" t="s">
        <v>69</v>
      </c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2"/>
      <c r="AK536" s="22"/>
      <c r="AL536" s="22"/>
      <c r="AM536" s="21" t="s">
        <v>70</v>
      </c>
      <c r="AN536" s="21" t="s">
        <v>70</v>
      </c>
      <c r="AO536" s="21" t="str">
        <f>_xlfn.XLOOKUP(A:A,[1]TAGS!$A:$A,[1]TAGS!$BG:$BG)</f>
        <v>Montado</v>
      </c>
      <c r="AP536" s="21"/>
      <c r="AQ536" s="21"/>
      <c r="AR536" s="21"/>
      <c r="AS536" s="21"/>
      <c r="AT536" s="21"/>
      <c r="AU536" s="21"/>
    </row>
    <row r="537" spans="1:47" x14ac:dyDescent="0.35">
      <c r="A537" s="19" t="s">
        <v>1902</v>
      </c>
      <c r="B537" s="19" t="s">
        <v>52</v>
      </c>
      <c r="C537" s="19"/>
      <c r="D537" s="19" t="s">
        <v>53</v>
      </c>
      <c r="E537" s="19" t="s">
        <v>54</v>
      </c>
      <c r="F537" s="20" t="s">
        <v>116</v>
      </c>
      <c r="G537" s="20" t="s">
        <v>1903</v>
      </c>
      <c r="H537" s="19" t="s">
        <v>1904</v>
      </c>
      <c r="I537" s="20" t="s">
        <v>124</v>
      </c>
      <c r="J537" s="20" t="s">
        <v>1905</v>
      </c>
      <c r="K537" s="20" t="s">
        <v>1906</v>
      </c>
      <c r="L537" s="19" t="s">
        <v>61</v>
      </c>
      <c r="M537" s="19" t="s">
        <v>62</v>
      </c>
      <c r="N537" s="20" t="s">
        <v>63</v>
      </c>
      <c r="O537" s="19">
        <v>21</v>
      </c>
      <c r="P537" s="19">
        <v>3.73</v>
      </c>
      <c r="Q537" s="19">
        <v>1</v>
      </c>
      <c r="R537" s="20">
        <v>7.5</v>
      </c>
      <c r="S537" s="19">
        <v>6.6000000000000003E-2</v>
      </c>
      <c r="T537" s="19" t="s">
        <v>64</v>
      </c>
      <c r="U537" s="19" t="s">
        <v>65</v>
      </c>
      <c r="V537" s="19" t="s">
        <v>66</v>
      </c>
      <c r="W537" s="19" t="s">
        <v>67</v>
      </c>
      <c r="X537" s="19" t="s">
        <v>68</v>
      </c>
      <c r="Y537" s="21" t="s">
        <v>69</v>
      </c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2"/>
      <c r="AK537" s="22"/>
      <c r="AL537" s="22"/>
      <c r="AM537" s="21" t="s">
        <v>70</v>
      </c>
      <c r="AN537" s="21" t="s">
        <v>70</v>
      </c>
      <c r="AO537" s="21" t="str">
        <f>_xlfn.XLOOKUP(A:A,[1]TAGS!$A:$A,[1]TAGS!$BG:$BG)</f>
        <v>Montado</v>
      </c>
      <c r="AP537" s="21"/>
      <c r="AQ537" s="21"/>
      <c r="AR537" s="21"/>
      <c r="AS537" s="21"/>
      <c r="AT537" s="21"/>
      <c r="AU537" s="21"/>
    </row>
    <row r="538" spans="1:47" x14ac:dyDescent="0.35">
      <c r="A538" s="19" t="s">
        <v>1907</v>
      </c>
      <c r="B538" s="19" t="s">
        <v>52</v>
      </c>
      <c r="C538" s="19"/>
      <c r="D538" s="19" t="s">
        <v>53</v>
      </c>
      <c r="E538" s="19" t="s">
        <v>54</v>
      </c>
      <c r="F538" s="20" t="s">
        <v>116</v>
      </c>
      <c r="G538" s="20" t="s">
        <v>128</v>
      </c>
      <c r="H538" s="19" t="s">
        <v>1908</v>
      </c>
      <c r="I538" s="20" t="s">
        <v>124</v>
      </c>
      <c r="J538" s="20" t="s">
        <v>130</v>
      </c>
      <c r="K538" s="20" t="s">
        <v>1909</v>
      </c>
      <c r="L538" s="19" t="s">
        <v>61</v>
      </c>
      <c r="M538" s="19" t="s">
        <v>62</v>
      </c>
      <c r="N538" s="20" t="s">
        <v>63</v>
      </c>
      <c r="O538" s="19">
        <v>21</v>
      </c>
      <c r="P538" s="19">
        <v>3.73</v>
      </c>
      <c r="Q538" s="19">
        <v>1</v>
      </c>
      <c r="R538" s="20">
        <v>7.5</v>
      </c>
      <c r="S538" s="19">
        <v>6.6000000000000003E-2</v>
      </c>
      <c r="T538" s="19" t="s">
        <v>64</v>
      </c>
      <c r="U538" s="19" t="s">
        <v>65</v>
      </c>
      <c r="V538" s="19" t="s">
        <v>66</v>
      </c>
      <c r="W538" s="19" t="s">
        <v>67</v>
      </c>
      <c r="X538" s="19" t="s">
        <v>68</v>
      </c>
      <c r="Y538" s="21" t="s">
        <v>69</v>
      </c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2"/>
      <c r="AK538" s="22"/>
      <c r="AL538" s="22"/>
      <c r="AM538" s="21" t="s">
        <v>70</v>
      </c>
      <c r="AN538" s="21" t="s">
        <v>70</v>
      </c>
      <c r="AO538" s="21" t="str">
        <f>_xlfn.XLOOKUP(A:A,[1]TAGS!$A:$A,[1]TAGS!$BG:$BG)</f>
        <v>Montado</v>
      </c>
      <c r="AP538" s="21"/>
      <c r="AQ538" s="21"/>
      <c r="AR538" s="21"/>
      <c r="AS538" s="21"/>
      <c r="AT538" s="21"/>
      <c r="AU538" s="21"/>
    </row>
    <row r="539" spans="1:47" x14ac:dyDescent="0.35">
      <c r="A539" s="19" t="s">
        <v>1910</v>
      </c>
      <c r="B539" s="19" t="s">
        <v>52</v>
      </c>
      <c r="C539" s="19"/>
      <c r="D539" s="19" t="s">
        <v>53</v>
      </c>
      <c r="E539" s="19" t="s">
        <v>54</v>
      </c>
      <c r="F539" s="20" t="s">
        <v>248</v>
      </c>
      <c r="G539" s="20" t="s">
        <v>911</v>
      </c>
      <c r="H539" s="19" t="s">
        <v>1911</v>
      </c>
      <c r="I539" s="20" t="s">
        <v>58</v>
      </c>
      <c r="J539" s="20" t="s">
        <v>913</v>
      </c>
      <c r="K539" s="20" t="s">
        <v>1912</v>
      </c>
      <c r="L539" s="19" t="s">
        <v>61</v>
      </c>
      <c r="M539" s="19" t="s">
        <v>62</v>
      </c>
      <c r="N539" s="20" t="s">
        <v>63</v>
      </c>
      <c r="O539" s="19">
        <v>21</v>
      </c>
      <c r="P539" s="19">
        <v>3.73</v>
      </c>
      <c r="Q539" s="19">
        <v>1</v>
      </c>
      <c r="R539" s="20">
        <v>7.5</v>
      </c>
      <c r="S539" s="19">
        <v>6.6000000000000003E-2</v>
      </c>
      <c r="T539" s="19" t="s">
        <v>64</v>
      </c>
      <c r="U539" s="19" t="s">
        <v>65</v>
      </c>
      <c r="V539" s="19" t="s">
        <v>66</v>
      </c>
      <c r="W539" s="19" t="s">
        <v>67</v>
      </c>
      <c r="X539" s="19" t="s">
        <v>68</v>
      </c>
      <c r="Y539" s="21" t="s">
        <v>69</v>
      </c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2"/>
      <c r="AK539" s="22"/>
      <c r="AL539" s="22"/>
      <c r="AM539" s="21" t="s">
        <v>70</v>
      </c>
      <c r="AN539" s="21" t="s">
        <v>70</v>
      </c>
      <c r="AO539" s="21" t="str">
        <f>_xlfn.XLOOKUP(A:A,[1]TAGS!$A:$A,[1]TAGS!$BG:$BG)</f>
        <v>Programar</v>
      </c>
      <c r="AP539" s="21"/>
      <c r="AQ539" s="21"/>
      <c r="AR539" s="21"/>
      <c r="AS539" s="21"/>
      <c r="AT539" s="21"/>
      <c r="AU539" s="21"/>
    </row>
    <row r="540" spans="1:47" x14ac:dyDescent="0.35">
      <c r="A540" s="19" t="s">
        <v>1913</v>
      </c>
      <c r="B540" s="19" t="s">
        <v>52</v>
      </c>
      <c r="C540" s="19"/>
      <c r="D540" s="19" t="s">
        <v>53</v>
      </c>
      <c r="E540" s="19" t="s">
        <v>54</v>
      </c>
      <c r="F540" s="20" t="s">
        <v>248</v>
      </c>
      <c r="G540" s="20" t="s">
        <v>911</v>
      </c>
      <c r="H540" s="19" t="s">
        <v>1914</v>
      </c>
      <c r="I540" s="20" t="s">
        <v>58</v>
      </c>
      <c r="J540" s="20" t="s">
        <v>913</v>
      </c>
      <c r="K540" s="20" t="s">
        <v>1915</v>
      </c>
      <c r="L540" s="19" t="s">
        <v>61</v>
      </c>
      <c r="M540" s="19" t="s">
        <v>62</v>
      </c>
      <c r="N540" s="20" t="s">
        <v>63</v>
      </c>
      <c r="O540" s="19">
        <v>21</v>
      </c>
      <c r="P540" s="19">
        <v>3.73</v>
      </c>
      <c r="Q540" s="19">
        <v>1</v>
      </c>
      <c r="R540" s="20">
        <v>7.5</v>
      </c>
      <c r="S540" s="19">
        <v>6.6000000000000003E-2</v>
      </c>
      <c r="T540" s="19" t="s">
        <v>64</v>
      </c>
      <c r="U540" s="19" t="s">
        <v>65</v>
      </c>
      <c r="V540" s="19" t="s">
        <v>66</v>
      </c>
      <c r="W540" s="19" t="s">
        <v>67</v>
      </c>
      <c r="X540" s="19" t="s">
        <v>68</v>
      </c>
      <c r="Y540" s="21" t="s">
        <v>69</v>
      </c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2"/>
      <c r="AK540" s="22"/>
      <c r="AL540" s="22"/>
      <c r="AM540" s="21" t="s">
        <v>70</v>
      </c>
      <c r="AN540" s="21" t="s">
        <v>70</v>
      </c>
      <c r="AO540" s="21" t="str">
        <f>_xlfn.XLOOKUP(A:A,[1]TAGS!$A:$A,[1]TAGS!$BG:$BG)</f>
        <v>Programar</v>
      </c>
      <c r="AP540" s="21"/>
      <c r="AQ540" s="21"/>
      <c r="AR540" s="21"/>
      <c r="AS540" s="21"/>
      <c r="AT540" s="21"/>
      <c r="AU540" s="21"/>
    </row>
    <row r="541" spans="1:47" x14ac:dyDescent="0.35">
      <c r="A541" s="19" t="s">
        <v>1916</v>
      </c>
      <c r="B541" s="19" t="s">
        <v>52</v>
      </c>
      <c r="C541" s="19"/>
      <c r="D541" s="19" t="s">
        <v>53</v>
      </c>
      <c r="E541" s="19" t="s">
        <v>54</v>
      </c>
      <c r="F541" s="20" t="s">
        <v>233</v>
      </c>
      <c r="G541" s="20" t="s">
        <v>234</v>
      </c>
      <c r="H541" s="19" t="s">
        <v>1917</v>
      </c>
      <c r="I541" s="20" t="s">
        <v>58</v>
      </c>
      <c r="J541" s="20" t="s">
        <v>236</v>
      </c>
      <c r="K541" s="20" t="s">
        <v>1918</v>
      </c>
      <c r="L541" s="19" t="s">
        <v>61</v>
      </c>
      <c r="M541" s="19" t="s">
        <v>62</v>
      </c>
      <c r="N541" s="20" t="s">
        <v>63</v>
      </c>
      <c r="O541" s="19">
        <v>21</v>
      </c>
      <c r="P541" s="19">
        <v>3.73</v>
      </c>
      <c r="Q541" s="19">
        <v>1</v>
      </c>
      <c r="R541" s="20">
        <v>7.5</v>
      </c>
      <c r="S541" s="19">
        <v>6.6000000000000003E-2</v>
      </c>
      <c r="T541" s="19" t="s">
        <v>64</v>
      </c>
      <c r="U541" s="19" t="s">
        <v>65</v>
      </c>
      <c r="V541" s="19" t="s">
        <v>66</v>
      </c>
      <c r="W541" s="19" t="s">
        <v>67</v>
      </c>
      <c r="X541" s="19" t="s">
        <v>68</v>
      </c>
      <c r="Y541" s="21" t="s">
        <v>69</v>
      </c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2"/>
      <c r="AK541" s="22"/>
      <c r="AL541" s="22"/>
      <c r="AM541" s="21" t="s">
        <v>70</v>
      </c>
      <c r="AN541" s="21" t="s">
        <v>70</v>
      </c>
      <c r="AO541" s="21" t="str">
        <f>_xlfn.XLOOKUP(A:A,[1]TAGS!$A:$A,[1]TAGS!$BG:$BG)</f>
        <v>Não Montado</v>
      </c>
      <c r="AP541" s="21"/>
      <c r="AQ541" s="21"/>
      <c r="AR541" s="21"/>
      <c r="AS541" s="21"/>
      <c r="AT541" s="21"/>
      <c r="AU541" s="21"/>
    </row>
    <row r="542" spans="1:47" x14ac:dyDescent="0.35">
      <c r="A542" s="19" t="s">
        <v>1919</v>
      </c>
      <c r="B542" s="19" t="s">
        <v>52</v>
      </c>
      <c r="C542" s="19"/>
      <c r="D542" s="19" t="s">
        <v>53</v>
      </c>
      <c r="E542" s="19" t="s">
        <v>54</v>
      </c>
      <c r="F542" s="20" t="s">
        <v>233</v>
      </c>
      <c r="G542" s="20" t="s">
        <v>1920</v>
      </c>
      <c r="H542" s="19" t="s">
        <v>1921</v>
      </c>
      <c r="I542" s="20" t="s">
        <v>58</v>
      </c>
      <c r="J542" s="20" t="s">
        <v>1922</v>
      </c>
      <c r="K542" s="20" t="s">
        <v>1923</v>
      </c>
      <c r="L542" s="19" t="s">
        <v>61</v>
      </c>
      <c r="M542" s="19" t="s">
        <v>62</v>
      </c>
      <c r="N542" s="20" t="s">
        <v>63</v>
      </c>
      <c r="O542" s="19">
        <v>21</v>
      </c>
      <c r="P542" s="19">
        <v>3.73</v>
      </c>
      <c r="Q542" s="19">
        <v>1</v>
      </c>
      <c r="R542" s="20">
        <v>7.5</v>
      </c>
      <c r="S542" s="19">
        <v>6.6000000000000003E-2</v>
      </c>
      <c r="T542" s="19" t="s">
        <v>64</v>
      </c>
      <c r="U542" s="19" t="s">
        <v>65</v>
      </c>
      <c r="V542" s="19" t="s">
        <v>66</v>
      </c>
      <c r="W542" s="19" t="s">
        <v>67</v>
      </c>
      <c r="X542" s="19" t="s">
        <v>68</v>
      </c>
      <c r="Y542" s="21" t="s">
        <v>69</v>
      </c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2"/>
      <c r="AK542" s="22"/>
      <c r="AL542" s="22"/>
      <c r="AM542" s="21" t="s">
        <v>70</v>
      </c>
      <c r="AN542" s="21" t="s">
        <v>70</v>
      </c>
      <c r="AO542" s="21" t="str">
        <f>_xlfn.XLOOKUP(A:A,[1]TAGS!$A:$A,[1]TAGS!$BG:$BG)</f>
        <v>Não Montado</v>
      </c>
      <c r="AP542" s="21"/>
      <c r="AQ542" s="21"/>
      <c r="AR542" s="21"/>
      <c r="AS542" s="21"/>
      <c r="AT542" s="21"/>
      <c r="AU542" s="21"/>
    </row>
    <row r="543" spans="1:47" x14ac:dyDescent="0.35">
      <c r="A543" s="19" t="s">
        <v>1924</v>
      </c>
      <c r="B543" s="19" t="s">
        <v>52</v>
      </c>
      <c r="C543" s="19"/>
      <c r="D543" s="19" t="s">
        <v>53</v>
      </c>
      <c r="E543" s="19" t="s">
        <v>54</v>
      </c>
      <c r="F543" s="20" t="s">
        <v>218</v>
      </c>
      <c r="G543" s="20" t="s">
        <v>219</v>
      </c>
      <c r="H543" s="19" t="s">
        <v>1925</v>
      </c>
      <c r="I543" s="20" t="s">
        <v>58</v>
      </c>
      <c r="J543" s="20" t="s">
        <v>221</v>
      </c>
      <c r="K543" s="20" t="s">
        <v>1926</v>
      </c>
      <c r="L543" s="19" t="s">
        <v>61</v>
      </c>
      <c r="M543" s="19" t="s">
        <v>62</v>
      </c>
      <c r="N543" s="20" t="s">
        <v>63</v>
      </c>
      <c r="O543" s="19">
        <v>21</v>
      </c>
      <c r="P543" s="19">
        <v>3.73</v>
      </c>
      <c r="Q543" s="19">
        <v>1</v>
      </c>
      <c r="R543" s="20">
        <v>7.5</v>
      </c>
      <c r="S543" s="19">
        <v>6.6000000000000003E-2</v>
      </c>
      <c r="T543" s="19" t="s">
        <v>64</v>
      </c>
      <c r="U543" s="19" t="s">
        <v>65</v>
      </c>
      <c r="V543" s="19" t="s">
        <v>66</v>
      </c>
      <c r="W543" s="19" t="s">
        <v>67</v>
      </c>
      <c r="X543" s="19" t="s">
        <v>68</v>
      </c>
      <c r="Y543" s="21" t="s">
        <v>69</v>
      </c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2"/>
      <c r="AK543" s="22"/>
      <c r="AL543" s="22"/>
      <c r="AM543" s="21" t="s">
        <v>70</v>
      </c>
      <c r="AN543" s="21" t="s">
        <v>70</v>
      </c>
      <c r="AO543" s="21" t="str">
        <f>_xlfn.XLOOKUP(A:A,[1]TAGS!$A:$A,[1]TAGS!$BG:$BG)</f>
        <v>Não Montado</v>
      </c>
      <c r="AP543" s="21"/>
      <c r="AQ543" s="21"/>
      <c r="AR543" s="21"/>
      <c r="AS543" s="21"/>
      <c r="AT543" s="21"/>
      <c r="AU543" s="21"/>
    </row>
    <row r="544" spans="1:47" x14ac:dyDescent="0.35">
      <c r="A544" s="19" t="s">
        <v>1927</v>
      </c>
      <c r="B544" s="19" t="s">
        <v>52</v>
      </c>
      <c r="C544" s="19"/>
      <c r="D544" s="19" t="s">
        <v>53</v>
      </c>
      <c r="E544" s="19" t="s">
        <v>54</v>
      </c>
      <c r="F544" s="20" t="s">
        <v>218</v>
      </c>
      <c r="G544" s="20" t="s">
        <v>219</v>
      </c>
      <c r="H544" s="19" t="s">
        <v>1928</v>
      </c>
      <c r="I544" s="20" t="s">
        <v>58</v>
      </c>
      <c r="J544" s="20" t="s">
        <v>221</v>
      </c>
      <c r="K544" s="20" t="s">
        <v>1929</v>
      </c>
      <c r="L544" s="19" t="s">
        <v>61</v>
      </c>
      <c r="M544" s="19" t="s">
        <v>62</v>
      </c>
      <c r="N544" s="20" t="s">
        <v>63</v>
      </c>
      <c r="O544" s="19">
        <v>21</v>
      </c>
      <c r="P544" s="19">
        <v>3.73</v>
      </c>
      <c r="Q544" s="19">
        <v>1</v>
      </c>
      <c r="R544" s="20">
        <v>7.5</v>
      </c>
      <c r="S544" s="19">
        <v>6.6000000000000003E-2</v>
      </c>
      <c r="T544" s="19" t="s">
        <v>64</v>
      </c>
      <c r="U544" s="19" t="s">
        <v>65</v>
      </c>
      <c r="V544" s="19" t="s">
        <v>66</v>
      </c>
      <c r="W544" s="19" t="s">
        <v>67</v>
      </c>
      <c r="X544" s="19" t="s">
        <v>68</v>
      </c>
      <c r="Y544" s="21" t="s">
        <v>69</v>
      </c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2"/>
      <c r="AK544" s="22"/>
      <c r="AL544" s="22"/>
      <c r="AM544" s="21" t="s">
        <v>70</v>
      </c>
      <c r="AN544" s="21" t="s">
        <v>70</v>
      </c>
      <c r="AO544" s="21" t="str">
        <f>_xlfn.XLOOKUP(A:A,[1]TAGS!$A:$A,[1]TAGS!$BG:$BG)</f>
        <v>Em programação</v>
      </c>
      <c r="AP544" s="21"/>
      <c r="AQ544" s="21"/>
      <c r="AR544" s="21"/>
      <c r="AS544" s="21"/>
      <c r="AT544" s="21"/>
      <c r="AU544" s="21"/>
    </row>
    <row r="545" spans="1:47" x14ac:dyDescent="0.35">
      <c r="A545" s="19" t="s">
        <v>1930</v>
      </c>
      <c r="B545" s="19" t="s">
        <v>52</v>
      </c>
      <c r="C545" s="19"/>
      <c r="D545" s="19" t="s">
        <v>53</v>
      </c>
      <c r="E545" s="19" t="s">
        <v>54</v>
      </c>
      <c r="F545" s="20" t="s">
        <v>218</v>
      </c>
      <c r="G545" s="20" t="s">
        <v>1478</v>
      </c>
      <c r="H545" s="19" t="s">
        <v>1931</v>
      </c>
      <c r="I545" s="20" t="s">
        <v>124</v>
      </c>
      <c r="J545" s="20" t="s">
        <v>1480</v>
      </c>
      <c r="K545" s="20" t="s">
        <v>1932</v>
      </c>
      <c r="L545" s="19" t="s">
        <v>61</v>
      </c>
      <c r="M545" s="19" t="s">
        <v>62</v>
      </c>
      <c r="N545" s="20" t="s">
        <v>63</v>
      </c>
      <c r="O545" s="19">
        <v>21</v>
      </c>
      <c r="P545" s="19">
        <v>3.73</v>
      </c>
      <c r="Q545" s="19">
        <v>1</v>
      </c>
      <c r="R545" s="20">
        <v>7.5</v>
      </c>
      <c r="S545" s="19">
        <v>6.6000000000000003E-2</v>
      </c>
      <c r="T545" s="19" t="s">
        <v>64</v>
      </c>
      <c r="U545" s="19" t="s">
        <v>65</v>
      </c>
      <c r="V545" s="19" t="s">
        <v>66</v>
      </c>
      <c r="W545" s="19" t="s">
        <v>67</v>
      </c>
      <c r="X545" s="19" t="s">
        <v>68</v>
      </c>
      <c r="Y545" s="21" t="s">
        <v>69</v>
      </c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2"/>
      <c r="AK545" s="22"/>
      <c r="AL545" s="22"/>
      <c r="AM545" s="21" t="s">
        <v>70</v>
      </c>
      <c r="AN545" s="21" t="s">
        <v>70</v>
      </c>
      <c r="AO545" s="21" t="str">
        <f>_xlfn.XLOOKUP(A:A,[1]TAGS!$A:$A,[1]TAGS!$BG:$BG)</f>
        <v>Não Montado</v>
      </c>
      <c r="AP545" s="21"/>
      <c r="AQ545" s="21"/>
      <c r="AR545" s="21"/>
      <c r="AS545" s="21"/>
      <c r="AT545" s="21"/>
      <c r="AU545" s="21"/>
    </row>
    <row r="546" spans="1:47" x14ac:dyDescent="0.35">
      <c r="A546" s="19" t="s">
        <v>1933</v>
      </c>
      <c r="B546" s="19" t="s">
        <v>52</v>
      </c>
      <c r="C546" s="19"/>
      <c r="D546" s="19" t="s">
        <v>53</v>
      </c>
      <c r="E546" s="19" t="s">
        <v>54</v>
      </c>
      <c r="F546" s="20" t="s">
        <v>218</v>
      </c>
      <c r="G546" s="20" t="s">
        <v>1478</v>
      </c>
      <c r="H546" s="19" t="s">
        <v>1934</v>
      </c>
      <c r="I546" s="20" t="s">
        <v>124</v>
      </c>
      <c r="J546" s="20" t="s">
        <v>1480</v>
      </c>
      <c r="K546" s="20" t="s">
        <v>1935</v>
      </c>
      <c r="L546" s="19" t="s">
        <v>61</v>
      </c>
      <c r="M546" s="19" t="s">
        <v>62</v>
      </c>
      <c r="N546" s="20" t="s">
        <v>63</v>
      </c>
      <c r="O546" s="19">
        <v>21</v>
      </c>
      <c r="P546" s="19">
        <v>3.73</v>
      </c>
      <c r="Q546" s="19">
        <v>1</v>
      </c>
      <c r="R546" s="20">
        <v>7.5</v>
      </c>
      <c r="S546" s="19">
        <v>6.6000000000000003E-2</v>
      </c>
      <c r="T546" s="19" t="s">
        <v>64</v>
      </c>
      <c r="U546" s="19" t="s">
        <v>65</v>
      </c>
      <c r="V546" s="19" t="s">
        <v>66</v>
      </c>
      <c r="W546" s="19" t="s">
        <v>67</v>
      </c>
      <c r="X546" s="19" t="s">
        <v>68</v>
      </c>
      <c r="Y546" s="21" t="s">
        <v>69</v>
      </c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2"/>
      <c r="AK546" s="22"/>
      <c r="AL546" s="22"/>
      <c r="AM546" s="21" t="s">
        <v>70</v>
      </c>
      <c r="AN546" s="21" t="s">
        <v>70</v>
      </c>
      <c r="AO546" s="21" t="str">
        <f>_xlfn.XLOOKUP(A:A,[1]TAGS!$A:$A,[1]TAGS!$BG:$BG)</f>
        <v>Não Montado</v>
      </c>
      <c r="AP546" s="21"/>
      <c r="AQ546" s="21"/>
      <c r="AR546" s="21"/>
      <c r="AS546" s="21"/>
      <c r="AT546" s="21"/>
      <c r="AU546" s="21"/>
    </row>
    <row r="547" spans="1:47" x14ac:dyDescent="0.35">
      <c r="A547" s="19" t="s">
        <v>1936</v>
      </c>
      <c r="B547" s="19" t="s">
        <v>52</v>
      </c>
      <c r="C547" s="19"/>
      <c r="D547" s="19" t="s">
        <v>53</v>
      </c>
      <c r="E547" s="19" t="s">
        <v>54</v>
      </c>
      <c r="F547" s="20" t="s">
        <v>1937</v>
      </c>
      <c r="G547" s="20" t="s">
        <v>1938</v>
      </c>
      <c r="H547" s="19" t="s">
        <v>1939</v>
      </c>
      <c r="I547" s="20" t="s">
        <v>58</v>
      </c>
      <c r="J547" s="20" t="s">
        <v>1940</v>
      </c>
      <c r="K547" s="20" t="s">
        <v>1941</v>
      </c>
      <c r="L547" s="19" t="s">
        <v>61</v>
      </c>
      <c r="M547" s="19" t="s">
        <v>62</v>
      </c>
      <c r="N547" s="20" t="s">
        <v>63</v>
      </c>
      <c r="O547" s="19">
        <v>21</v>
      </c>
      <c r="P547" s="19">
        <v>3.73</v>
      </c>
      <c r="Q547" s="19">
        <v>1</v>
      </c>
      <c r="R547" s="20">
        <v>7.5</v>
      </c>
      <c r="S547" s="19">
        <v>6.6000000000000003E-2</v>
      </c>
      <c r="T547" s="19" t="s">
        <v>64</v>
      </c>
      <c r="U547" s="19" t="s">
        <v>65</v>
      </c>
      <c r="V547" s="19" t="s">
        <v>66</v>
      </c>
      <c r="W547" s="19" t="s">
        <v>67</v>
      </c>
      <c r="X547" s="19" t="s">
        <v>68</v>
      </c>
      <c r="Y547" s="21" t="s">
        <v>69</v>
      </c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2"/>
      <c r="AK547" s="22"/>
      <c r="AL547" s="22"/>
      <c r="AM547" s="21" t="s">
        <v>70</v>
      </c>
      <c r="AN547" s="21" t="s">
        <v>70</v>
      </c>
      <c r="AO547" s="21" t="str">
        <f>_xlfn.XLOOKUP(A:A,[1]TAGS!$A:$A,[1]TAGS!$BG:$BG)</f>
        <v>Não Montado</v>
      </c>
      <c r="AP547" s="21"/>
      <c r="AQ547" s="21"/>
      <c r="AR547" s="21"/>
      <c r="AS547" s="21"/>
      <c r="AT547" s="21"/>
      <c r="AU547" s="21"/>
    </row>
    <row r="548" spans="1:47" x14ac:dyDescent="0.35">
      <c r="A548" s="19" t="s">
        <v>1942</v>
      </c>
      <c r="B548" s="19" t="s">
        <v>52</v>
      </c>
      <c r="C548" s="19"/>
      <c r="D548" s="19" t="s">
        <v>53</v>
      </c>
      <c r="E548" s="19" t="s">
        <v>54</v>
      </c>
      <c r="F548" s="20" t="s">
        <v>1937</v>
      </c>
      <c r="G548" s="20" t="s">
        <v>1943</v>
      </c>
      <c r="H548" s="19" t="s">
        <v>1944</v>
      </c>
      <c r="I548" s="20" t="s">
        <v>124</v>
      </c>
      <c r="J548" s="20" t="s">
        <v>1945</v>
      </c>
      <c r="K548" s="20" t="s">
        <v>1946</v>
      </c>
      <c r="L548" s="19" t="s">
        <v>61</v>
      </c>
      <c r="M548" s="19" t="s">
        <v>62</v>
      </c>
      <c r="N548" s="20" t="s">
        <v>63</v>
      </c>
      <c r="O548" s="19">
        <v>21</v>
      </c>
      <c r="P548" s="19">
        <v>3.73</v>
      </c>
      <c r="Q548" s="19">
        <v>1</v>
      </c>
      <c r="R548" s="20">
        <v>7.5</v>
      </c>
      <c r="S548" s="19">
        <v>6.6000000000000003E-2</v>
      </c>
      <c r="T548" s="19" t="s">
        <v>64</v>
      </c>
      <c r="U548" s="19" t="s">
        <v>65</v>
      </c>
      <c r="V548" s="19" t="s">
        <v>66</v>
      </c>
      <c r="W548" s="19" t="s">
        <v>67</v>
      </c>
      <c r="X548" s="19" t="s">
        <v>68</v>
      </c>
      <c r="Y548" s="21" t="s">
        <v>69</v>
      </c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2"/>
      <c r="AK548" s="22"/>
      <c r="AL548" s="22"/>
      <c r="AM548" s="21" t="s">
        <v>70</v>
      </c>
      <c r="AN548" s="21" t="s">
        <v>70</v>
      </c>
      <c r="AO548" s="21" t="str">
        <f>_xlfn.XLOOKUP(A:A,[1]TAGS!$A:$A,[1]TAGS!$BG:$BG)</f>
        <v>Não Montado</v>
      </c>
      <c r="AP548" s="21"/>
      <c r="AQ548" s="21"/>
      <c r="AR548" s="21"/>
      <c r="AS548" s="21"/>
      <c r="AT548" s="21"/>
      <c r="AU548" s="21"/>
    </row>
    <row r="549" spans="1:47" x14ac:dyDescent="0.35">
      <c r="A549" s="19" t="s">
        <v>1947</v>
      </c>
      <c r="B549" s="19" t="s">
        <v>52</v>
      </c>
      <c r="C549" s="19"/>
      <c r="D549" s="19" t="s">
        <v>53</v>
      </c>
      <c r="E549" s="19" t="s">
        <v>54</v>
      </c>
      <c r="F549" s="20" t="s">
        <v>1341</v>
      </c>
      <c r="G549" s="20" t="s">
        <v>1948</v>
      </c>
      <c r="H549" s="19" t="s">
        <v>1949</v>
      </c>
      <c r="I549" s="20" t="s">
        <v>58</v>
      </c>
      <c r="J549" s="20" t="s">
        <v>1950</v>
      </c>
      <c r="K549" s="20" t="s">
        <v>1951</v>
      </c>
      <c r="L549" s="19" t="s">
        <v>61</v>
      </c>
      <c r="M549" s="19" t="s">
        <v>62</v>
      </c>
      <c r="N549" s="20" t="s">
        <v>63</v>
      </c>
      <c r="O549" s="19">
        <v>21</v>
      </c>
      <c r="P549" s="19">
        <v>3.73</v>
      </c>
      <c r="Q549" s="19">
        <v>1</v>
      </c>
      <c r="R549" s="20">
        <v>7.5</v>
      </c>
      <c r="S549" s="19">
        <v>6.6000000000000003E-2</v>
      </c>
      <c r="T549" s="19" t="s">
        <v>64</v>
      </c>
      <c r="U549" s="19" t="s">
        <v>65</v>
      </c>
      <c r="V549" s="19" t="s">
        <v>66</v>
      </c>
      <c r="W549" s="19" t="s">
        <v>67</v>
      </c>
      <c r="X549" s="19" t="s">
        <v>68</v>
      </c>
      <c r="Y549" s="21" t="s">
        <v>69</v>
      </c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2"/>
      <c r="AK549" s="22"/>
      <c r="AL549" s="22"/>
      <c r="AM549" s="21" t="s">
        <v>70</v>
      </c>
      <c r="AN549" s="21" t="s">
        <v>70</v>
      </c>
      <c r="AO549" s="21" t="str">
        <f>_xlfn.XLOOKUP(A:A,[1]TAGS!$A:$A,[1]TAGS!$BG:$BG)</f>
        <v>Programar</v>
      </c>
      <c r="AP549" s="21"/>
      <c r="AQ549" s="21"/>
      <c r="AR549" s="21"/>
      <c r="AS549" s="21"/>
      <c r="AT549" s="21"/>
      <c r="AU549" s="21"/>
    </row>
    <row r="550" spans="1:47" x14ac:dyDescent="0.35">
      <c r="A550" s="19" t="s">
        <v>1952</v>
      </c>
      <c r="B550" s="19" t="s">
        <v>52</v>
      </c>
      <c r="C550" s="19"/>
      <c r="D550" s="19" t="s">
        <v>53</v>
      </c>
      <c r="E550" s="19" t="s">
        <v>54</v>
      </c>
      <c r="F550" s="20" t="s">
        <v>1341</v>
      </c>
      <c r="G550" s="20" t="s">
        <v>1948</v>
      </c>
      <c r="H550" s="19" t="s">
        <v>1953</v>
      </c>
      <c r="I550" s="20" t="s">
        <v>58</v>
      </c>
      <c r="J550" s="20" t="s">
        <v>1950</v>
      </c>
      <c r="K550" s="20" t="s">
        <v>1954</v>
      </c>
      <c r="L550" s="19" t="s">
        <v>61</v>
      </c>
      <c r="M550" s="19" t="s">
        <v>62</v>
      </c>
      <c r="N550" s="20" t="s">
        <v>63</v>
      </c>
      <c r="O550" s="19">
        <v>21</v>
      </c>
      <c r="P550" s="19">
        <v>3.73</v>
      </c>
      <c r="Q550" s="19">
        <v>1</v>
      </c>
      <c r="R550" s="20">
        <v>7.5</v>
      </c>
      <c r="S550" s="19">
        <v>6.6000000000000003E-2</v>
      </c>
      <c r="T550" s="19" t="s">
        <v>64</v>
      </c>
      <c r="U550" s="19" t="s">
        <v>65</v>
      </c>
      <c r="V550" s="19" t="s">
        <v>66</v>
      </c>
      <c r="W550" s="19" t="s">
        <v>67</v>
      </c>
      <c r="X550" s="19" t="s">
        <v>68</v>
      </c>
      <c r="Y550" s="21" t="s">
        <v>69</v>
      </c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2"/>
      <c r="AK550" s="22"/>
      <c r="AL550" s="22"/>
      <c r="AM550" s="21" t="s">
        <v>70</v>
      </c>
      <c r="AN550" s="21" t="s">
        <v>70</v>
      </c>
      <c r="AO550" s="21" t="str">
        <f>_xlfn.XLOOKUP(A:A,[1]TAGS!$A:$A,[1]TAGS!$BG:$BG)</f>
        <v>Programar</v>
      </c>
      <c r="AP550" s="21"/>
      <c r="AQ550" s="21"/>
      <c r="AR550" s="21"/>
      <c r="AS550" s="21"/>
      <c r="AT550" s="21"/>
      <c r="AU550" s="21"/>
    </row>
    <row r="551" spans="1:47" x14ac:dyDescent="0.35">
      <c r="A551" s="19" t="s">
        <v>1955</v>
      </c>
      <c r="B551" s="19" t="s">
        <v>52</v>
      </c>
      <c r="C551" s="19"/>
      <c r="D551" s="19" t="s">
        <v>53</v>
      </c>
      <c r="E551" s="19" t="s">
        <v>54</v>
      </c>
      <c r="F551" s="20" t="s">
        <v>263</v>
      </c>
      <c r="G551" s="20" t="s">
        <v>264</v>
      </c>
      <c r="H551" s="19" t="s">
        <v>1956</v>
      </c>
      <c r="I551" s="20" t="s">
        <v>58</v>
      </c>
      <c r="J551" s="20" t="s">
        <v>266</v>
      </c>
      <c r="K551" s="20" t="s">
        <v>1957</v>
      </c>
      <c r="L551" s="19" t="s">
        <v>61</v>
      </c>
      <c r="M551" s="19" t="s">
        <v>62</v>
      </c>
      <c r="N551" s="20" t="s">
        <v>63</v>
      </c>
      <c r="O551" s="19">
        <v>21</v>
      </c>
      <c r="P551" s="19">
        <v>3.73</v>
      </c>
      <c r="Q551" s="19">
        <v>1</v>
      </c>
      <c r="R551" s="20">
        <v>7.5</v>
      </c>
      <c r="S551" s="19">
        <v>6.6000000000000003E-2</v>
      </c>
      <c r="T551" s="19" t="s">
        <v>64</v>
      </c>
      <c r="U551" s="19" t="s">
        <v>65</v>
      </c>
      <c r="V551" s="19" t="s">
        <v>66</v>
      </c>
      <c r="W551" s="19" t="s">
        <v>67</v>
      </c>
      <c r="X551" s="19" t="s">
        <v>68</v>
      </c>
      <c r="Y551" s="21" t="s">
        <v>69</v>
      </c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2"/>
      <c r="AK551" s="22"/>
      <c r="AL551" s="22"/>
      <c r="AM551" s="21" t="s">
        <v>70</v>
      </c>
      <c r="AN551" s="21" t="s">
        <v>70</v>
      </c>
      <c r="AO551" s="21" t="str">
        <f>_xlfn.XLOOKUP(A:A,[1]TAGS!$A:$A,[1]TAGS!$BG:$BG)</f>
        <v>Em programação</v>
      </c>
      <c r="AP551" s="21"/>
      <c r="AQ551" s="21"/>
      <c r="AR551" s="21"/>
      <c r="AS551" s="21"/>
      <c r="AT551" s="21"/>
      <c r="AU551" s="21"/>
    </row>
    <row r="552" spans="1:47" x14ac:dyDescent="0.35">
      <c r="A552" s="19" t="s">
        <v>1958</v>
      </c>
      <c r="B552" s="19" t="s">
        <v>52</v>
      </c>
      <c r="C552" s="19"/>
      <c r="D552" s="19" t="s">
        <v>53</v>
      </c>
      <c r="E552" s="19" t="s">
        <v>54</v>
      </c>
      <c r="F552" s="20" t="s">
        <v>263</v>
      </c>
      <c r="G552" s="20" t="s">
        <v>1959</v>
      </c>
      <c r="H552" s="19" t="s">
        <v>1960</v>
      </c>
      <c r="I552" s="20" t="s">
        <v>124</v>
      </c>
      <c r="J552" s="20" t="s">
        <v>1961</v>
      </c>
      <c r="K552" s="20" t="s">
        <v>1962</v>
      </c>
      <c r="L552" s="19" t="s">
        <v>61</v>
      </c>
      <c r="M552" s="19" t="s">
        <v>62</v>
      </c>
      <c r="N552" s="20" t="s">
        <v>63</v>
      </c>
      <c r="O552" s="19">
        <v>21</v>
      </c>
      <c r="P552" s="19">
        <v>3.73</v>
      </c>
      <c r="Q552" s="19">
        <v>1</v>
      </c>
      <c r="R552" s="20">
        <v>7.5</v>
      </c>
      <c r="S552" s="19">
        <v>6.6000000000000003E-2</v>
      </c>
      <c r="T552" s="19" t="s">
        <v>64</v>
      </c>
      <c r="U552" s="19" t="s">
        <v>65</v>
      </c>
      <c r="V552" s="19" t="s">
        <v>66</v>
      </c>
      <c r="W552" s="19" t="s">
        <v>67</v>
      </c>
      <c r="X552" s="19" t="s">
        <v>68</v>
      </c>
      <c r="Y552" s="21" t="s">
        <v>69</v>
      </c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2"/>
      <c r="AK552" s="22"/>
      <c r="AL552" s="22"/>
      <c r="AM552" s="21" t="s">
        <v>70</v>
      </c>
      <c r="AN552" s="21" t="s">
        <v>70</v>
      </c>
      <c r="AO552" s="21" t="str">
        <f>_xlfn.XLOOKUP(A:A,[1]TAGS!$A:$A,[1]TAGS!$BG:$BG)</f>
        <v>Programar</v>
      </c>
      <c r="AP552" s="21"/>
      <c r="AQ552" s="21"/>
      <c r="AR552" s="21"/>
      <c r="AS552" s="21"/>
      <c r="AT552" s="21"/>
      <c r="AU552" s="21"/>
    </row>
    <row r="553" spans="1:47" ht="29" x14ac:dyDescent="0.35">
      <c r="A553" s="19" t="s">
        <v>1963</v>
      </c>
      <c r="B553" s="19" t="s">
        <v>52</v>
      </c>
      <c r="C553" s="19"/>
      <c r="D553" s="19" t="s">
        <v>53</v>
      </c>
      <c r="E553" s="19" t="s">
        <v>54</v>
      </c>
      <c r="F553" s="20" t="s">
        <v>578</v>
      </c>
      <c r="G553" s="20" t="s">
        <v>1964</v>
      </c>
      <c r="H553" s="19" t="s">
        <v>1965</v>
      </c>
      <c r="I553" s="20" t="s">
        <v>58</v>
      </c>
      <c r="J553" s="23" t="s">
        <v>1966</v>
      </c>
      <c r="K553" s="20" t="s">
        <v>1967</v>
      </c>
      <c r="L553" s="19" t="s">
        <v>61</v>
      </c>
      <c r="M553" s="19" t="s">
        <v>62</v>
      </c>
      <c r="N553" s="20" t="s">
        <v>63</v>
      </c>
      <c r="O553" s="19">
        <v>21</v>
      </c>
      <c r="P553" s="19">
        <v>3.73</v>
      </c>
      <c r="Q553" s="19">
        <v>1</v>
      </c>
      <c r="R553" s="20">
        <v>7.5</v>
      </c>
      <c r="S553" s="19">
        <v>6.6000000000000003E-2</v>
      </c>
      <c r="T553" s="19" t="s">
        <v>64</v>
      </c>
      <c r="U553" s="19" t="s">
        <v>65</v>
      </c>
      <c r="V553" s="19" t="s">
        <v>66</v>
      </c>
      <c r="W553" s="19" t="s">
        <v>67</v>
      </c>
      <c r="X553" s="19" t="s">
        <v>68</v>
      </c>
      <c r="Y553" s="21" t="s">
        <v>69</v>
      </c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2"/>
      <c r="AK553" s="22"/>
      <c r="AL553" s="22"/>
      <c r="AM553" s="21" t="s">
        <v>70</v>
      </c>
      <c r="AN553" s="21" t="s">
        <v>70</v>
      </c>
      <c r="AO553" s="21" t="str">
        <f>_xlfn.XLOOKUP(A:A,[1]TAGS!$A:$A,[1]TAGS!$BG:$BG)</f>
        <v>Programar</v>
      </c>
      <c r="AP553" s="21"/>
      <c r="AQ553" s="21"/>
      <c r="AR553" s="21"/>
      <c r="AS553" s="21"/>
      <c r="AT553" s="21"/>
      <c r="AU553" s="21"/>
    </row>
    <row r="554" spans="1:47" ht="29" x14ac:dyDescent="0.35">
      <c r="A554" s="19" t="s">
        <v>1968</v>
      </c>
      <c r="B554" s="19" t="s">
        <v>52</v>
      </c>
      <c r="C554" s="19"/>
      <c r="D554" s="19" t="s">
        <v>53</v>
      </c>
      <c r="E554" s="19" t="s">
        <v>54</v>
      </c>
      <c r="F554" s="20" t="s">
        <v>578</v>
      </c>
      <c r="G554" s="20" t="s">
        <v>579</v>
      </c>
      <c r="H554" s="19" t="s">
        <v>1969</v>
      </c>
      <c r="I554" s="20" t="s">
        <v>58</v>
      </c>
      <c r="J554" s="23" t="s">
        <v>581</v>
      </c>
      <c r="K554" s="20" t="s">
        <v>1970</v>
      </c>
      <c r="L554" s="19" t="s">
        <v>61</v>
      </c>
      <c r="M554" s="19" t="s">
        <v>62</v>
      </c>
      <c r="N554" s="20" t="s">
        <v>63</v>
      </c>
      <c r="O554" s="19">
        <v>21</v>
      </c>
      <c r="P554" s="19">
        <v>3.73</v>
      </c>
      <c r="Q554" s="19">
        <v>1</v>
      </c>
      <c r="R554" s="20">
        <v>7.5</v>
      </c>
      <c r="S554" s="19">
        <v>6.6000000000000003E-2</v>
      </c>
      <c r="T554" s="19" t="s">
        <v>64</v>
      </c>
      <c r="U554" s="19" t="s">
        <v>65</v>
      </c>
      <c r="V554" s="19" t="s">
        <v>66</v>
      </c>
      <c r="W554" s="19" t="s">
        <v>67</v>
      </c>
      <c r="X554" s="19" t="s">
        <v>68</v>
      </c>
      <c r="Y554" s="21" t="s">
        <v>69</v>
      </c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2"/>
      <c r="AK554" s="22"/>
      <c r="AL554" s="22"/>
      <c r="AM554" s="21" t="s">
        <v>70</v>
      </c>
      <c r="AN554" s="21" t="s">
        <v>70</v>
      </c>
      <c r="AO554" s="21" t="str">
        <f>_xlfn.XLOOKUP(A:A,[1]TAGS!$A:$A,[1]TAGS!$BG:$BG)</f>
        <v>Programar</v>
      </c>
      <c r="AP554" s="21"/>
      <c r="AQ554" s="21"/>
      <c r="AR554" s="21"/>
      <c r="AS554" s="21"/>
      <c r="AT554" s="21"/>
      <c r="AU554" s="21"/>
    </row>
    <row r="555" spans="1:47" ht="29" x14ac:dyDescent="0.35">
      <c r="A555" s="19" t="s">
        <v>1971</v>
      </c>
      <c r="B555" s="19" t="s">
        <v>52</v>
      </c>
      <c r="C555" s="19"/>
      <c r="D555" s="19" t="s">
        <v>53</v>
      </c>
      <c r="E555" s="19" t="s">
        <v>54</v>
      </c>
      <c r="F555" s="20" t="s">
        <v>578</v>
      </c>
      <c r="G555" s="20" t="s">
        <v>1972</v>
      </c>
      <c r="H555" s="19" t="s">
        <v>1973</v>
      </c>
      <c r="I555" s="20" t="s">
        <v>124</v>
      </c>
      <c r="J555" s="23" t="s">
        <v>1974</v>
      </c>
      <c r="K555" s="20" t="s">
        <v>1975</v>
      </c>
      <c r="L555" s="19" t="s">
        <v>61</v>
      </c>
      <c r="M555" s="19" t="s">
        <v>62</v>
      </c>
      <c r="N555" s="20" t="s">
        <v>63</v>
      </c>
      <c r="O555" s="19">
        <v>21</v>
      </c>
      <c r="P555" s="19">
        <v>3.73</v>
      </c>
      <c r="Q555" s="19">
        <v>1</v>
      </c>
      <c r="R555" s="20">
        <v>7.5</v>
      </c>
      <c r="S555" s="19">
        <v>6.6000000000000003E-2</v>
      </c>
      <c r="T555" s="19" t="s">
        <v>64</v>
      </c>
      <c r="U555" s="19" t="s">
        <v>65</v>
      </c>
      <c r="V555" s="19" t="s">
        <v>66</v>
      </c>
      <c r="W555" s="19" t="s">
        <v>67</v>
      </c>
      <c r="X555" s="19" t="s">
        <v>68</v>
      </c>
      <c r="Y555" s="21" t="s">
        <v>69</v>
      </c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2"/>
      <c r="AK555" s="22"/>
      <c r="AL555" s="22"/>
      <c r="AM555" s="21" t="s">
        <v>70</v>
      </c>
      <c r="AN555" s="21" t="s">
        <v>70</v>
      </c>
      <c r="AO555" s="21" t="str">
        <f>_xlfn.XLOOKUP(A:A,[1]TAGS!$A:$A,[1]TAGS!$BG:$BG)</f>
        <v>Programar</v>
      </c>
      <c r="AP555" s="21"/>
      <c r="AQ555" s="21"/>
      <c r="AR555" s="21"/>
      <c r="AS555" s="21"/>
      <c r="AT555" s="21"/>
      <c r="AU555" s="21"/>
    </row>
    <row r="556" spans="1:47" x14ac:dyDescent="0.35">
      <c r="A556" s="19" t="s">
        <v>1976</v>
      </c>
      <c r="B556" s="19" t="s">
        <v>52</v>
      </c>
      <c r="C556" s="19"/>
      <c r="D556" s="19" t="s">
        <v>53</v>
      </c>
      <c r="E556" s="19" t="s">
        <v>54</v>
      </c>
      <c r="F556" s="20" t="s">
        <v>1977</v>
      </c>
      <c r="G556" s="20" t="s">
        <v>1978</v>
      </c>
      <c r="H556" s="19" t="s">
        <v>1979</v>
      </c>
      <c r="I556" s="20" t="s">
        <v>58</v>
      </c>
      <c r="J556" s="20" t="s">
        <v>1980</v>
      </c>
      <c r="K556" s="20" t="s">
        <v>1981</v>
      </c>
      <c r="L556" s="19" t="s">
        <v>61</v>
      </c>
      <c r="M556" s="19" t="s">
        <v>62</v>
      </c>
      <c r="N556" s="20" t="s">
        <v>63</v>
      </c>
      <c r="O556" s="19">
        <v>21</v>
      </c>
      <c r="P556" s="19">
        <v>3.73</v>
      </c>
      <c r="Q556" s="19">
        <v>1</v>
      </c>
      <c r="R556" s="20">
        <v>7.5</v>
      </c>
      <c r="S556" s="19">
        <v>6.6000000000000003E-2</v>
      </c>
      <c r="T556" s="19" t="s">
        <v>64</v>
      </c>
      <c r="U556" s="19" t="s">
        <v>65</v>
      </c>
      <c r="V556" s="19" t="s">
        <v>66</v>
      </c>
      <c r="W556" s="19" t="s">
        <v>67</v>
      </c>
      <c r="X556" s="19" t="s">
        <v>68</v>
      </c>
      <c r="Y556" s="21" t="s">
        <v>69</v>
      </c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2"/>
      <c r="AK556" s="22"/>
      <c r="AL556" s="22"/>
      <c r="AM556" s="21" t="s">
        <v>70</v>
      </c>
      <c r="AN556" s="21" t="s">
        <v>70</v>
      </c>
      <c r="AO556" s="21" t="str">
        <f>_xlfn.XLOOKUP(A:A,[1]TAGS!$A:$A,[1]TAGS!$BG:$BG)</f>
        <v>Não Montado</v>
      </c>
      <c r="AP556" s="21"/>
      <c r="AQ556" s="21"/>
      <c r="AR556" s="21"/>
      <c r="AS556" s="21"/>
      <c r="AT556" s="21"/>
      <c r="AU556" s="21"/>
    </row>
    <row r="557" spans="1:47" x14ac:dyDescent="0.35">
      <c r="A557" s="19" t="s">
        <v>1982</v>
      </c>
      <c r="B557" s="19" t="s">
        <v>52</v>
      </c>
      <c r="C557" s="19"/>
      <c r="D557" s="19" t="s">
        <v>53</v>
      </c>
      <c r="E557" s="19" t="s">
        <v>54</v>
      </c>
      <c r="F557" s="20" t="s">
        <v>1977</v>
      </c>
      <c r="G557" s="20" t="s">
        <v>1978</v>
      </c>
      <c r="H557" s="19" t="s">
        <v>1983</v>
      </c>
      <c r="I557" s="20" t="s">
        <v>58</v>
      </c>
      <c r="J557" s="20" t="s">
        <v>1980</v>
      </c>
      <c r="K557" s="20" t="s">
        <v>1984</v>
      </c>
      <c r="L557" s="19" t="s">
        <v>61</v>
      </c>
      <c r="M557" s="19" t="s">
        <v>62</v>
      </c>
      <c r="N557" s="20" t="s">
        <v>63</v>
      </c>
      <c r="O557" s="19">
        <v>21</v>
      </c>
      <c r="P557" s="19">
        <v>3.73</v>
      </c>
      <c r="Q557" s="19">
        <v>1</v>
      </c>
      <c r="R557" s="20">
        <v>7.5</v>
      </c>
      <c r="S557" s="19">
        <v>6.6000000000000003E-2</v>
      </c>
      <c r="T557" s="19" t="s">
        <v>64</v>
      </c>
      <c r="U557" s="19" t="s">
        <v>65</v>
      </c>
      <c r="V557" s="19" t="s">
        <v>66</v>
      </c>
      <c r="W557" s="19" t="s">
        <v>67</v>
      </c>
      <c r="X557" s="19" t="s">
        <v>68</v>
      </c>
      <c r="Y557" s="21" t="s">
        <v>69</v>
      </c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2"/>
      <c r="AK557" s="22"/>
      <c r="AL557" s="22"/>
      <c r="AM557" s="21" t="s">
        <v>70</v>
      </c>
      <c r="AN557" s="21" t="s">
        <v>70</v>
      </c>
      <c r="AO557" s="21" t="str">
        <f>_xlfn.XLOOKUP(A:A,[1]TAGS!$A:$A,[1]TAGS!$BG:$BG)</f>
        <v>Não Montado</v>
      </c>
      <c r="AP557" s="21"/>
      <c r="AQ557" s="21"/>
      <c r="AR557" s="21"/>
      <c r="AS557" s="21"/>
      <c r="AT557" s="21"/>
      <c r="AU557" s="21"/>
    </row>
    <row r="558" spans="1:47" x14ac:dyDescent="0.35">
      <c r="A558" s="19" t="s">
        <v>1985</v>
      </c>
      <c r="B558" s="19" t="s">
        <v>52</v>
      </c>
      <c r="C558" s="19"/>
      <c r="D558" s="19" t="s">
        <v>53</v>
      </c>
      <c r="E558" s="19" t="s">
        <v>54</v>
      </c>
      <c r="F558" s="20" t="s">
        <v>1977</v>
      </c>
      <c r="G558" s="20" t="s">
        <v>1978</v>
      </c>
      <c r="H558" s="19" t="s">
        <v>1986</v>
      </c>
      <c r="I558" s="20" t="s">
        <v>58</v>
      </c>
      <c r="J558" s="20" t="s">
        <v>1980</v>
      </c>
      <c r="K558" s="20" t="s">
        <v>1987</v>
      </c>
      <c r="L558" s="19" t="s">
        <v>61</v>
      </c>
      <c r="M558" s="19" t="s">
        <v>62</v>
      </c>
      <c r="N558" s="20" t="s">
        <v>63</v>
      </c>
      <c r="O558" s="19">
        <v>21</v>
      </c>
      <c r="P558" s="19">
        <v>3.73</v>
      </c>
      <c r="Q558" s="19">
        <v>1</v>
      </c>
      <c r="R558" s="20">
        <v>7.5</v>
      </c>
      <c r="S558" s="19">
        <v>6.6000000000000003E-2</v>
      </c>
      <c r="T558" s="19" t="s">
        <v>64</v>
      </c>
      <c r="U558" s="19" t="s">
        <v>65</v>
      </c>
      <c r="V558" s="19" t="s">
        <v>66</v>
      </c>
      <c r="W558" s="19" t="s">
        <v>67</v>
      </c>
      <c r="X558" s="19" t="s">
        <v>68</v>
      </c>
      <c r="Y558" s="21" t="s">
        <v>69</v>
      </c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2"/>
      <c r="AK558" s="22"/>
      <c r="AL558" s="22"/>
      <c r="AM558" s="21" t="s">
        <v>70</v>
      </c>
      <c r="AN558" s="21" t="s">
        <v>70</v>
      </c>
      <c r="AO558" s="21" t="str">
        <f>_xlfn.XLOOKUP(A:A,[1]TAGS!$A:$A,[1]TAGS!$BG:$BG)</f>
        <v>Não Montado</v>
      </c>
      <c r="AP558" s="21"/>
      <c r="AQ558" s="21"/>
      <c r="AR558" s="21"/>
      <c r="AS558" s="21"/>
      <c r="AT558" s="21"/>
      <c r="AU558" s="21"/>
    </row>
    <row r="559" spans="1:47" x14ac:dyDescent="0.35">
      <c r="A559" s="19" t="s">
        <v>1988</v>
      </c>
      <c r="B559" s="19" t="s">
        <v>52</v>
      </c>
      <c r="C559" s="19"/>
      <c r="D559" s="19" t="s">
        <v>53</v>
      </c>
      <c r="E559" s="19" t="s">
        <v>54</v>
      </c>
      <c r="F559" s="20" t="s">
        <v>1989</v>
      </c>
      <c r="G559" s="20" t="s">
        <v>1990</v>
      </c>
      <c r="H559" s="19" t="s">
        <v>1991</v>
      </c>
      <c r="I559" s="20" t="s">
        <v>124</v>
      </c>
      <c r="J559" s="20" t="s">
        <v>1992</v>
      </c>
      <c r="K559" s="20" t="s">
        <v>1993</v>
      </c>
      <c r="L559" s="19" t="s">
        <v>61</v>
      </c>
      <c r="M559" s="19" t="s">
        <v>62</v>
      </c>
      <c r="N559" s="20" t="s">
        <v>63</v>
      </c>
      <c r="O559" s="19">
        <v>21</v>
      </c>
      <c r="P559" s="19">
        <v>3.73</v>
      </c>
      <c r="Q559" s="19">
        <v>1</v>
      </c>
      <c r="R559" s="20">
        <v>7.5</v>
      </c>
      <c r="S559" s="19">
        <v>6.6000000000000003E-2</v>
      </c>
      <c r="T559" s="19" t="s">
        <v>64</v>
      </c>
      <c r="U559" s="19" t="s">
        <v>65</v>
      </c>
      <c r="V559" s="19" t="s">
        <v>66</v>
      </c>
      <c r="W559" s="19" t="s">
        <v>67</v>
      </c>
      <c r="X559" s="19" t="s">
        <v>68</v>
      </c>
      <c r="Y559" s="21" t="s">
        <v>69</v>
      </c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2"/>
      <c r="AK559" s="22"/>
      <c r="AL559" s="22"/>
      <c r="AM559" s="21" t="s">
        <v>70</v>
      </c>
      <c r="AN559" s="21" t="s">
        <v>70</v>
      </c>
      <c r="AO559" s="21" t="str">
        <f>_xlfn.XLOOKUP(A:A,[1]TAGS!$A:$A,[1]TAGS!$BG:$BG)</f>
        <v>Montado</v>
      </c>
      <c r="AP559" s="21"/>
      <c r="AQ559" s="21"/>
      <c r="AR559" s="21"/>
      <c r="AS559" s="21"/>
      <c r="AT559" s="21"/>
      <c r="AU559" s="21"/>
    </row>
    <row r="560" spans="1:47" x14ac:dyDescent="0.35">
      <c r="A560" s="19" t="s">
        <v>1994</v>
      </c>
      <c r="B560" s="19" t="s">
        <v>52</v>
      </c>
      <c r="C560" s="19"/>
      <c r="D560" s="19" t="s">
        <v>53</v>
      </c>
      <c r="E560" s="19" t="s">
        <v>54</v>
      </c>
      <c r="F560" s="20" t="s">
        <v>1989</v>
      </c>
      <c r="G560" s="20" t="s">
        <v>1990</v>
      </c>
      <c r="H560" s="19" t="s">
        <v>1995</v>
      </c>
      <c r="I560" s="20" t="s">
        <v>124</v>
      </c>
      <c r="J560" s="20" t="s">
        <v>1992</v>
      </c>
      <c r="K560" s="20" t="s">
        <v>1996</v>
      </c>
      <c r="L560" s="19" t="s">
        <v>61</v>
      </c>
      <c r="M560" s="19" t="s">
        <v>62</v>
      </c>
      <c r="N560" s="20" t="s">
        <v>63</v>
      </c>
      <c r="O560" s="19">
        <v>21</v>
      </c>
      <c r="P560" s="19">
        <v>3.73</v>
      </c>
      <c r="Q560" s="19">
        <v>1</v>
      </c>
      <c r="R560" s="20">
        <v>7.5</v>
      </c>
      <c r="S560" s="19">
        <v>6.6000000000000003E-2</v>
      </c>
      <c r="T560" s="19" t="s">
        <v>64</v>
      </c>
      <c r="U560" s="19" t="s">
        <v>65</v>
      </c>
      <c r="V560" s="19" t="s">
        <v>66</v>
      </c>
      <c r="W560" s="19" t="s">
        <v>67</v>
      </c>
      <c r="X560" s="19" t="s">
        <v>68</v>
      </c>
      <c r="Y560" s="21" t="s">
        <v>69</v>
      </c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2"/>
      <c r="AK560" s="22"/>
      <c r="AL560" s="22"/>
      <c r="AM560" s="21" t="s">
        <v>70</v>
      </c>
      <c r="AN560" s="21" t="s">
        <v>70</v>
      </c>
      <c r="AO560" s="21" t="str">
        <f>_xlfn.XLOOKUP(A:A,[1]TAGS!$A:$A,[1]TAGS!$BG:$BG)</f>
        <v>Não Montado</v>
      </c>
      <c r="AP560" s="21"/>
      <c r="AQ560" s="21"/>
      <c r="AR560" s="21"/>
      <c r="AS560" s="21"/>
      <c r="AT560" s="21"/>
      <c r="AU560" s="21"/>
    </row>
    <row r="561" spans="1:47" x14ac:dyDescent="0.35">
      <c r="A561" s="19" t="s">
        <v>1997</v>
      </c>
      <c r="B561" s="19" t="s">
        <v>52</v>
      </c>
      <c r="C561" s="19"/>
      <c r="D561" s="19" t="s">
        <v>53</v>
      </c>
      <c r="E561" s="19" t="s">
        <v>54</v>
      </c>
      <c r="F561" s="20" t="s">
        <v>1998</v>
      </c>
      <c r="G561" s="20" t="s">
        <v>1999</v>
      </c>
      <c r="H561" s="19" t="s">
        <v>2000</v>
      </c>
      <c r="I561" s="20" t="s">
        <v>58</v>
      </c>
      <c r="J561" s="20" t="s">
        <v>2001</v>
      </c>
      <c r="K561" s="20" t="s">
        <v>2002</v>
      </c>
      <c r="L561" s="19" t="s">
        <v>61</v>
      </c>
      <c r="M561" s="19" t="s">
        <v>62</v>
      </c>
      <c r="N561" s="20" t="s">
        <v>63</v>
      </c>
      <c r="O561" s="19">
        <v>21</v>
      </c>
      <c r="P561" s="19">
        <v>3.73</v>
      </c>
      <c r="Q561" s="19">
        <v>1</v>
      </c>
      <c r="R561" s="20">
        <v>7.5</v>
      </c>
      <c r="S561" s="19">
        <v>6.6000000000000003E-2</v>
      </c>
      <c r="T561" s="19" t="s">
        <v>64</v>
      </c>
      <c r="U561" s="19" t="s">
        <v>65</v>
      </c>
      <c r="V561" s="19" t="s">
        <v>66</v>
      </c>
      <c r="W561" s="19" t="s">
        <v>67</v>
      </c>
      <c r="X561" s="19" t="s">
        <v>68</v>
      </c>
      <c r="Y561" s="21" t="s">
        <v>69</v>
      </c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2"/>
      <c r="AK561" s="22"/>
      <c r="AL561" s="22"/>
      <c r="AM561" s="21" t="s">
        <v>70</v>
      </c>
      <c r="AN561" s="21" t="s">
        <v>70</v>
      </c>
      <c r="AO561" s="21" t="str">
        <f>_xlfn.XLOOKUP(A:A,[1]TAGS!$A:$A,[1]TAGS!$BG:$BG)</f>
        <v>Não Montado</v>
      </c>
      <c r="AP561" s="21"/>
      <c r="AQ561" s="21"/>
      <c r="AR561" s="21"/>
      <c r="AS561" s="21"/>
      <c r="AT561" s="21"/>
      <c r="AU561" s="21"/>
    </row>
    <row r="562" spans="1:47" x14ac:dyDescent="0.35">
      <c r="A562" s="19" t="s">
        <v>2003</v>
      </c>
      <c r="B562" s="19" t="s">
        <v>52</v>
      </c>
      <c r="C562" s="19"/>
      <c r="D562" s="19" t="s">
        <v>53</v>
      </c>
      <c r="E562" s="19" t="s">
        <v>54</v>
      </c>
      <c r="F562" s="20" t="s">
        <v>1998</v>
      </c>
      <c r="G562" s="20" t="s">
        <v>1999</v>
      </c>
      <c r="H562" s="19" t="s">
        <v>2004</v>
      </c>
      <c r="I562" s="20" t="s">
        <v>58</v>
      </c>
      <c r="J562" s="20" t="s">
        <v>2001</v>
      </c>
      <c r="K562" s="20" t="s">
        <v>2005</v>
      </c>
      <c r="L562" s="19" t="s">
        <v>61</v>
      </c>
      <c r="M562" s="19" t="s">
        <v>62</v>
      </c>
      <c r="N562" s="20" t="s">
        <v>63</v>
      </c>
      <c r="O562" s="19">
        <v>21</v>
      </c>
      <c r="P562" s="19">
        <v>3.73</v>
      </c>
      <c r="Q562" s="19">
        <v>1</v>
      </c>
      <c r="R562" s="20">
        <v>7.5</v>
      </c>
      <c r="S562" s="19">
        <v>6.6000000000000003E-2</v>
      </c>
      <c r="T562" s="19" t="s">
        <v>64</v>
      </c>
      <c r="U562" s="19" t="s">
        <v>65</v>
      </c>
      <c r="V562" s="19" t="s">
        <v>66</v>
      </c>
      <c r="W562" s="19" t="s">
        <v>67</v>
      </c>
      <c r="X562" s="19" t="s">
        <v>68</v>
      </c>
      <c r="Y562" s="21" t="s">
        <v>69</v>
      </c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2"/>
      <c r="AK562" s="22"/>
      <c r="AL562" s="22"/>
      <c r="AM562" s="21" t="s">
        <v>70</v>
      </c>
      <c r="AN562" s="21" t="s">
        <v>70</v>
      </c>
      <c r="AO562" s="21" t="str">
        <f>_xlfn.XLOOKUP(A:A,[1]TAGS!$A:$A,[1]TAGS!$BG:$BG)</f>
        <v>Não Montado</v>
      </c>
      <c r="AP562" s="21"/>
      <c r="AQ562" s="21"/>
      <c r="AR562" s="21"/>
      <c r="AS562" s="21"/>
      <c r="AT562" s="21"/>
      <c r="AU562" s="21"/>
    </row>
    <row r="563" spans="1:47" x14ac:dyDescent="0.35">
      <c r="A563" s="19" t="s">
        <v>2006</v>
      </c>
      <c r="B563" s="19" t="s">
        <v>52</v>
      </c>
      <c r="C563" s="19"/>
      <c r="D563" s="19" t="s">
        <v>53</v>
      </c>
      <c r="E563" s="19" t="s">
        <v>54</v>
      </c>
      <c r="F563" s="20" t="s">
        <v>1998</v>
      </c>
      <c r="G563" s="20" t="s">
        <v>1999</v>
      </c>
      <c r="H563" s="19" t="s">
        <v>2007</v>
      </c>
      <c r="I563" s="20" t="s">
        <v>58</v>
      </c>
      <c r="J563" s="20" t="s">
        <v>2001</v>
      </c>
      <c r="K563" s="20" t="s">
        <v>2008</v>
      </c>
      <c r="L563" s="19" t="s">
        <v>61</v>
      </c>
      <c r="M563" s="19" t="s">
        <v>62</v>
      </c>
      <c r="N563" s="20" t="s">
        <v>63</v>
      </c>
      <c r="O563" s="19">
        <v>21</v>
      </c>
      <c r="P563" s="19">
        <v>3.73</v>
      </c>
      <c r="Q563" s="19">
        <v>1</v>
      </c>
      <c r="R563" s="20">
        <v>7.5</v>
      </c>
      <c r="S563" s="19">
        <v>6.6000000000000003E-2</v>
      </c>
      <c r="T563" s="19" t="s">
        <v>64</v>
      </c>
      <c r="U563" s="19" t="s">
        <v>65</v>
      </c>
      <c r="V563" s="19" t="s">
        <v>66</v>
      </c>
      <c r="W563" s="19" t="s">
        <v>67</v>
      </c>
      <c r="X563" s="19" t="s">
        <v>68</v>
      </c>
      <c r="Y563" s="21" t="s">
        <v>69</v>
      </c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2"/>
      <c r="AK563" s="22"/>
      <c r="AL563" s="22"/>
      <c r="AM563" s="21" t="s">
        <v>70</v>
      </c>
      <c r="AN563" s="21" t="s">
        <v>70</v>
      </c>
      <c r="AO563" s="21" t="str">
        <f>_xlfn.XLOOKUP(A:A,[1]TAGS!$A:$A,[1]TAGS!$BG:$BG)</f>
        <v>Não Montado</v>
      </c>
      <c r="AP563" s="21"/>
      <c r="AQ563" s="21"/>
      <c r="AR563" s="21"/>
      <c r="AS563" s="21"/>
      <c r="AT563" s="21"/>
      <c r="AU563" s="21"/>
    </row>
    <row r="564" spans="1:47" x14ac:dyDescent="0.35">
      <c r="A564" s="19" t="s">
        <v>2009</v>
      </c>
      <c r="B564" s="19" t="s">
        <v>52</v>
      </c>
      <c r="C564" s="19"/>
      <c r="D564" s="19" t="s">
        <v>53</v>
      </c>
      <c r="E564" s="19" t="s">
        <v>54</v>
      </c>
      <c r="F564" s="20" t="s">
        <v>306</v>
      </c>
      <c r="G564" s="20" t="s">
        <v>843</v>
      </c>
      <c r="H564" s="19" t="s">
        <v>2010</v>
      </c>
      <c r="I564" s="20" t="s">
        <v>124</v>
      </c>
      <c r="J564" s="20" t="s">
        <v>845</v>
      </c>
      <c r="K564" s="20" t="s">
        <v>2011</v>
      </c>
      <c r="L564" s="19" t="s">
        <v>61</v>
      </c>
      <c r="M564" s="19" t="s">
        <v>62</v>
      </c>
      <c r="N564" s="20" t="s">
        <v>63</v>
      </c>
      <c r="O564" s="19">
        <v>21</v>
      </c>
      <c r="P564" s="19">
        <v>3.73</v>
      </c>
      <c r="Q564" s="19">
        <v>1</v>
      </c>
      <c r="R564" s="20">
        <v>7.5</v>
      </c>
      <c r="S564" s="19">
        <v>6.6000000000000003E-2</v>
      </c>
      <c r="T564" s="19" t="s">
        <v>64</v>
      </c>
      <c r="U564" s="19" t="s">
        <v>65</v>
      </c>
      <c r="V564" s="19" t="s">
        <v>66</v>
      </c>
      <c r="W564" s="19" t="s">
        <v>67</v>
      </c>
      <c r="X564" s="19" t="s">
        <v>68</v>
      </c>
      <c r="Y564" s="21" t="s">
        <v>69</v>
      </c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2"/>
      <c r="AK564" s="22"/>
      <c r="AL564" s="22"/>
      <c r="AM564" s="21" t="s">
        <v>70</v>
      </c>
      <c r="AN564" s="21" t="s">
        <v>70</v>
      </c>
      <c r="AO564" s="21" t="str">
        <f>_xlfn.XLOOKUP(A:A,[1]TAGS!$A:$A,[1]TAGS!$BG:$BG)</f>
        <v>Não Montado</v>
      </c>
      <c r="AP564" s="21"/>
      <c r="AQ564" s="21"/>
      <c r="AR564" s="21"/>
      <c r="AS564" s="21"/>
      <c r="AT564" s="21"/>
      <c r="AU564" s="21"/>
    </row>
    <row r="565" spans="1:47" x14ac:dyDescent="0.35">
      <c r="A565" s="19" t="s">
        <v>2012</v>
      </c>
      <c r="B565" s="19" t="s">
        <v>52</v>
      </c>
      <c r="C565" s="19"/>
      <c r="D565" s="19" t="s">
        <v>53</v>
      </c>
      <c r="E565" s="19" t="s">
        <v>54</v>
      </c>
      <c r="F565" s="20" t="s">
        <v>306</v>
      </c>
      <c r="G565" s="20" t="s">
        <v>843</v>
      </c>
      <c r="H565" s="19" t="s">
        <v>2013</v>
      </c>
      <c r="I565" s="20" t="s">
        <v>124</v>
      </c>
      <c r="J565" s="20" t="s">
        <v>845</v>
      </c>
      <c r="K565" s="20" t="s">
        <v>2014</v>
      </c>
      <c r="L565" s="19" t="s">
        <v>61</v>
      </c>
      <c r="M565" s="19" t="s">
        <v>62</v>
      </c>
      <c r="N565" s="20" t="s">
        <v>63</v>
      </c>
      <c r="O565" s="19">
        <v>21</v>
      </c>
      <c r="P565" s="19">
        <v>3.73</v>
      </c>
      <c r="Q565" s="19">
        <v>1</v>
      </c>
      <c r="R565" s="20">
        <v>7.5</v>
      </c>
      <c r="S565" s="19">
        <v>6.6000000000000003E-2</v>
      </c>
      <c r="T565" s="19" t="s">
        <v>64</v>
      </c>
      <c r="U565" s="19" t="s">
        <v>65</v>
      </c>
      <c r="V565" s="19" t="s">
        <v>66</v>
      </c>
      <c r="W565" s="19" t="s">
        <v>67</v>
      </c>
      <c r="X565" s="19" t="s">
        <v>68</v>
      </c>
      <c r="Y565" s="21" t="s">
        <v>69</v>
      </c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2"/>
      <c r="AK565" s="22"/>
      <c r="AL565" s="22"/>
      <c r="AM565" s="21" t="s">
        <v>70</v>
      </c>
      <c r="AN565" s="21" t="s">
        <v>70</v>
      </c>
      <c r="AO565" s="21" t="str">
        <f>_xlfn.XLOOKUP(A:A,[1]TAGS!$A:$A,[1]TAGS!$BG:$BG)</f>
        <v>Não Montado</v>
      </c>
      <c r="AP565" s="21"/>
      <c r="AQ565" s="21"/>
      <c r="AR565" s="21"/>
      <c r="AS565" s="21"/>
      <c r="AT565" s="21"/>
      <c r="AU565" s="21"/>
    </row>
    <row r="566" spans="1:47" x14ac:dyDescent="0.35">
      <c r="A566" s="19" t="s">
        <v>2015</v>
      </c>
      <c r="B566" s="19" t="s">
        <v>52</v>
      </c>
      <c r="C566" s="19"/>
      <c r="D566" s="19" t="s">
        <v>53</v>
      </c>
      <c r="E566" s="19" t="s">
        <v>54</v>
      </c>
      <c r="F566" s="20" t="s">
        <v>306</v>
      </c>
      <c r="G566" s="20" t="s">
        <v>843</v>
      </c>
      <c r="H566" s="19" t="s">
        <v>2016</v>
      </c>
      <c r="I566" s="20" t="s">
        <v>124</v>
      </c>
      <c r="J566" s="20" t="s">
        <v>845</v>
      </c>
      <c r="K566" s="20" t="s">
        <v>2017</v>
      </c>
      <c r="L566" s="19" t="s">
        <v>61</v>
      </c>
      <c r="M566" s="19" t="s">
        <v>62</v>
      </c>
      <c r="N566" s="20" t="s">
        <v>63</v>
      </c>
      <c r="O566" s="19">
        <v>21</v>
      </c>
      <c r="P566" s="19">
        <v>3.73</v>
      </c>
      <c r="Q566" s="19">
        <v>1</v>
      </c>
      <c r="R566" s="20">
        <v>7.5</v>
      </c>
      <c r="S566" s="19">
        <v>6.6000000000000003E-2</v>
      </c>
      <c r="T566" s="19" t="s">
        <v>64</v>
      </c>
      <c r="U566" s="19" t="s">
        <v>65</v>
      </c>
      <c r="V566" s="19" t="s">
        <v>66</v>
      </c>
      <c r="W566" s="19" t="s">
        <v>67</v>
      </c>
      <c r="X566" s="19" t="s">
        <v>68</v>
      </c>
      <c r="Y566" s="21" t="s">
        <v>69</v>
      </c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2"/>
      <c r="AK566" s="22"/>
      <c r="AL566" s="22"/>
      <c r="AM566" s="21" t="s">
        <v>70</v>
      </c>
      <c r="AN566" s="21" t="s">
        <v>70</v>
      </c>
      <c r="AO566" s="21" t="str">
        <f>_xlfn.XLOOKUP(A:A,[1]TAGS!$A:$A,[1]TAGS!$BG:$BG)</f>
        <v>Não Montado</v>
      </c>
      <c r="AP566" s="21"/>
      <c r="AQ566" s="21"/>
      <c r="AR566" s="21"/>
      <c r="AS566" s="21"/>
      <c r="AT566" s="21"/>
      <c r="AU566" s="21"/>
    </row>
    <row r="567" spans="1:47" x14ac:dyDescent="0.35">
      <c r="A567" s="19" t="s">
        <v>2018</v>
      </c>
      <c r="B567" s="19" t="s">
        <v>52</v>
      </c>
      <c r="C567" s="19"/>
      <c r="D567" s="19" t="s">
        <v>53</v>
      </c>
      <c r="E567" s="19" t="s">
        <v>54</v>
      </c>
      <c r="F567" s="20" t="s">
        <v>306</v>
      </c>
      <c r="G567" s="20" t="s">
        <v>843</v>
      </c>
      <c r="H567" s="19" t="s">
        <v>2019</v>
      </c>
      <c r="I567" s="20" t="s">
        <v>124</v>
      </c>
      <c r="J567" s="20" t="s">
        <v>845</v>
      </c>
      <c r="K567" s="20" t="s">
        <v>2020</v>
      </c>
      <c r="L567" s="19" t="s">
        <v>61</v>
      </c>
      <c r="M567" s="19" t="s">
        <v>62</v>
      </c>
      <c r="N567" s="20" t="s">
        <v>63</v>
      </c>
      <c r="O567" s="19">
        <v>21</v>
      </c>
      <c r="P567" s="19">
        <v>3.73</v>
      </c>
      <c r="Q567" s="19">
        <v>1</v>
      </c>
      <c r="R567" s="20">
        <v>7.5</v>
      </c>
      <c r="S567" s="19">
        <v>6.6000000000000003E-2</v>
      </c>
      <c r="T567" s="19" t="s">
        <v>64</v>
      </c>
      <c r="U567" s="19" t="s">
        <v>65</v>
      </c>
      <c r="V567" s="19" t="s">
        <v>66</v>
      </c>
      <c r="W567" s="19" t="s">
        <v>67</v>
      </c>
      <c r="X567" s="19" t="s">
        <v>68</v>
      </c>
      <c r="Y567" s="21" t="s">
        <v>69</v>
      </c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2"/>
      <c r="AK567" s="22"/>
      <c r="AL567" s="22"/>
      <c r="AM567" s="21" t="s">
        <v>70</v>
      </c>
      <c r="AN567" s="21" t="s">
        <v>70</v>
      </c>
      <c r="AO567" s="21" t="str">
        <f>_xlfn.XLOOKUP(A:A,[1]TAGS!$A:$A,[1]TAGS!$BG:$BG)</f>
        <v>Não Montado</v>
      </c>
      <c r="AP567" s="21"/>
      <c r="AQ567" s="21"/>
      <c r="AR567" s="21"/>
      <c r="AS567" s="21"/>
      <c r="AT567" s="21"/>
      <c r="AU567" s="21"/>
    </row>
    <row r="568" spans="1:47" x14ac:dyDescent="0.35">
      <c r="A568" s="19" t="s">
        <v>2021</v>
      </c>
      <c r="B568" s="19" t="s">
        <v>52</v>
      </c>
      <c r="C568" s="19"/>
      <c r="D568" s="19" t="s">
        <v>53</v>
      </c>
      <c r="E568" s="19" t="s">
        <v>54</v>
      </c>
      <c r="F568" s="20" t="s">
        <v>306</v>
      </c>
      <c r="G568" s="20" t="s">
        <v>843</v>
      </c>
      <c r="H568" s="19" t="s">
        <v>2022</v>
      </c>
      <c r="I568" s="20" t="s">
        <v>124</v>
      </c>
      <c r="J568" s="20" t="s">
        <v>845</v>
      </c>
      <c r="K568" s="20" t="s">
        <v>2023</v>
      </c>
      <c r="L568" s="19" t="s">
        <v>61</v>
      </c>
      <c r="M568" s="19" t="s">
        <v>62</v>
      </c>
      <c r="N568" s="20" t="s">
        <v>63</v>
      </c>
      <c r="O568" s="19">
        <v>21</v>
      </c>
      <c r="P568" s="19">
        <v>3.73</v>
      </c>
      <c r="Q568" s="19">
        <v>1</v>
      </c>
      <c r="R568" s="20">
        <v>7.5</v>
      </c>
      <c r="S568" s="19">
        <v>6.6000000000000003E-2</v>
      </c>
      <c r="T568" s="19" t="s">
        <v>64</v>
      </c>
      <c r="U568" s="19" t="s">
        <v>65</v>
      </c>
      <c r="V568" s="19" t="s">
        <v>66</v>
      </c>
      <c r="W568" s="19" t="s">
        <v>67</v>
      </c>
      <c r="X568" s="19" t="s">
        <v>68</v>
      </c>
      <c r="Y568" s="21" t="s">
        <v>69</v>
      </c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2"/>
      <c r="AK568" s="22"/>
      <c r="AL568" s="22"/>
      <c r="AM568" s="21" t="s">
        <v>70</v>
      </c>
      <c r="AN568" s="21" t="s">
        <v>70</v>
      </c>
      <c r="AO568" s="21" t="str">
        <f>_xlfn.XLOOKUP(A:A,[1]TAGS!$A:$A,[1]TAGS!$BG:$BG)</f>
        <v>Não Montado</v>
      </c>
      <c r="AP568" s="21"/>
      <c r="AQ568" s="21"/>
      <c r="AR568" s="21"/>
      <c r="AS568" s="21"/>
      <c r="AT568" s="21"/>
      <c r="AU568" s="21"/>
    </row>
    <row r="569" spans="1:47" x14ac:dyDescent="0.35">
      <c r="A569" s="19" t="s">
        <v>2024</v>
      </c>
      <c r="B569" s="19" t="s">
        <v>52</v>
      </c>
      <c r="C569" s="19"/>
      <c r="D569" s="19" t="s">
        <v>53</v>
      </c>
      <c r="E569" s="19" t="s">
        <v>54</v>
      </c>
      <c r="F569" s="20" t="s">
        <v>306</v>
      </c>
      <c r="G569" s="20" t="s">
        <v>843</v>
      </c>
      <c r="H569" s="19" t="s">
        <v>2025</v>
      </c>
      <c r="I569" s="20" t="s">
        <v>124</v>
      </c>
      <c r="J569" s="20" t="s">
        <v>845</v>
      </c>
      <c r="K569" s="20" t="s">
        <v>2026</v>
      </c>
      <c r="L569" s="19" t="s">
        <v>61</v>
      </c>
      <c r="M569" s="19" t="s">
        <v>62</v>
      </c>
      <c r="N569" s="20" t="s">
        <v>63</v>
      </c>
      <c r="O569" s="19">
        <v>21</v>
      </c>
      <c r="P569" s="19">
        <v>3.73</v>
      </c>
      <c r="Q569" s="19">
        <v>1</v>
      </c>
      <c r="R569" s="20">
        <v>7.5</v>
      </c>
      <c r="S569" s="19">
        <v>6.6000000000000003E-2</v>
      </c>
      <c r="T569" s="19" t="s">
        <v>64</v>
      </c>
      <c r="U569" s="19" t="s">
        <v>65</v>
      </c>
      <c r="V569" s="19" t="s">
        <v>66</v>
      </c>
      <c r="W569" s="19" t="s">
        <v>67</v>
      </c>
      <c r="X569" s="19" t="s">
        <v>68</v>
      </c>
      <c r="Y569" s="21" t="s">
        <v>69</v>
      </c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2"/>
      <c r="AK569" s="22"/>
      <c r="AL569" s="22"/>
      <c r="AM569" s="21" t="s">
        <v>70</v>
      </c>
      <c r="AN569" s="21" t="s">
        <v>70</v>
      </c>
      <c r="AO569" s="21" t="str">
        <f>_xlfn.XLOOKUP(A:A,[1]TAGS!$A:$A,[1]TAGS!$BG:$BG)</f>
        <v>Não Montado</v>
      </c>
      <c r="AP569" s="21"/>
      <c r="AQ569" s="21"/>
      <c r="AR569" s="21"/>
      <c r="AS569" s="21"/>
      <c r="AT569" s="21"/>
      <c r="AU569" s="21"/>
    </row>
    <row r="570" spans="1:47" x14ac:dyDescent="0.35">
      <c r="A570" s="19" t="s">
        <v>2027</v>
      </c>
      <c r="B570" s="19" t="s">
        <v>52</v>
      </c>
      <c r="C570" s="19"/>
      <c r="D570" s="19" t="s">
        <v>53</v>
      </c>
      <c r="E570" s="19" t="s">
        <v>54</v>
      </c>
      <c r="F570" s="20" t="s">
        <v>306</v>
      </c>
      <c r="G570" s="20" t="s">
        <v>843</v>
      </c>
      <c r="H570" s="19" t="s">
        <v>2028</v>
      </c>
      <c r="I570" s="20" t="s">
        <v>124</v>
      </c>
      <c r="J570" s="20" t="s">
        <v>845</v>
      </c>
      <c r="K570" s="20" t="s">
        <v>2029</v>
      </c>
      <c r="L570" s="19" t="s">
        <v>61</v>
      </c>
      <c r="M570" s="19" t="s">
        <v>62</v>
      </c>
      <c r="N570" s="20" t="s">
        <v>63</v>
      </c>
      <c r="O570" s="19">
        <v>21</v>
      </c>
      <c r="P570" s="19">
        <v>3.73</v>
      </c>
      <c r="Q570" s="19">
        <v>1</v>
      </c>
      <c r="R570" s="20">
        <v>7.5</v>
      </c>
      <c r="S570" s="19">
        <v>6.6000000000000003E-2</v>
      </c>
      <c r="T570" s="19" t="s">
        <v>64</v>
      </c>
      <c r="U570" s="19" t="s">
        <v>65</v>
      </c>
      <c r="V570" s="19" t="s">
        <v>66</v>
      </c>
      <c r="W570" s="19" t="s">
        <v>67</v>
      </c>
      <c r="X570" s="19" t="s">
        <v>68</v>
      </c>
      <c r="Y570" s="21" t="s">
        <v>69</v>
      </c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2"/>
      <c r="AK570" s="22"/>
      <c r="AL570" s="22"/>
      <c r="AM570" s="21" t="s">
        <v>70</v>
      </c>
      <c r="AN570" s="21" t="s">
        <v>70</v>
      </c>
      <c r="AO570" s="21" t="str">
        <f>_xlfn.XLOOKUP(A:A,[1]TAGS!$A:$A,[1]TAGS!$BG:$BG)</f>
        <v>Não Montado</v>
      </c>
      <c r="AP570" s="21"/>
      <c r="AQ570" s="21"/>
      <c r="AR570" s="21"/>
      <c r="AS570" s="21"/>
      <c r="AT570" s="21"/>
      <c r="AU570" s="21"/>
    </row>
    <row r="571" spans="1:47" x14ac:dyDescent="0.35">
      <c r="A571" s="19" t="s">
        <v>2030</v>
      </c>
      <c r="B571" s="19" t="s">
        <v>52</v>
      </c>
      <c r="C571" s="19"/>
      <c r="D571" s="19" t="s">
        <v>53</v>
      </c>
      <c r="E571" s="19" t="s">
        <v>54</v>
      </c>
      <c r="F571" s="20" t="s">
        <v>306</v>
      </c>
      <c r="G571" s="20" t="s">
        <v>843</v>
      </c>
      <c r="H571" s="19" t="s">
        <v>2031</v>
      </c>
      <c r="I571" s="20" t="s">
        <v>124</v>
      </c>
      <c r="J571" s="20" t="s">
        <v>845</v>
      </c>
      <c r="K571" s="20" t="s">
        <v>2032</v>
      </c>
      <c r="L571" s="19" t="s">
        <v>61</v>
      </c>
      <c r="M571" s="19" t="s">
        <v>62</v>
      </c>
      <c r="N571" s="20" t="s">
        <v>63</v>
      </c>
      <c r="O571" s="19">
        <v>21</v>
      </c>
      <c r="P571" s="19">
        <v>3.73</v>
      </c>
      <c r="Q571" s="19">
        <v>1</v>
      </c>
      <c r="R571" s="20">
        <v>7.5</v>
      </c>
      <c r="S571" s="19">
        <v>6.6000000000000003E-2</v>
      </c>
      <c r="T571" s="19" t="s">
        <v>64</v>
      </c>
      <c r="U571" s="19" t="s">
        <v>65</v>
      </c>
      <c r="V571" s="19" t="s">
        <v>66</v>
      </c>
      <c r="W571" s="19" t="s">
        <v>67</v>
      </c>
      <c r="X571" s="19" t="s">
        <v>68</v>
      </c>
      <c r="Y571" s="21" t="s">
        <v>69</v>
      </c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2"/>
      <c r="AK571" s="22"/>
      <c r="AL571" s="22"/>
      <c r="AM571" s="21" t="s">
        <v>70</v>
      </c>
      <c r="AN571" s="21" t="s">
        <v>70</v>
      </c>
      <c r="AO571" s="21" t="str">
        <f>_xlfn.XLOOKUP(A:A,[1]TAGS!$A:$A,[1]TAGS!$BG:$BG)</f>
        <v>Não Montado</v>
      </c>
      <c r="AP571" s="21"/>
      <c r="AQ571" s="21"/>
      <c r="AR571" s="21"/>
      <c r="AS571" s="21"/>
      <c r="AT571" s="21"/>
      <c r="AU571" s="21"/>
    </row>
    <row r="572" spans="1:47" x14ac:dyDescent="0.35">
      <c r="A572" s="19" t="s">
        <v>2033</v>
      </c>
      <c r="B572" s="19" t="s">
        <v>52</v>
      </c>
      <c r="C572" s="19"/>
      <c r="D572" s="19" t="s">
        <v>53</v>
      </c>
      <c r="E572" s="19" t="s">
        <v>54</v>
      </c>
      <c r="F572" s="20"/>
      <c r="G572" s="20"/>
      <c r="H572" s="19" t="s">
        <v>2034</v>
      </c>
      <c r="I572" s="20"/>
      <c r="J572" s="20"/>
      <c r="K572" s="20" t="s">
        <v>2035</v>
      </c>
      <c r="L572" s="19" t="s">
        <v>61</v>
      </c>
      <c r="M572" s="19" t="s">
        <v>62</v>
      </c>
      <c r="N572" s="20" t="s">
        <v>63</v>
      </c>
      <c r="O572" s="19">
        <v>21</v>
      </c>
      <c r="P572" s="19">
        <v>3.73</v>
      </c>
      <c r="Q572" s="19">
        <v>1</v>
      </c>
      <c r="R572" s="20">
        <v>7.5</v>
      </c>
      <c r="S572" s="19">
        <v>6.6000000000000003E-2</v>
      </c>
      <c r="T572" s="19" t="s">
        <v>64</v>
      </c>
      <c r="U572" s="19" t="s">
        <v>65</v>
      </c>
      <c r="V572" s="19" t="s">
        <v>66</v>
      </c>
      <c r="W572" s="19" t="s">
        <v>67</v>
      </c>
      <c r="X572" s="19" t="s">
        <v>68</v>
      </c>
      <c r="Y572" s="21" t="s">
        <v>69</v>
      </c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2"/>
      <c r="AK572" s="22"/>
      <c r="AL572" s="22"/>
      <c r="AM572" s="21" t="s">
        <v>70</v>
      </c>
      <c r="AN572" s="21" t="s">
        <v>70</v>
      </c>
      <c r="AO572" s="21" t="e">
        <f>_xlfn.XLOOKUP(A:A,[1]TAGS!$A:$A,[1]TAGS!$BG:$BG)</f>
        <v>#N/A</v>
      </c>
      <c r="AP572" s="21"/>
      <c r="AQ572" s="21"/>
      <c r="AR572" s="21"/>
      <c r="AS572" s="21"/>
      <c r="AT572" s="21"/>
      <c r="AU572" s="21" t="s">
        <v>890</v>
      </c>
    </row>
    <row r="573" spans="1:47" x14ac:dyDescent="0.35">
      <c r="A573" s="19" t="s">
        <v>2036</v>
      </c>
      <c r="B573" s="19" t="s">
        <v>52</v>
      </c>
      <c r="C573" s="19"/>
      <c r="D573" s="19" t="s">
        <v>53</v>
      </c>
      <c r="E573" s="19" t="s">
        <v>54</v>
      </c>
      <c r="F573" s="20" t="s">
        <v>306</v>
      </c>
      <c r="G573" s="20" t="s">
        <v>843</v>
      </c>
      <c r="H573" s="19" t="s">
        <v>2037</v>
      </c>
      <c r="I573" s="20" t="s">
        <v>124</v>
      </c>
      <c r="J573" s="20" t="s">
        <v>845</v>
      </c>
      <c r="K573" s="20" t="s">
        <v>2038</v>
      </c>
      <c r="L573" s="19" t="s">
        <v>61</v>
      </c>
      <c r="M573" s="19" t="s">
        <v>62</v>
      </c>
      <c r="N573" s="20" t="s">
        <v>63</v>
      </c>
      <c r="O573" s="19">
        <v>21</v>
      </c>
      <c r="P573" s="19">
        <v>3.73</v>
      </c>
      <c r="Q573" s="19">
        <v>1</v>
      </c>
      <c r="R573" s="20">
        <v>7.5</v>
      </c>
      <c r="S573" s="19">
        <v>6.6000000000000003E-2</v>
      </c>
      <c r="T573" s="19" t="s">
        <v>64</v>
      </c>
      <c r="U573" s="19" t="s">
        <v>65</v>
      </c>
      <c r="V573" s="19" t="s">
        <v>66</v>
      </c>
      <c r="W573" s="19" t="s">
        <v>67</v>
      </c>
      <c r="X573" s="19" t="s">
        <v>68</v>
      </c>
      <c r="Y573" s="21" t="s">
        <v>69</v>
      </c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2"/>
      <c r="AK573" s="22"/>
      <c r="AL573" s="22"/>
      <c r="AM573" s="21" t="s">
        <v>70</v>
      </c>
      <c r="AN573" s="21" t="s">
        <v>70</v>
      </c>
      <c r="AO573" s="21" t="str">
        <f>_xlfn.XLOOKUP(A:A,[1]TAGS!$A:$A,[1]TAGS!$BG:$BG)</f>
        <v>Programar</v>
      </c>
      <c r="AP573" s="21"/>
      <c r="AQ573" s="21"/>
      <c r="AR573" s="21"/>
      <c r="AS573" s="21"/>
      <c r="AT573" s="21"/>
      <c r="AU573" s="21"/>
    </row>
    <row r="574" spans="1:47" x14ac:dyDescent="0.35">
      <c r="A574" s="19" t="s">
        <v>2039</v>
      </c>
      <c r="B574" s="19" t="s">
        <v>52</v>
      </c>
      <c r="C574" s="19"/>
      <c r="D574" s="19" t="s">
        <v>53</v>
      </c>
      <c r="E574" s="19" t="s">
        <v>54</v>
      </c>
      <c r="F574" s="20" t="s">
        <v>306</v>
      </c>
      <c r="G574" s="20" t="s">
        <v>843</v>
      </c>
      <c r="H574" s="19" t="s">
        <v>2040</v>
      </c>
      <c r="I574" s="20" t="s">
        <v>124</v>
      </c>
      <c r="J574" s="20" t="s">
        <v>845</v>
      </c>
      <c r="K574" s="20" t="s">
        <v>2041</v>
      </c>
      <c r="L574" s="19" t="s">
        <v>61</v>
      </c>
      <c r="M574" s="19" t="s">
        <v>62</v>
      </c>
      <c r="N574" s="20" t="s">
        <v>63</v>
      </c>
      <c r="O574" s="19">
        <v>21</v>
      </c>
      <c r="P574" s="19">
        <v>3.73</v>
      </c>
      <c r="Q574" s="19">
        <v>1</v>
      </c>
      <c r="R574" s="20">
        <v>7</v>
      </c>
      <c r="S574" s="19">
        <v>6.6000000000000003E-2</v>
      </c>
      <c r="T574" s="19" t="s">
        <v>64</v>
      </c>
      <c r="U574" s="19" t="s">
        <v>65</v>
      </c>
      <c r="V574" s="19" t="s">
        <v>66</v>
      </c>
      <c r="W574" s="19" t="s">
        <v>67</v>
      </c>
      <c r="X574" s="19" t="s">
        <v>68</v>
      </c>
      <c r="Y574" s="21" t="s">
        <v>69</v>
      </c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2"/>
      <c r="AK574" s="22"/>
      <c r="AL574" s="22"/>
      <c r="AM574" s="21" t="s">
        <v>70</v>
      </c>
      <c r="AN574" s="21" t="s">
        <v>70</v>
      </c>
      <c r="AO574" s="21" t="str">
        <f>_xlfn.XLOOKUP(A:A,[1]TAGS!$A:$A,[1]TAGS!$BG:$BG)</f>
        <v>Programar</v>
      </c>
      <c r="AP574" s="21"/>
      <c r="AQ574" s="21"/>
      <c r="AR574" s="21"/>
      <c r="AS574" s="21"/>
      <c r="AT574" s="21"/>
      <c r="AU574" s="21"/>
    </row>
    <row r="575" spans="1:47" x14ac:dyDescent="0.35">
      <c r="A575" s="19" t="s">
        <v>2042</v>
      </c>
      <c r="B575" s="19" t="s">
        <v>52</v>
      </c>
      <c r="C575" s="19"/>
      <c r="D575" s="19" t="s">
        <v>53</v>
      </c>
      <c r="E575" s="19" t="s">
        <v>54</v>
      </c>
      <c r="F575" s="20" t="s">
        <v>306</v>
      </c>
      <c r="G575" s="20" t="s">
        <v>843</v>
      </c>
      <c r="H575" s="19" t="s">
        <v>2043</v>
      </c>
      <c r="I575" s="20" t="s">
        <v>124</v>
      </c>
      <c r="J575" s="20" t="s">
        <v>845</v>
      </c>
      <c r="K575" s="20" t="s">
        <v>2044</v>
      </c>
      <c r="L575" s="19" t="s">
        <v>61</v>
      </c>
      <c r="M575" s="19" t="s">
        <v>62</v>
      </c>
      <c r="N575" s="20" t="s">
        <v>63</v>
      </c>
      <c r="O575" s="19">
        <v>21</v>
      </c>
      <c r="P575" s="19">
        <v>3.73</v>
      </c>
      <c r="Q575" s="19">
        <v>1</v>
      </c>
      <c r="R575" s="20">
        <v>7.5</v>
      </c>
      <c r="S575" s="19">
        <v>6.6000000000000003E-2</v>
      </c>
      <c r="T575" s="19" t="s">
        <v>64</v>
      </c>
      <c r="U575" s="19" t="s">
        <v>65</v>
      </c>
      <c r="V575" s="19" t="s">
        <v>66</v>
      </c>
      <c r="W575" s="19" t="s">
        <v>67</v>
      </c>
      <c r="X575" s="19" t="s">
        <v>68</v>
      </c>
      <c r="Y575" s="21" t="s">
        <v>69</v>
      </c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2"/>
      <c r="AK575" s="22"/>
      <c r="AL575" s="22"/>
      <c r="AM575" s="21" t="s">
        <v>70</v>
      </c>
      <c r="AN575" s="21" t="s">
        <v>70</v>
      </c>
      <c r="AO575" s="21" t="str">
        <f>_xlfn.XLOOKUP(A:A,[1]TAGS!$A:$A,[1]TAGS!$BG:$BG)</f>
        <v>Não Montado</v>
      </c>
      <c r="AP575" s="21"/>
      <c r="AQ575" s="21"/>
      <c r="AR575" s="21"/>
      <c r="AS575" s="21"/>
      <c r="AT575" s="21"/>
      <c r="AU575" s="21"/>
    </row>
    <row r="576" spans="1:47" x14ac:dyDescent="0.35">
      <c r="A576" s="19" t="s">
        <v>2045</v>
      </c>
      <c r="B576" s="19" t="s">
        <v>52</v>
      </c>
      <c r="C576" s="19"/>
      <c r="D576" s="19" t="s">
        <v>53</v>
      </c>
      <c r="E576" s="19" t="s">
        <v>54</v>
      </c>
      <c r="F576" s="20" t="s">
        <v>306</v>
      </c>
      <c r="G576" s="20" t="s">
        <v>843</v>
      </c>
      <c r="H576" s="19" t="s">
        <v>2046</v>
      </c>
      <c r="I576" s="20" t="s">
        <v>124</v>
      </c>
      <c r="J576" s="20" t="s">
        <v>845</v>
      </c>
      <c r="K576" s="20" t="s">
        <v>2047</v>
      </c>
      <c r="L576" s="19" t="s">
        <v>61</v>
      </c>
      <c r="M576" s="19" t="s">
        <v>62</v>
      </c>
      <c r="N576" s="20" t="s">
        <v>63</v>
      </c>
      <c r="O576" s="19">
        <v>21</v>
      </c>
      <c r="P576" s="19">
        <v>3.73</v>
      </c>
      <c r="Q576" s="19">
        <v>1</v>
      </c>
      <c r="R576" s="20">
        <v>7.5</v>
      </c>
      <c r="S576" s="19">
        <v>6.6000000000000003E-2</v>
      </c>
      <c r="T576" s="19" t="s">
        <v>64</v>
      </c>
      <c r="U576" s="19" t="s">
        <v>65</v>
      </c>
      <c r="V576" s="19" t="s">
        <v>66</v>
      </c>
      <c r="W576" s="19" t="s">
        <v>67</v>
      </c>
      <c r="X576" s="19" t="s">
        <v>68</v>
      </c>
      <c r="Y576" s="21" t="s">
        <v>69</v>
      </c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2"/>
      <c r="AK576" s="22"/>
      <c r="AL576" s="22"/>
      <c r="AM576" s="21" t="s">
        <v>70</v>
      </c>
      <c r="AN576" s="21" t="s">
        <v>70</v>
      </c>
      <c r="AO576" s="21" t="str">
        <f>_xlfn.XLOOKUP(A:A,[1]TAGS!$A:$A,[1]TAGS!$BG:$BG)</f>
        <v>Não Montado</v>
      </c>
      <c r="AP576" s="21"/>
      <c r="AQ576" s="21"/>
      <c r="AR576" s="21"/>
      <c r="AS576" s="21"/>
      <c r="AT576" s="21"/>
      <c r="AU576" s="21"/>
    </row>
    <row r="577" spans="1:47" x14ac:dyDescent="0.35">
      <c r="A577" s="19" t="s">
        <v>2048</v>
      </c>
      <c r="B577" s="19" t="s">
        <v>52</v>
      </c>
      <c r="C577" s="19"/>
      <c r="D577" s="19" t="s">
        <v>53</v>
      </c>
      <c r="E577" s="19" t="s">
        <v>54</v>
      </c>
      <c r="F577" s="20" t="s">
        <v>306</v>
      </c>
      <c r="G577" s="20" t="s">
        <v>307</v>
      </c>
      <c r="H577" s="19" t="s">
        <v>2049</v>
      </c>
      <c r="I577" s="20" t="s">
        <v>124</v>
      </c>
      <c r="J577" s="20" t="s">
        <v>309</v>
      </c>
      <c r="K577" s="20" t="s">
        <v>2050</v>
      </c>
      <c r="L577" s="19" t="s">
        <v>61</v>
      </c>
      <c r="M577" s="19" t="s">
        <v>62</v>
      </c>
      <c r="N577" s="20" t="s">
        <v>63</v>
      </c>
      <c r="O577" s="19">
        <v>21</v>
      </c>
      <c r="P577" s="19">
        <v>3.73</v>
      </c>
      <c r="Q577" s="19">
        <v>1</v>
      </c>
      <c r="R577" s="20">
        <v>7.5</v>
      </c>
      <c r="S577" s="19">
        <v>6.6000000000000003E-2</v>
      </c>
      <c r="T577" s="19" t="s">
        <v>64</v>
      </c>
      <c r="U577" s="19" t="s">
        <v>65</v>
      </c>
      <c r="V577" s="19" t="s">
        <v>66</v>
      </c>
      <c r="W577" s="19" t="s">
        <v>67</v>
      </c>
      <c r="X577" s="19" t="s">
        <v>68</v>
      </c>
      <c r="Y577" s="21" t="s">
        <v>69</v>
      </c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2"/>
      <c r="AK577" s="22"/>
      <c r="AL577" s="22"/>
      <c r="AM577" s="21" t="s">
        <v>70</v>
      </c>
      <c r="AN577" s="21" t="s">
        <v>70</v>
      </c>
      <c r="AO577" s="21" t="str">
        <f>_xlfn.XLOOKUP(A:A,[1]TAGS!$A:$A,[1]TAGS!$BG:$BG)</f>
        <v>Não Montado</v>
      </c>
      <c r="AP577" s="21"/>
      <c r="AQ577" s="21"/>
      <c r="AR577" s="21"/>
      <c r="AS577" s="21"/>
      <c r="AT577" s="21"/>
      <c r="AU577" s="21"/>
    </row>
    <row r="578" spans="1:47" x14ac:dyDescent="0.35">
      <c r="A578" s="19" t="s">
        <v>2051</v>
      </c>
      <c r="B578" s="19" t="s">
        <v>52</v>
      </c>
      <c r="C578" s="19"/>
      <c r="D578" s="19" t="s">
        <v>53</v>
      </c>
      <c r="E578" s="19" t="s">
        <v>54</v>
      </c>
      <c r="F578" s="20" t="s">
        <v>306</v>
      </c>
      <c r="G578" s="20" t="s">
        <v>307</v>
      </c>
      <c r="H578" s="19" t="s">
        <v>2052</v>
      </c>
      <c r="I578" s="20" t="s">
        <v>124</v>
      </c>
      <c r="J578" s="20" t="s">
        <v>309</v>
      </c>
      <c r="K578" s="20" t="s">
        <v>2053</v>
      </c>
      <c r="L578" s="19" t="s">
        <v>61</v>
      </c>
      <c r="M578" s="19" t="s">
        <v>62</v>
      </c>
      <c r="N578" s="20" t="s">
        <v>63</v>
      </c>
      <c r="O578" s="19">
        <v>21</v>
      </c>
      <c r="P578" s="19">
        <v>3.73</v>
      </c>
      <c r="Q578" s="19">
        <v>1</v>
      </c>
      <c r="R578" s="20">
        <v>7.5</v>
      </c>
      <c r="S578" s="19">
        <v>6.6000000000000003E-2</v>
      </c>
      <c r="T578" s="19" t="s">
        <v>64</v>
      </c>
      <c r="U578" s="19" t="s">
        <v>65</v>
      </c>
      <c r="V578" s="19" t="s">
        <v>66</v>
      </c>
      <c r="W578" s="19" t="s">
        <v>67</v>
      </c>
      <c r="X578" s="19" t="s">
        <v>68</v>
      </c>
      <c r="Y578" s="21" t="s">
        <v>69</v>
      </c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2"/>
      <c r="AK578" s="22"/>
      <c r="AL578" s="22"/>
      <c r="AM578" s="21" t="s">
        <v>70</v>
      </c>
      <c r="AN578" s="21" t="s">
        <v>70</v>
      </c>
      <c r="AO578" s="21" t="str">
        <f>_xlfn.XLOOKUP(A:A,[1]TAGS!$A:$A,[1]TAGS!$BG:$BG)</f>
        <v>Não Montado</v>
      </c>
      <c r="AP578" s="21"/>
      <c r="AQ578" s="21"/>
      <c r="AR578" s="21"/>
      <c r="AS578" s="21"/>
      <c r="AT578" s="21"/>
      <c r="AU578" s="21"/>
    </row>
    <row r="579" spans="1:47" x14ac:dyDescent="0.35">
      <c r="A579" s="19" t="s">
        <v>2054</v>
      </c>
      <c r="B579" s="19" t="s">
        <v>52</v>
      </c>
      <c r="C579" s="19"/>
      <c r="D579" s="19" t="s">
        <v>53</v>
      </c>
      <c r="E579" s="19" t="s">
        <v>54</v>
      </c>
      <c r="F579" s="20" t="s">
        <v>306</v>
      </c>
      <c r="G579" s="20" t="s">
        <v>307</v>
      </c>
      <c r="H579" s="19" t="s">
        <v>2055</v>
      </c>
      <c r="I579" s="20" t="s">
        <v>124</v>
      </c>
      <c r="J579" s="20" t="s">
        <v>309</v>
      </c>
      <c r="K579" s="20" t="s">
        <v>2056</v>
      </c>
      <c r="L579" s="19" t="s">
        <v>61</v>
      </c>
      <c r="M579" s="19" t="s">
        <v>62</v>
      </c>
      <c r="N579" s="20" t="s">
        <v>63</v>
      </c>
      <c r="O579" s="19">
        <v>21</v>
      </c>
      <c r="P579" s="19">
        <v>3.73</v>
      </c>
      <c r="Q579" s="19">
        <v>1</v>
      </c>
      <c r="R579" s="20">
        <v>7.5</v>
      </c>
      <c r="S579" s="19">
        <v>6.6000000000000003E-2</v>
      </c>
      <c r="T579" s="19" t="s">
        <v>64</v>
      </c>
      <c r="U579" s="19" t="s">
        <v>65</v>
      </c>
      <c r="V579" s="19" t="s">
        <v>66</v>
      </c>
      <c r="W579" s="19" t="s">
        <v>67</v>
      </c>
      <c r="X579" s="19" t="s">
        <v>68</v>
      </c>
      <c r="Y579" s="21" t="s">
        <v>69</v>
      </c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2"/>
      <c r="AK579" s="22"/>
      <c r="AL579" s="22"/>
      <c r="AM579" s="21" t="s">
        <v>70</v>
      </c>
      <c r="AN579" s="21" t="s">
        <v>70</v>
      </c>
      <c r="AO579" s="21" t="str">
        <f>_xlfn.XLOOKUP(A:A,[1]TAGS!$A:$A,[1]TAGS!$BG:$BG)</f>
        <v>Não Montado</v>
      </c>
      <c r="AP579" s="21"/>
      <c r="AQ579" s="21"/>
      <c r="AR579" s="21"/>
      <c r="AS579" s="21"/>
      <c r="AT579" s="21"/>
      <c r="AU579" s="21"/>
    </row>
    <row r="580" spans="1:47" x14ac:dyDescent="0.35">
      <c r="A580" s="19" t="s">
        <v>2057</v>
      </c>
      <c r="B580" s="19" t="s">
        <v>52</v>
      </c>
      <c r="C580" s="19"/>
      <c r="D580" s="19" t="s">
        <v>53</v>
      </c>
      <c r="E580" s="19" t="s">
        <v>54</v>
      </c>
      <c r="F580" s="20" t="s">
        <v>306</v>
      </c>
      <c r="G580" s="20" t="s">
        <v>307</v>
      </c>
      <c r="H580" s="19" t="s">
        <v>2058</v>
      </c>
      <c r="I580" s="20" t="s">
        <v>124</v>
      </c>
      <c r="J580" s="20" t="s">
        <v>309</v>
      </c>
      <c r="K580" s="20" t="s">
        <v>2059</v>
      </c>
      <c r="L580" s="19" t="s">
        <v>61</v>
      </c>
      <c r="M580" s="19" t="s">
        <v>62</v>
      </c>
      <c r="N580" s="20" t="s">
        <v>63</v>
      </c>
      <c r="O580" s="19">
        <v>21</v>
      </c>
      <c r="P580" s="19">
        <v>3.73</v>
      </c>
      <c r="Q580" s="19">
        <v>1</v>
      </c>
      <c r="R580" s="20">
        <v>7.5</v>
      </c>
      <c r="S580" s="19">
        <v>6.6000000000000003E-2</v>
      </c>
      <c r="T580" s="19" t="s">
        <v>64</v>
      </c>
      <c r="U580" s="19" t="s">
        <v>65</v>
      </c>
      <c r="V580" s="19" t="s">
        <v>66</v>
      </c>
      <c r="W580" s="19" t="s">
        <v>67</v>
      </c>
      <c r="X580" s="19" t="s">
        <v>68</v>
      </c>
      <c r="Y580" s="21" t="s">
        <v>69</v>
      </c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2"/>
      <c r="AK580" s="22"/>
      <c r="AL580" s="22"/>
      <c r="AM580" s="21" t="s">
        <v>70</v>
      </c>
      <c r="AN580" s="21" t="s">
        <v>70</v>
      </c>
      <c r="AO580" s="21" t="str">
        <f>_xlfn.XLOOKUP(A:A,[1]TAGS!$A:$A,[1]TAGS!$BG:$BG)</f>
        <v>Não Montado</v>
      </c>
      <c r="AP580" s="21"/>
      <c r="AQ580" s="21"/>
      <c r="AR580" s="21"/>
      <c r="AS580" s="21"/>
      <c r="AT580" s="21"/>
      <c r="AU580" s="21"/>
    </row>
    <row r="581" spans="1:47" x14ac:dyDescent="0.35">
      <c r="A581" s="19" t="s">
        <v>2060</v>
      </c>
      <c r="B581" s="19" t="s">
        <v>52</v>
      </c>
      <c r="C581" s="19"/>
      <c r="D581" s="19" t="s">
        <v>53</v>
      </c>
      <c r="E581" s="19" t="s">
        <v>54</v>
      </c>
      <c r="F581" s="20" t="s">
        <v>306</v>
      </c>
      <c r="G581" s="20" t="s">
        <v>307</v>
      </c>
      <c r="H581" s="19" t="s">
        <v>2061</v>
      </c>
      <c r="I581" s="20" t="s">
        <v>124</v>
      </c>
      <c r="J581" s="20" t="s">
        <v>309</v>
      </c>
      <c r="K581" s="20" t="s">
        <v>2062</v>
      </c>
      <c r="L581" s="19" t="s">
        <v>61</v>
      </c>
      <c r="M581" s="19" t="s">
        <v>62</v>
      </c>
      <c r="N581" s="20" t="s">
        <v>63</v>
      </c>
      <c r="O581" s="19">
        <v>21</v>
      </c>
      <c r="P581" s="19">
        <v>3.73</v>
      </c>
      <c r="Q581" s="19">
        <v>1</v>
      </c>
      <c r="R581" s="20">
        <v>7.5</v>
      </c>
      <c r="S581" s="19">
        <v>6.6000000000000003E-2</v>
      </c>
      <c r="T581" s="19" t="s">
        <v>64</v>
      </c>
      <c r="U581" s="19" t="s">
        <v>65</v>
      </c>
      <c r="V581" s="19" t="s">
        <v>66</v>
      </c>
      <c r="W581" s="19" t="s">
        <v>67</v>
      </c>
      <c r="X581" s="19" t="s">
        <v>68</v>
      </c>
      <c r="Y581" s="21" t="s">
        <v>69</v>
      </c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2"/>
      <c r="AK581" s="22"/>
      <c r="AL581" s="22"/>
      <c r="AM581" s="21" t="s">
        <v>70</v>
      </c>
      <c r="AN581" s="21" t="s">
        <v>70</v>
      </c>
      <c r="AO581" s="21" t="str">
        <f>_xlfn.XLOOKUP(A:A,[1]TAGS!$A:$A,[1]TAGS!$BG:$BG)</f>
        <v>Programar</v>
      </c>
      <c r="AP581" s="21"/>
      <c r="AQ581" s="21"/>
      <c r="AR581" s="21"/>
      <c r="AS581" s="21"/>
      <c r="AT581" s="21"/>
      <c r="AU581" s="21"/>
    </row>
    <row r="582" spans="1:47" x14ac:dyDescent="0.35">
      <c r="A582" s="19" t="s">
        <v>2063</v>
      </c>
      <c r="B582" s="19" t="s">
        <v>52</v>
      </c>
      <c r="C582" s="19"/>
      <c r="D582" s="19" t="s">
        <v>53</v>
      </c>
      <c r="E582" s="19" t="s">
        <v>54</v>
      </c>
      <c r="F582" s="20" t="s">
        <v>306</v>
      </c>
      <c r="G582" s="20" t="s">
        <v>307</v>
      </c>
      <c r="H582" s="19" t="s">
        <v>2064</v>
      </c>
      <c r="I582" s="20" t="s">
        <v>124</v>
      </c>
      <c r="J582" s="20" t="s">
        <v>309</v>
      </c>
      <c r="K582" s="20" t="s">
        <v>2065</v>
      </c>
      <c r="L582" s="19" t="s">
        <v>61</v>
      </c>
      <c r="M582" s="19" t="s">
        <v>62</v>
      </c>
      <c r="N582" s="20" t="s">
        <v>63</v>
      </c>
      <c r="O582" s="19">
        <v>21</v>
      </c>
      <c r="P582" s="19">
        <v>3.73</v>
      </c>
      <c r="Q582" s="19">
        <v>1</v>
      </c>
      <c r="R582" s="20">
        <v>7.5</v>
      </c>
      <c r="S582" s="19">
        <v>6.6000000000000003E-2</v>
      </c>
      <c r="T582" s="19" t="s">
        <v>64</v>
      </c>
      <c r="U582" s="19" t="s">
        <v>65</v>
      </c>
      <c r="V582" s="19" t="s">
        <v>66</v>
      </c>
      <c r="W582" s="19" t="s">
        <v>67</v>
      </c>
      <c r="X582" s="19" t="s">
        <v>68</v>
      </c>
      <c r="Y582" s="21" t="s">
        <v>69</v>
      </c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2"/>
      <c r="AK582" s="22"/>
      <c r="AL582" s="22"/>
      <c r="AM582" s="21" t="s">
        <v>70</v>
      </c>
      <c r="AN582" s="21" t="s">
        <v>70</v>
      </c>
      <c r="AO582" s="21" t="str">
        <f>_xlfn.XLOOKUP(A:A,[1]TAGS!$A:$A,[1]TAGS!$BG:$BG)</f>
        <v>Não Montado</v>
      </c>
      <c r="AP582" s="21"/>
      <c r="AQ582" s="21"/>
      <c r="AR582" s="21"/>
      <c r="AS582" s="21"/>
      <c r="AT582" s="21"/>
      <c r="AU582" s="21"/>
    </row>
    <row r="583" spans="1:47" x14ac:dyDescent="0.35">
      <c r="A583" s="19" t="s">
        <v>2066</v>
      </c>
      <c r="B583" s="19" t="s">
        <v>52</v>
      </c>
      <c r="C583" s="19"/>
      <c r="D583" s="19" t="s">
        <v>53</v>
      </c>
      <c r="E583" s="19" t="s">
        <v>54</v>
      </c>
      <c r="F583" s="20" t="s">
        <v>306</v>
      </c>
      <c r="G583" s="20" t="s">
        <v>307</v>
      </c>
      <c r="H583" s="19" t="s">
        <v>2067</v>
      </c>
      <c r="I583" s="20" t="s">
        <v>124</v>
      </c>
      <c r="J583" s="20" t="s">
        <v>309</v>
      </c>
      <c r="K583" s="20" t="s">
        <v>2068</v>
      </c>
      <c r="L583" s="19" t="s">
        <v>61</v>
      </c>
      <c r="M583" s="19" t="s">
        <v>62</v>
      </c>
      <c r="N583" s="20" t="s">
        <v>63</v>
      </c>
      <c r="O583" s="19">
        <v>21</v>
      </c>
      <c r="P583" s="19">
        <v>3.73</v>
      </c>
      <c r="Q583" s="19">
        <v>1</v>
      </c>
      <c r="R583" s="20">
        <v>7.5</v>
      </c>
      <c r="S583" s="19">
        <v>6.6000000000000003E-2</v>
      </c>
      <c r="T583" s="19" t="s">
        <v>64</v>
      </c>
      <c r="U583" s="19" t="s">
        <v>65</v>
      </c>
      <c r="V583" s="19" t="s">
        <v>66</v>
      </c>
      <c r="W583" s="19" t="s">
        <v>67</v>
      </c>
      <c r="X583" s="19" t="s">
        <v>68</v>
      </c>
      <c r="Y583" s="21" t="s">
        <v>69</v>
      </c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2"/>
      <c r="AK583" s="22"/>
      <c r="AL583" s="22"/>
      <c r="AM583" s="21" t="s">
        <v>70</v>
      </c>
      <c r="AN583" s="21" t="s">
        <v>70</v>
      </c>
      <c r="AO583" s="21" t="str">
        <f>_xlfn.XLOOKUP(A:A,[1]TAGS!$A:$A,[1]TAGS!$BG:$BG)</f>
        <v>Programar</v>
      </c>
      <c r="AP583" s="21"/>
      <c r="AQ583" s="21"/>
      <c r="AR583" s="21"/>
      <c r="AS583" s="21"/>
      <c r="AT583" s="21"/>
      <c r="AU583" s="21"/>
    </row>
    <row r="584" spans="1:47" x14ac:dyDescent="0.35">
      <c r="A584" s="19" t="s">
        <v>2069</v>
      </c>
      <c r="B584" s="19" t="s">
        <v>52</v>
      </c>
      <c r="C584" s="19"/>
      <c r="D584" s="19" t="s">
        <v>53</v>
      </c>
      <c r="E584" s="19" t="s">
        <v>54</v>
      </c>
      <c r="F584" s="20" t="s">
        <v>306</v>
      </c>
      <c r="G584" s="20" t="s">
        <v>307</v>
      </c>
      <c r="H584" s="19" t="s">
        <v>2070</v>
      </c>
      <c r="I584" s="20" t="s">
        <v>124</v>
      </c>
      <c r="J584" s="20" t="s">
        <v>309</v>
      </c>
      <c r="K584" s="20" t="s">
        <v>2071</v>
      </c>
      <c r="L584" s="19" t="s">
        <v>61</v>
      </c>
      <c r="M584" s="19" t="s">
        <v>62</v>
      </c>
      <c r="N584" s="20" t="s">
        <v>63</v>
      </c>
      <c r="O584" s="19">
        <v>21</v>
      </c>
      <c r="P584" s="19">
        <v>3.73</v>
      </c>
      <c r="Q584" s="19">
        <v>1</v>
      </c>
      <c r="R584" s="20">
        <v>7.5</v>
      </c>
      <c r="S584" s="19">
        <v>6.6000000000000003E-2</v>
      </c>
      <c r="T584" s="19" t="s">
        <v>64</v>
      </c>
      <c r="U584" s="19" t="s">
        <v>65</v>
      </c>
      <c r="V584" s="19" t="s">
        <v>66</v>
      </c>
      <c r="W584" s="19" t="s">
        <v>67</v>
      </c>
      <c r="X584" s="19" t="s">
        <v>68</v>
      </c>
      <c r="Y584" s="21" t="s">
        <v>69</v>
      </c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2"/>
      <c r="AK584" s="22"/>
      <c r="AL584" s="22"/>
      <c r="AM584" s="21" t="s">
        <v>70</v>
      </c>
      <c r="AN584" s="21" t="s">
        <v>70</v>
      </c>
      <c r="AO584" s="21" t="str">
        <f>_xlfn.XLOOKUP(A:A,[1]TAGS!$A:$A,[1]TAGS!$BG:$BG)</f>
        <v>Não Montado</v>
      </c>
      <c r="AP584" s="21"/>
      <c r="AQ584" s="21"/>
      <c r="AR584" s="21"/>
      <c r="AS584" s="21"/>
      <c r="AT584" s="21"/>
      <c r="AU584" s="21"/>
    </row>
    <row r="585" spans="1:47" x14ac:dyDescent="0.35">
      <c r="A585" s="19" t="s">
        <v>2072</v>
      </c>
      <c r="B585" s="19" t="s">
        <v>52</v>
      </c>
      <c r="C585" s="19"/>
      <c r="D585" s="19" t="s">
        <v>53</v>
      </c>
      <c r="E585" s="19" t="s">
        <v>54</v>
      </c>
      <c r="F585" s="20" t="s">
        <v>306</v>
      </c>
      <c r="G585" s="20" t="s">
        <v>307</v>
      </c>
      <c r="H585" s="19" t="s">
        <v>2073</v>
      </c>
      <c r="I585" s="20" t="s">
        <v>124</v>
      </c>
      <c r="J585" s="20" t="s">
        <v>309</v>
      </c>
      <c r="K585" s="20" t="s">
        <v>2074</v>
      </c>
      <c r="L585" s="19" t="s">
        <v>61</v>
      </c>
      <c r="M585" s="19" t="s">
        <v>62</v>
      </c>
      <c r="N585" s="20" t="s">
        <v>63</v>
      </c>
      <c r="O585" s="19">
        <v>21</v>
      </c>
      <c r="P585" s="19">
        <v>3.73</v>
      </c>
      <c r="Q585" s="19">
        <v>1</v>
      </c>
      <c r="R585" s="20">
        <v>7</v>
      </c>
      <c r="S585" s="19">
        <v>6.6000000000000003E-2</v>
      </c>
      <c r="T585" s="19" t="s">
        <v>64</v>
      </c>
      <c r="U585" s="19" t="s">
        <v>65</v>
      </c>
      <c r="V585" s="19" t="s">
        <v>66</v>
      </c>
      <c r="W585" s="19" t="s">
        <v>67</v>
      </c>
      <c r="X585" s="19" t="s">
        <v>68</v>
      </c>
      <c r="Y585" s="21" t="s">
        <v>69</v>
      </c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2"/>
      <c r="AK585" s="22"/>
      <c r="AL585" s="22"/>
      <c r="AM585" s="21" t="s">
        <v>70</v>
      </c>
      <c r="AN585" s="21" t="s">
        <v>70</v>
      </c>
      <c r="AO585" s="21" t="str">
        <f>_xlfn.XLOOKUP(A:A,[1]TAGS!$A:$A,[1]TAGS!$BG:$BG)</f>
        <v>Programar</v>
      </c>
      <c r="AP585" s="21"/>
      <c r="AQ585" s="21"/>
      <c r="AR585" s="21"/>
      <c r="AS585" s="21"/>
      <c r="AT585" s="21"/>
      <c r="AU585" s="21"/>
    </row>
    <row r="586" spans="1:47" x14ac:dyDescent="0.35">
      <c r="A586" s="19" t="s">
        <v>2075</v>
      </c>
      <c r="B586" s="19" t="s">
        <v>52</v>
      </c>
      <c r="C586" s="19"/>
      <c r="D586" s="19" t="s">
        <v>53</v>
      </c>
      <c r="E586" s="19" t="s">
        <v>54</v>
      </c>
      <c r="F586" s="20" t="s">
        <v>306</v>
      </c>
      <c r="G586" s="20" t="s">
        <v>307</v>
      </c>
      <c r="H586" s="19" t="s">
        <v>2076</v>
      </c>
      <c r="I586" s="20" t="s">
        <v>124</v>
      </c>
      <c r="J586" s="20" t="s">
        <v>309</v>
      </c>
      <c r="K586" s="20" t="s">
        <v>2077</v>
      </c>
      <c r="L586" s="19" t="s">
        <v>61</v>
      </c>
      <c r="M586" s="19" t="s">
        <v>62</v>
      </c>
      <c r="N586" s="20" t="s">
        <v>63</v>
      </c>
      <c r="O586" s="19">
        <v>21</v>
      </c>
      <c r="P586" s="19">
        <v>3.73</v>
      </c>
      <c r="Q586" s="19">
        <v>1</v>
      </c>
      <c r="R586" s="20">
        <v>7</v>
      </c>
      <c r="S586" s="19">
        <v>6.6000000000000003E-2</v>
      </c>
      <c r="T586" s="19" t="s">
        <v>64</v>
      </c>
      <c r="U586" s="19" t="s">
        <v>65</v>
      </c>
      <c r="V586" s="19" t="s">
        <v>66</v>
      </c>
      <c r="W586" s="19" t="s">
        <v>67</v>
      </c>
      <c r="X586" s="19" t="s">
        <v>68</v>
      </c>
      <c r="Y586" s="21" t="s">
        <v>69</v>
      </c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2"/>
      <c r="AK586" s="22"/>
      <c r="AL586" s="22"/>
      <c r="AM586" s="21" t="s">
        <v>70</v>
      </c>
      <c r="AN586" s="21" t="s">
        <v>70</v>
      </c>
      <c r="AO586" s="21" t="str">
        <f>_xlfn.XLOOKUP(A:A,[1]TAGS!$A:$A,[1]TAGS!$BG:$BG)</f>
        <v>Programar</v>
      </c>
      <c r="AP586" s="21"/>
      <c r="AQ586" s="21"/>
      <c r="AR586" s="21"/>
      <c r="AS586" s="21"/>
      <c r="AT586" s="21"/>
      <c r="AU586" s="21"/>
    </row>
    <row r="587" spans="1:47" x14ac:dyDescent="0.35">
      <c r="A587" s="19" t="s">
        <v>2078</v>
      </c>
      <c r="B587" s="19" t="s">
        <v>52</v>
      </c>
      <c r="C587" s="19"/>
      <c r="D587" s="19" t="s">
        <v>53</v>
      </c>
      <c r="E587" s="19" t="s">
        <v>54</v>
      </c>
      <c r="F587" s="20" t="s">
        <v>306</v>
      </c>
      <c r="G587" s="20" t="s">
        <v>307</v>
      </c>
      <c r="H587" s="19" t="s">
        <v>2079</v>
      </c>
      <c r="I587" s="20" t="s">
        <v>124</v>
      </c>
      <c r="J587" s="20" t="s">
        <v>309</v>
      </c>
      <c r="K587" s="20" t="s">
        <v>2080</v>
      </c>
      <c r="L587" s="19" t="s">
        <v>61</v>
      </c>
      <c r="M587" s="19" t="s">
        <v>62</v>
      </c>
      <c r="N587" s="20" t="s">
        <v>63</v>
      </c>
      <c r="O587" s="19">
        <v>21</v>
      </c>
      <c r="P587" s="19">
        <v>3.73</v>
      </c>
      <c r="Q587" s="19">
        <v>1</v>
      </c>
      <c r="R587" s="20">
        <v>7</v>
      </c>
      <c r="S587" s="19">
        <v>6.6000000000000003E-2</v>
      </c>
      <c r="T587" s="19" t="s">
        <v>64</v>
      </c>
      <c r="U587" s="19" t="s">
        <v>65</v>
      </c>
      <c r="V587" s="19" t="s">
        <v>66</v>
      </c>
      <c r="W587" s="19" t="s">
        <v>67</v>
      </c>
      <c r="X587" s="19" t="s">
        <v>68</v>
      </c>
      <c r="Y587" s="21" t="s">
        <v>69</v>
      </c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2"/>
      <c r="AK587" s="22"/>
      <c r="AL587" s="22"/>
      <c r="AM587" s="21" t="s">
        <v>70</v>
      </c>
      <c r="AN587" s="21" t="s">
        <v>70</v>
      </c>
      <c r="AO587" s="21" t="str">
        <f>_xlfn.XLOOKUP(A:A,[1]TAGS!$A:$A,[1]TAGS!$BG:$BG)</f>
        <v>Não Montado</v>
      </c>
      <c r="AP587" s="21"/>
      <c r="AQ587" s="21"/>
      <c r="AR587" s="21"/>
      <c r="AS587" s="21"/>
      <c r="AT587" s="21"/>
      <c r="AU587" s="21"/>
    </row>
    <row r="588" spans="1:47" x14ac:dyDescent="0.35">
      <c r="A588" s="19" t="s">
        <v>2081</v>
      </c>
      <c r="B588" s="19" t="s">
        <v>52</v>
      </c>
      <c r="C588" s="19"/>
      <c r="D588" s="19" t="s">
        <v>53</v>
      </c>
      <c r="E588" s="19" t="s">
        <v>54</v>
      </c>
      <c r="F588" s="20" t="s">
        <v>306</v>
      </c>
      <c r="G588" s="20" t="s">
        <v>307</v>
      </c>
      <c r="H588" s="19" t="s">
        <v>2082</v>
      </c>
      <c r="I588" s="20" t="s">
        <v>124</v>
      </c>
      <c r="J588" s="20" t="s">
        <v>309</v>
      </c>
      <c r="K588" s="20" t="s">
        <v>2083</v>
      </c>
      <c r="L588" s="19" t="s">
        <v>61</v>
      </c>
      <c r="M588" s="19" t="s">
        <v>62</v>
      </c>
      <c r="N588" s="20" t="s">
        <v>63</v>
      </c>
      <c r="O588" s="19">
        <v>21</v>
      </c>
      <c r="P588" s="19">
        <v>3.73</v>
      </c>
      <c r="Q588" s="19">
        <v>1</v>
      </c>
      <c r="R588" s="20">
        <v>7</v>
      </c>
      <c r="S588" s="19">
        <v>6.6000000000000003E-2</v>
      </c>
      <c r="T588" s="19" t="s">
        <v>64</v>
      </c>
      <c r="U588" s="19" t="s">
        <v>65</v>
      </c>
      <c r="V588" s="19" t="s">
        <v>66</v>
      </c>
      <c r="W588" s="19" t="s">
        <v>67</v>
      </c>
      <c r="X588" s="19" t="s">
        <v>68</v>
      </c>
      <c r="Y588" s="21" t="s">
        <v>69</v>
      </c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2"/>
      <c r="AK588" s="22"/>
      <c r="AL588" s="22"/>
      <c r="AM588" s="21" t="s">
        <v>70</v>
      </c>
      <c r="AN588" s="21" t="s">
        <v>70</v>
      </c>
      <c r="AO588" s="21" t="str">
        <f>_xlfn.XLOOKUP(A:A,[1]TAGS!$A:$A,[1]TAGS!$BG:$BG)</f>
        <v>Não Montado</v>
      </c>
      <c r="AP588" s="21"/>
      <c r="AQ588" s="21"/>
      <c r="AR588" s="21"/>
      <c r="AS588" s="21"/>
      <c r="AT588" s="21"/>
      <c r="AU588" s="21"/>
    </row>
    <row r="589" spans="1:47" x14ac:dyDescent="0.35">
      <c r="A589" s="19" t="s">
        <v>2084</v>
      </c>
      <c r="B589" s="19" t="s">
        <v>52</v>
      </c>
      <c r="C589" s="19"/>
      <c r="D589" s="19" t="s">
        <v>53</v>
      </c>
      <c r="E589" s="19" t="s">
        <v>54</v>
      </c>
      <c r="F589" s="20" t="s">
        <v>269</v>
      </c>
      <c r="G589" s="20" t="s">
        <v>1065</v>
      </c>
      <c r="H589" s="19" t="s">
        <v>2085</v>
      </c>
      <c r="I589" s="20" t="s">
        <v>124</v>
      </c>
      <c r="J589" s="20" t="s">
        <v>1067</v>
      </c>
      <c r="K589" s="20" t="s">
        <v>2086</v>
      </c>
      <c r="L589" s="19" t="s">
        <v>61</v>
      </c>
      <c r="M589" s="19" t="s">
        <v>62</v>
      </c>
      <c r="N589" s="20" t="s">
        <v>63</v>
      </c>
      <c r="O589" s="19">
        <v>21</v>
      </c>
      <c r="P589" s="19">
        <v>3.73</v>
      </c>
      <c r="Q589" s="19">
        <v>1</v>
      </c>
      <c r="R589" s="20">
        <v>7</v>
      </c>
      <c r="S589" s="19">
        <v>6.6000000000000003E-2</v>
      </c>
      <c r="T589" s="19" t="s">
        <v>64</v>
      </c>
      <c r="U589" s="19" t="s">
        <v>65</v>
      </c>
      <c r="V589" s="19" t="s">
        <v>66</v>
      </c>
      <c r="W589" s="19" t="s">
        <v>67</v>
      </c>
      <c r="X589" s="19" t="s">
        <v>68</v>
      </c>
      <c r="Y589" s="21" t="s">
        <v>69</v>
      </c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2"/>
      <c r="AK589" s="22"/>
      <c r="AL589" s="22"/>
      <c r="AM589" s="21" t="s">
        <v>70</v>
      </c>
      <c r="AN589" s="21" t="s">
        <v>70</v>
      </c>
      <c r="AO589" s="21" t="str">
        <f>_xlfn.XLOOKUP(A:A,[1]TAGS!$A:$A,[1]TAGS!$BG:$BG)</f>
        <v>Não Montado</v>
      </c>
      <c r="AP589" s="21"/>
      <c r="AQ589" s="21"/>
      <c r="AR589" s="21"/>
      <c r="AS589" s="21"/>
      <c r="AT589" s="21"/>
      <c r="AU589" s="21"/>
    </row>
    <row r="590" spans="1:47" x14ac:dyDescent="0.35">
      <c r="A590" s="19" t="s">
        <v>2087</v>
      </c>
      <c r="B590" s="19" t="s">
        <v>52</v>
      </c>
      <c r="C590" s="19"/>
      <c r="D590" s="19" t="s">
        <v>53</v>
      </c>
      <c r="E590" s="19" t="s">
        <v>54</v>
      </c>
      <c r="F590" s="20" t="s">
        <v>269</v>
      </c>
      <c r="G590" s="20" t="s">
        <v>1065</v>
      </c>
      <c r="H590" s="19" t="s">
        <v>2088</v>
      </c>
      <c r="I590" s="20" t="s">
        <v>124</v>
      </c>
      <c r="J590" s="20" t="s">
        <v>1067</v>
      </c>
      <c r="K590" s="20" t="s">
        <v>2089</v>
      </c>
      <c r="L590" s="19" t="s">
        <v>61</v>
      </c>
      <c r="M590" s="19" t="s">
        <v>62</v>
      </c>
      <c r="N590" s="20" t="s">
        <v>63</v>
      </c>
      <c r="O590" s="19">
        <v>21</v>
      </c>
      <c r="P590" s="19">
        <v>3.73</v>
      </c>
      <c r="Q590" s="19">
        <v>1</v>
      </c>
      <c r="R590" s="20">
        <v>7</v>
      </c>
      <c r="S590" s="19">
        <v>6.6000000000000003E-2</v>
      </c>
      <c r="T590" s="19" t="s">
        <v>64</v>
      </c>
      <c r="U590" s="19" t="s">
        <v>65</v>
      </c>
      <c r="V590" s="19" t="s">
        <v>66</v>
      </c>
      <c r="W590" s="19" t="s">
        <v>67</v>
      </c>
      <c r="X590" s="19" t="s">
        <v>68</v>
      </c>
      <c r="Y590" s="21" t="s">
        <v>69</v>
      </c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2"/>
      <c r="AK590" s="22"/>
      <c r="AL590" s="22"/>
      <c r="AM590" s="21" t="s">
        <v>70</v>
      </c>
      <c r="AN590" s="21" t="s">
        <v>70</v>
      </c>
      <c r="AO590" s="21" t="str">
        <f>_xlfn.XLOOKUP(A:A,[1]TAGS!$A:$A,[1]TAGS!$BG:$BG)</f>
        <v>Não Montado</v>
      </c>
      <c r="AP590" s="21"/>
      <c r="AQ590" s="21"/>
      <c r="AR590" s="21"/>
      <c r="AS590" s="21"/>
      <c r="AT590" s="21"/>
      <c r="AU590" s="21"/>
    </row>
    <row r="591" spans="1:47" x14ac:dyDescent="0.35">
      <c r="A591" s="19" t="s">
        <v>2090</v>
      </c>
      <c r="B591" s="19" t="s">
        <v>52</v>
      </c>
      <c r="C591" s="19"/>
      <c r="D591" s="19" t="s">
        <v>53</v>
      </c>
      <c r="E591" s="19" t="s">
        <v>54</v>
      </c>
      <c r="F591" s="20" t="s">
        <v>269</v>
      </c>
      <c r="G591" s="20" t="s">
        <v>1065</v>
      </c>
      <c r="H591" s="19" t="s">
        <v>2091</v>
      </c>
      <c r="I591" s="20" t="s">
        <v>124</v>
      </c>
      <c r="J591" s="20" t="s">
        <v>1067</v>
      </c>
      <c r="K591" s="20" t="s">
        <v>2092</v>
      </c>
      <c r="L591" s="19" t="s">
        <v>61</v>
      </c>
      <c r="M591" s="19" t="s">
        <v>62</v>
      </c>
      <c r="N591" s="20" t="s">
        <v>63</v>
      </c>
      <c r="O591" s="19">
        <v>21</v>
      </c>
      <c r="P591" s="19">
        <v>3.73</v>
      </c>
      <c r="Q591" s="19">
        <v>1</v>
      </c>
      <c r="R591" s="20">
        <v>7</v>
      </c>
      <c r="S591" s="19">
        <v>6.6000000000000003E-2</v>
      </c>
      <c r="T591" s="19" t="s">
        <v>64</v>
      </c>
      <c r="U591" s="19" t="s">
        <v>65</v>
      </c>
      <c r="V591" s="19" t="s">
        <v>66</v>
      </c>
      <c r="W591" s="19" t="s">
        <v>67</v>
      </c>
      <c r="X591" s="19" t="s">
        <v>68</v>
      </c>
      <c r="Y591" s="21" t="s">
        <v>69</v>
      </c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2"/>
      <c r="AK591" s="22"/>
      <c r="AL591" s="22"/>
      <c r="AM591" s="21" t="s">
        <v>70</v>
      </c>
      <c r="AN591" s="21" t="s">
        <v>70</v>
      </c>
      <c r="AO591" s="21" t="str">
        <f>_xlfn.XLOOKUP(A:A,[1]TAGS!$A:$A,[1]TAGS!$BG:$BG)</f>
        <v>Não Montado</v>
      </c>
      <c r="AP591" s="21"/>
      <c r="AQ591" s="21"/>
      <c r="AR591" s="21"/>
      <c r="AS591" s="21"/>
      <c r="AT591" s="21"/>
      <c r="AU591" s="21"/>
    </row>
    <row r="592" spans="1:47" x14ac:dyDescent="0.35">
      <c r="A592" s="19" t="s">
        <v>2093</v>
      </c>
      <c r="B592" s="19" t="s">
        <v>52</v>
      </c>
      <c r="C592" s="19"/>
      <c r="D592" s="19" t="s">
        <v>53</v>
      </c>
      <c r="E592" s="19" t="s">
        <v>54</v>
      </c>
      <c r="F592" s="20" t="s">
        <v>269</v>
      </c>
      <c r="G592" s="20" t="s">
        <v>1065</v>
      </c>
      <c r="H592" s="19" t="s">
        <v>2094</v>
      </c>
      <c r="I592" s="20" t="s">
        <v>124</v>
      </c>
      <c r="J592" s="20" t="s">
        <v>1067</v>
      </c>
      <c r="K592" s="20" t="s">
        <v>2095</v>
      </c>
      <c r="L592" s="19" t="s">
        <v>61</v>
      </c>
      <c r="M592" s="19" t="s">
        <v>62</v>
      </c>
      <c r="N592" s="20" t="s">
        <v>63</v>
      </c>
      <c r="O592" s="19">
        <v>21</v>
      </c>
      <c r="P592" s="19">
        <v>3.73</v>
      </c>
      <c r="Q592" s="19">
        <v>1</v>
      </c>
      <c r="R592" s="20">
        <v>7</v>
      </c>
      <c r="S592" s="19">
        <v>6.6000000000000003E-2</v>
      </c>
      <c r="T592" s="19" t="s">
        <v>64</v>
      </c>
      <c r="U592" s="19" t="s">
        <v>65</v>
      </c>
      <c r="V592" s="19" t="s">
        <v>66</v>
      </c>
      <c r="W592" s="19" t="s">
        <v>67</v>
      </c>
      <c r="X592" s="19" t="s">
        <v>68</v>
      </c>
      <c r="Y592" s="21" t="s">
        <v>69</v>
      </c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2"/>
      <c r="AK592" s="22"/>
      <c r="AL592" s="22"/>
      <c r="AM592" s="21" t="s">
        <v>70</v>
      </c>
      <c r="AN592" s="21" t="s">
        <v>70</v>
      </c>
      <c r="AO592" s="21" t="str">
        <f>_xlfn.XLOOKUP(A:A,[1]TAGS!$A:$A,[1]TAGS!$BG:$BG)</f>
        <v>Não Montado</v>
      </c>
      <c r="AP592" s="21"/>
      <c r="AQ592" s="21"/>
      <c r="AR592" s="21"/>
      <c r="AS592" s="21"/>
      <c r="AT592" s="21"/>
      <c r="AU592" s="21"/>
    </row>
    <row r="593" spans="1:47" x14ac:dyDescent="0.35">
      <c r="A593" s="19" t="s">
        <v>2096</v>
      </c>
      <c r="B593" s="19" t="s">
        <v>52</v>
      </c>
      <c r="C593" s="19"/>
      <c r="D593" s="19" t="s">
        <v>53</v>
      </c>
      <c r="E593" s="19" t="s">
        <v>460</v>
      </c>
      <c r="F593" s="20" t="s">
        <v>269</v>
      </c>
      <c r="G593" s="20" t="s">
        <v>330</v>
      </c>
      <c r="H593" s="19" t="s">
        <v>2097</v>
      </c>
      <c r="I593" s="20" t="s">
        <v>58</v>
      </c>
      <c r="J593" s="20" t="s">
        <v>332</v>
      </c>
      <c r="K593" s="20" t="s">
        <v>2098</v>
      </c>
      <c r="L593" s="19" t="s">
        <v>61</v>
      </c>
      <c r="M593" s="19" t="s">
        <v>62</v>
      </c>
      <c r="N593" s="20" t="s">
        <v>63</v>
      </c>
      <c r="O593" s="19">
        <v>21</v>
      </c>
      <c r="P593" s="19">
        <v>3.73</v>
      </c>
      <c r="Q593" s="19">
        <v>1</v>
      </c>
      <c r="R593" s="20">
        <v>16</v>
      </c>
      <c r="S593" s="19">
        <v>6.6000000000000003E-2</v>
      </c>
      <c r="T593" s="19" t="s">
        <v>64</v>
      </c>
      <c r="U593" s="19" t="s">
        <v>65</v>
      </c>
      <c r="V593" s="19" t="s">
        <v>66</v>
      </c>
      <c r="W593" s="19" t="s">
        <v>67</v>
      </c>
      <c r="X593" s="19" t="s">
        <v>68</v>
      </c>
      <c r="Y593" s="21" t="s">
        <v>463</v>
      </c>
      <c r="Z593" s="21" t="s">
        <v>464</v>
      </c>
      <c r="AA593" s="21"/>
      <c r="AB593" s="21">
        <v>3</v>
      </c>
      <c r="AC593" s="21">
        <v>45</v>
      </c>
      <c r="AD593" s="21">
        <v>8682901</v>
      </c>
      <c r="AE593" s="21">
        <v>11859330</v>
      </c>
      <c r="AF593" s="21">
        <v>100671</v>
      </c>
      <c r="AG593" s="21" t="s">
        <v>2096</v>
      </c>
      <c r="AH593" s="21"/>
      <c r="AI593" s="21"/>
      <c r="AJ593" s="22"/>
      <c r="AK593" s="22"/>
      <c r="AL593" s="21" t="str">
        <f>_xlfn.XLOOKUP(A:A,[1]TAGS!$A:$A,[1]TAGS!$BG:$BG)</f>
        <v>Não Montado</v>
      </c>
      <c r="AM593" s="21" t="s">
        <v>70</v>
      </c>
      <c r="AN593" s="22"/>
      <c r="AO593" s="21" t="str">
        <f>_xlfn.XLOOKUP(A:A,[1]TAGS!$A:$A,[1]TAGS!$BG:$BG)</f>
        <v>Não Montado</v>
      </c>
      <c r="AP593" s="21"/>
      <c r="AQ593" s="21"/>
      <c r="AR593" s="21"/>
      <c r="AS593" s="21"/>
      <c r="AT593" s="21"/>
      <c r="AU593" s="21"/>
    </row>
    <row r="594" spans="1:47" x14ac:dyDescent="0.35">
      <c r="A594" s="19" t="s">
        <v>2099</v>
      </c>
      <c r="B594" s="19" t="s">
        <v>52</v>
      </c>
      <c r="C594" s="19"/>
      <c r="D594" s="19" t="s">
        <v>53</v>
      </c>
      <c r="E594" s="19" t="s">
        <v>460</v>
      </c>
      <c r="F594" s="20" t="s">
        <v>89</v>
      </c>
      <c r="G594" s="20" t="s">
        <v>90</v>
      </c>
      <c r="H594" s="19" t="s">
        <v>2100</v>
      </c>
      <c r="I594" s="20" t="s">
        <v>58</v>
      </c>
      <c r="J594" s="20" t="s">
        <v>92</v>
      </c>
      <c r="K594" s="20" t="s">
        <v>2101</v>
      </c>
      <c r="L594" s="19" t="s">
        <v>61</v>
      </c>
      <c r="M594" s="19" t="s">
        <v>62</v>
      </c>
      <c r="N594" s="20" t="s">
        <v>63</v>
      </c>
      <c r="O594" s="19">
        <v>21</v>
      </c>
      <c r="P594" s="19">
        <v>3.73</v>
      </c>
      <c r="Q594" s="19">
        <v>1</v>
      </c>
      <c r="R594" s="20">
        <v>11</v>
      </c>
      <c r="S594" s="19">
        <v>6.6000000000000003E-2</v>
      </c>
      <c r="T594" s="19" t="s">
        <v>64</v>
      </c>
      <c r="U594" s="19" t="s">
        <v>65</v>
      </c>
      <c r="V594" s="19" t="s">
        <v>66</v>
      </c>
      <c r="W594" s="19" t="s">
        <v>67</v>
      </c>
      <c r="X594" s="19" t="s">
        <v>68</v>
      </c>
      <c r="Y594" s="21" t="s">
        <v>463</v>
      </c>
      <c r="Z594" s="21" t="s">
        <v>468</v>
      </c>
      <c r="AA594" s="21"/>
      <c r="AB594" s="21">
        <v>2</v>
      </c>
      <c r="AC594" s="21">
        <v>43</v>
      </c>
      <c r="AD594" s="21">
        <v>8684647</v>
      </c>
      <c r="AE594" s="21">
        <v>11871750</v>
      </c>
      <c r="AF594" s="21">
        <v>100445</v>
      </c>
      <c r="AG594" s="21" t="s">
        <v>2099</v>
      </c>
      <c r="AH594" s="21"/>
      <c r="AI594" s="21"/>
      <c r="AJ594" s="22"/>
      <c r="AK594" s="22"/>
      <c r="AL594" s="21" t="str">
        <f>_xlfn.XLOOKUP(A:A,[1]TAGS!$A:$A,[1]TAGS!$BG:$BG)</f>
        <v>Não Montado</v>
      </c>
      <c r="AM594" s="21" t="s">
        <v>70</v>
      </c>
      <c r="AN594" s="22"/>
      <c r="AO594" s="21" t="str">
        <f>_xlfn.XLOOKUP(A:A,[1]TAGS!$A:$A,[1]TAGS!$BG:$BG)</f>
        <v>Não Montado</v>
      </c>
      <c r="AP594" s="21"/>
      <c r="AQ594" s="21"/>
      <c r="AR594" s="21"/>
      <c r="AS594" s="21"/>
      <c r="AT594" s="21"/>
      <c r="AU594" s="21"/>
    </row>
    <row r="595" spans="1:47" x14ac:dyDescent="0.35">
      <c r="A595" s="19" t="s">
        <v>2102</v>
      </c>
      <c r="B595" s="19" t="s">
        <v>52</v>
      </c>
      <c r="C595" s="19"/>
      <c r="D595" s="19" t="s">
        <v>53</v>
      </c>
      <c r="E595" s="19" t="s">
        <v>460</v>
      </c>
      <c r="F595" s="20" t="s">
        <v>95</v>
      </c>
      <c r="G595" s="20" t="s">
        <v>96</v>
      </c>
      <c r="H595" s="19" t="s">
        <v>2103</v>
      </c>
      <c r="I595" s="20" t="s">
        <v>58</v>
      </c>
      <c r="J595" s="20" t="s">
        <v>98</v>
      </c>
      <c r="K595" s="20" t="s">
        <v>2104</v>
      </c>
      <c r="L595" s="19" t="s">
        <v>61</v>
      </c>
      <c r="M595" s="19" t="s">
        <v>62</v>
      </c>
      <c r="N595" s="20" t="s">
        <v>63</v>
      </c>
      <c r="O595" s="19">
        <v>21</v>
      </c>
      <c r="P595" s="19">
        <v>3.73</v>
      </c>
      <c r="Q595" s="19">
        <v>1</v>
      </c>
      <c r="R595" s="20">
        <v>18</v>
      </c>
      <c r="S595" s="19">
        <v>6.6000000000000003E-2</v>
      </c>
      <c r="T595" s="19" t="s">
        <v>64</v>
      </c>
      <c r="U595" s="19" t="s">
        <v>65</v>
      </c>
      <c r="V595" s="19" t="s">
        <v>66</v>
      </c>
      <c r="W595" s="19" t="s">
        <v>67</v>
      </c>
      <c r="X595" s="19" t="s">
        <v>68</v>
      </c>
      <c r="Y595" s="21" t="s">
        <v>463</v>
      </c>
      <c r="Z595" s="21" t="s">
        <v>464</v>
      </c>
      <c r="AA595" s="21"/>
      <c r="AB595" s="21">
        <v>4</v>
      </c>
      <c r="AC595" s="21">
        <v>46</v>
      </c>
      <c r="AD595" s="21">
        <v>8683030</v>
      </c>
      <c r="AE595" s="21">
        <v>11855120</v>
      </c>
      <c r="AF595" s="21">
        <v>100648</v>
      </c>
      <c r="AG595" s="21" t="s">
        <v>2102</v>
      </c>
      <c r="AH595" s="21"/>
      <c r="AI595" s="21"/>
      <c r="AJ595" s="22"/>
      <c r="AK595" s="22"/>
      <c r="AL595" s="21" t="str">
        <f>_xlfn.XLOOKUP(A:A,[1]TAGS!$A:$A,[1]TAGS!$BG:$BG)</f>
        <v>Não Montado</v>
      </c>
      <c r="AM595" s="21" t="s">
        <v>70</v>
      </c>
      <c r="AN595" s="22"/>
      <c r="AO595" s="21" t="str">
        <f>_xlfn.XLOOKUP(A:A,[1]TAGS!$A:$A,[1]TAGS!$BG:$BG)</f>
        <v>Não Montado</v>
      </c>
      <c r="AP595" s="21"/>
      <c r="AQ595" s="21"/>
      <c r="AR595" s="21"/>
      <c r="AS595" s="21"/>
      <c r="AT595" s="21"/>
      <c r="AU595" s="21"/>
    </row>
    <row r="596" spans="1:47" x14ac:dyDescent="0.35">
      <c r="A596" s="19" t="s">
        <v>2105</v>
      </c>
      <c r="B596" s="19" t="s">
        <v>52</v>
      </c>
      <c r="C596" s="19"/>
      <c r="D596" s="19" t="s">
        <v>53</v>
      </c>
      <c r="E596" s="19" t="s">
        <v>460</v>
      </c>
      <c r="F596" s="20" t="s">
        <v>116</v>
      </c>
      <c r="G596" s="20" t="s">
        <v>117</v>
      </c>
      <c r="H596" s="19" t="s">
        <v>2106</v>
      </c>
      <c r="I596" s="20" t="s">
        <v>58</v>
      </c>
      <c r="J596" s="20" t="s">
        <v>119</v>
      </c>
      <c r="K596" s="20" t="s">
        <v>2107</v>
      </c>
      <c r="L596" s="19" t="s">
        <v>61</v>
      </c>
      <c r="M596" s="19" t="s">
        <v>62</v>
      </c>
      <c r="N596" s="20" t="s">
        <v>63</v>
      </c>
      <c r="O596" s="19">
        <v>21</v>
      </c>
      <c r="P596" s="19">
        <v>3.73</v>
      </c>
      <c r="Q596" s="19">
        <v>1</v>
      </c>
      <c r="R596" s="20">
        <v>12</v>
      </c>
      <c r="S596" s="19">
        <v>6.6000000000000003E-2</v>
      </c>
      <c r="T596" s="19" t="s">
        <v>64</v>
      </c>
      <c r="U596" s="19" t="s">
        <v>65</v>
      </c>
      <c r="V596" s="19" t="s">
        <v>66</v>
      </c>
      <c r="W596" s="19" t="s">
        <v>67</v>
      </c>
      <c r="X596" s="19" t="s">
        <v>68</v>
      </c>
      <c r="Y596" s="21" t="s">
        <v>463</v>
      </c>
      <c r="Z596" s="21" t="s">
        <v>502</v>
      </c>
      <c r="AA596" s="21"/>
      <c r="AB596" s="21">
        <v>1</v>
      </c>
      <c r="AC596" s="21">
        <v>11</v>
      </c>
      <c r="AD596" s="21">
        <v>8594189</v>
      </c>
      <c r="AE596" s="21">
        <v>11833350</v>
      </c>
      <c r="AF596" s="21">
        <v>102150</v>
      </c>
      <c r="AG596" s="21" t="s">
        <v>2105</v>
      </c>
      <c r="AH596" s="21"/>
      <c r="AI596" s="21"/>
      <c r="AJ596" s="22"/>
      <c r="AK596" s="22"/>
      <c r="AL596" s="21" t="str">
        <f>_xlfn.XLOOKUP(A:A,[1]TAGS!$A:$A,[1]TAGS!$BG:$BG)</f>
        <v>Não Montado</v>
      </c>
      <c r="AM596" s="21" t="s">
        <v>70</v>
      </c>
      <c r="AN596" s="22"/>
      <c r="AO596" s="21" t="str">
        <f>_xlfn.XLOOKUP(A:A,[1]TAGS!$A:$A,[1]TAGS!$BG:$BG)</f>
        <v>Não Montado</v>
      </c>
      <c r="AP596" s="21"/>
      <c r="AQ596" s="21"/>
      <c r="AR596" s="21"/>
      <c r="AS596" s="21"/>
      <c r="AT596" s="21"/>
      <c r="AU596" s="21"/>
    </row>
    <row r="597" spans="1:47" x14ac:dyDescent="0.35">
      <c r="A597" s="19" t="s">
        <v>2108</v>
      </c>
      <c r="B597" s="19" t="s">
        <v>52</v>
      </c>
      <c r="C597" s="19"/>
      <c r="D597" s="19" t="s">
        <v>53</v>
      </c>
      <c r="E597" s="19" t="s">
        <v>460</v>
      </c>
      <c r="F597" s="20" t="s">
        <v>746</v>
      </c>
      <c r="G597" s="20" t="s">
        <v>747</v>
      </c>
      <c r="H597" s="19" t="s">
        <v>2109</v>
      </c>
      <c r="I597" s="20" t="s">
        <v>58</v>
      </c>
      <c r="J597" s="20" t="s">
        <v>749</v>
      </c>
      <c r="K597" s="20" t="s">
        <v>2110</v>
      </c>
      <c r="L597" s="19" t="s">
        <v>61</v>
      </c>
      <c r="M597" s="19" t="s">
        <v>62</v>
      </c>
      <c r="N597" s="20" t="s">
        <v>63</v>
      </c>
      <c r="O597" s="19">
        <v>21</v>
      </c>
      <c r="P597" s="19">
        <v>3.73</v>
      </c>
      <c r="Q597" s="19">
        <v>1</v>
      </c>
      <c r="R597" s="20">
        <v>8</v>
      </c>
      <c r="S597" s="19">
        <v>6.6000000000000003E-2</v>
      </c>
      <c r="T597" s="19" t="s">
        <v>64</v>
      </c>
      <c r="U597" s="19" t="s">
        <v>65</v>
      </c>
      <c r="V597" s="19" t="s">
        <v>66</v>
      </c>
      <c r="W597" s="19" t="s">
        <v>67</v>
      </c>
      <c r="X597" s="19" t="s">
        <v>68</v>
      </c>
      <c r="Y597" s="21" t="s">
        <v>463</v>
      </c>
      <c r="Z597" s="21" t="s">
        <v>573</v>
      </c>
      <c r="AA597" s="21"/>
      <c r="AB597" s="21">
        <v>6</v>
      </c>
      <c r="AC597" s="21">
        <v>108</v>
      </c>
      <c r="AD597" s="21">
        <v>8568537</v>
      </c>
      <c r="AE597" s="21">
        <v>11769040</v>
      </c>
      <c r="AF597" s="21">
        <v>105480</v>
      </c>
      <c r="AG597" s="21" t="s">
        <v>2108</v>
      </c>
      <c r="AH597" s="21"/>
      <c r="AI597" s="21"/>
      <c r="AJ597" s="22"/>
      <c r="AK597" s="22"/>
      <c r="AL597" s="21" t="str">
        <f>_xlfn.XLOOKUP(A:A,[1]TAGS!$A:$A,[1]TAGS!$BG:$BG)</f>
        <v>Não Montado</v>
      </c>
      <c r="AM597" s="21" t="s">
        <v>70</v>
      </c>
      <c r="AN597" s="22"/>
      <c r="AO597" s="21" t="str">
        <f>_xlfn.XLOOKUP(A:A,[1]TAGS!$A:$A,[1]TAGS!$BG:$BG)</f>
        <v>Não Montado</v>
      </c>
      <c r="AP597" s="21"/>
      <c r="AQ597" s="21"/>
      <c r="AR597" s="21"/>
      <c r="AS597" s="21"/>
      <c r="AT597" s="21"/>
      <c r="AU597" s="21"/>
    </row>
    <row r="598" spans="1:47" x14ac:dyDescent="0.35">
      <c r="A598" s="19" t="s">
        <v>2111</v>
      </c>
      <c r="B598" s="19" t="s">
        <v>52</v>
      </c>
      <c r="C598" s="19"/>
      <c r="D598" s="19" t="s">
        <v>53</v>
      </c>
      <c r="E598" s="19" t="s">
        <v>460</v>
      </c>
      <c r="F598" s="20" t="s">
        <v>1687</v>
      </c>
      <c r="G598" s="20" t="s">
        <v>1688</v>
      </c>
      <c r="H598" s="19" t="s">
        <v>2112</v>
      </c>
      <c r="I598" s="20" t="s">
        <v>58</v>
      </c>
      <c r="J598" s="20" t="s">
        <v>1690</v>
      </c>
      <c r="K598" s="20" t="s">
        <v>2113</v>
      </c>
      <c r="L598" s="19" t="s">
        <v>61</v>
      </c>
      <c r="M598" s="19" t="s">
        <v>62</v>
      </c>
      <c r="N598" s="20" t="s">
        <v>63</v>
      </c>
      <c r="O598" s="19">
        <v>21</v>
      </c>
      <c r="P598" s="19">
        <v>3.73</v>
      </c>
      <c r="Q598" s="19">
        <v>1</v>
      </c>
      <c r="R598" s="20">
        <v>7</v>
      </c>
      <c r="S598" s="19">
        <v>6.6000000000000003E-2</v>
      </c>
      <c r="T598" s="19" t="s">
        <v>64</v>
      </c>
      <c r="U598" s="19" t="s">
        <v>65</v>
      </c>
      <c r="V598" s="19" t="s">
        <v>66</v>
      </c>
      <c r="W598" s="19" t="s">
        <v>67</v>
      </c>
      <c r="X598" s="19" t="s">
        <v>68</v>
      </c>
      <c r="Y598" s="21" t="s">
        <v>463</v>
      </c>
      <c r="Z598" s="21" t="s">
        <v>573</v>
      </c>
      <c r="AA598" s="21"/>
      <c r="AB598" s="21">
        <v>8</v>
      </c>
      <c r="AC598" s="21">
        <v>112</v>
      </c>
      <c r="AD598" s="21">
        <v>8570107</v>
      </c>
      <c r="AE598" s="21">
        <v>11768410</v>
      </c>
      <c r="AF598" s="21">
        <v>112010</v>
      </c>
      <c r="AG598" s="21" t="s">
        <v>2111</v>
      </c>
      <c r="AH598" s="21"/>
      <c r="AI598" s="21"/>
      <c r="AJ598" s="22"/>
      <c r="AK598" s="22"/>
      <c r="AL598" s="21" t="str">
        <f>_xlfn.XLOOKUP(A:A,[1]TAGS!$A:$A,[1]TAGS!$BG:$BG)</f>
        <v>Não Montado</v>
      </c>
      <c r="AM598" s="21" t="s">
        <v>70</v>
      </c>
      <c r="AN598" s="22"/>
      <c r="AO598" s="21" t="str">
        <f>_xlfn.XLOOKUP(A:A,[1]TAGS!$A:$A,[1]TAGS!$BG:$BG)</f>
        <v>Não Montado</v>
      </c>
      <c r="AP598" s="21"/>
      <c r="AQ598" s="21"/>
      <c r="AR598" s="21"/>
      <c r="AS598" s="21"/>
      <c r="AT598" s="21"/>
      <c r="AU598" s="21"/>
    </row>
    <row r="599" spans="1:47" x14ac:dyDescent="0.35">
      <c r="A599" s="19" t="s">
        <v>2114</v>
      </c>
      <c r="B599" s="19" t="s">
        <v>52</v>
      </c>
      <c r="C599" s="19"/>
      <c r="D599" s="19" t="s">
        <v>53</v>
      </c>
      <c r="E599" s="19" t="s">
        <v>460</v>
      </c>
      <c r="F599" s="20" t="s">
        <v>578</v>
      </c>
      <c r="G599" s="20" t="s">
        <v>787</v>
      </c>
      <c r="H599" s="19" t="s">
        <v>2115</v>
      </c>
      <c r="I599" s="20" t="s">
        <v>58</v>
      </c>
      <c r="J599" s="20" t="s">
        <v>789</v>
      </c>
      <c r="K599" s="20" t="s">
        <v>2116</v>
      </c>
      <c r="L599" s="19" t="s">
        <v>61</v>
      </c>
      <c r="M599" s="19" t="s">
        <v>62</v>
      </c>
      <c r="N599" s="20" t="s">
        <v>63</v>
      </c>
      <c r="O599" s="19">
        <v>21</v>
      </c>
      <c r="P599" s="19">
        <v>3.73</v>
      </c>
      <c r="Q599" s="19">
        <v>1</v>
      </c>
      <c r="R599" s="20">
        <v>30</v>
      </c>
      <c r="S599" s="19">
        <v>6.6000000000000003E-2</v>
      </c>
      <c r="T599" s="19" t="s">
        <v>64</v>
      </c>
      <c r="U599" s="19" t="s">
        <v>65</v>
      </c>
      <c r="V599" s="19" t="s">
        <v>66</v>
      </c>
      <c r="W599" s="19" t="s">
        <v>67</v>
      </c>
      <c r="X599" s="19" t="s">
        <v>68</v>
      </c>
      <c r="Y599" s="21" t="s">
        <v>463</v>
      </c>
      <c r="Z599" s="21" t="s">
        <v>555</v>
      </c>
      <c r="AA599" s="21"/>
      <c r="AB599" s="21">
        <v>2</v>
      </c>
      <c r="AC599" s="21">
        <v>80</v>
      </c>
      <c r="AD599" s="21">
        <v>8572015</v>
      </c>
      <c r="AE599" s="21">
        <v>11729460</v>
      </c>
      <c r="AF599" s="21">
        <v>110979</v>
      </c>
      <c r="AG599" s="21" t="s">
        <v>2114</v>
      </c>
      <c r="AH599" s="21"/>
      <c r="AI599" s="21"/>
      <c r="AJ599" s="22"/>
      <c r="AK599" s="22"/>
      <c r="AL599" s="21" t="str">
        <f>_xlfn.XLOOKUP(A:A,[1]TAGS!$A:$A,[1]TAGS!$BG:$BG)</f>
        <v>Não Montado</v>
      </c>
      <c r="AM599" s="21" t="s">
        <v>70</v>
      </c>
      <c r="AN599" s="22"/>
      <c r="AO599" s="21" t="str">
        <f>_xlfn.XLOOKUP(A:A,[1]TAGS!$A:$A,[1]TAGS!$BG:$BG)</f>
        <v>Não Montado</v>
      </c>
      <c r="AP599" s="21"/>
      <c r="AQ599" s="21"/>
      <c r="AR599" s="21"/>
      <c r="AS599" s="21"/>
      <c r="AT599" s="21"/>
      <c r="AU599" s="21"/>
    </row>
    <row r="600" spans="1:47" x14ac:dyDescent="0.35">
      <c r="A600" s="19" t="s">
        <v>2117</v>
      </c>
      <c r="B600" s="19" t="s">
        <v>52</v>
      </c>
      <c r="C600" s="19"/>
      <c r="D600" s="19" t="s">
        <v>53</v>
      </c>
      <c r="E600" s="19" t="s">
        <v>460</v>
      </c>
      <c r="F600" s="20" t="s">
        <v>578</v>
      </c>
      <c r="G600" s="20" t="s">
        <v>787</v>
      </c>
      <c r="H600" s="19" t="s">
        <v>2118</v>
      </c>
      <c r="I600" s="20" t="s">
        <v>58</v>
      </c>
      <c r="J600" s="20" t="s">
        <v>789</v>
      </c>
      <c r="K600" s="20" t="s">
        <v>2119</v>
      </c>
      <c r="L600" s="19" t="s">
        <v>61</v>
      </c>
      <c r="M600" s="19" t="s">
        <v>62</v>
      </c>
      <c r="N600" s="20" t="s">
        <v>63</v>
      </c>
      <c r="O600" s="19">
        <v>21</v>
      </c>
      <c r="P600" s="19">
        <v>3.73</v>
      </c>
      <c r="Q600" s="19">
        <v>1</v>
      </c>
      <c r="R600" s="20">
        <v>12</v>
      </c>
      <c r="S600" s="19">
        <v>6.6000000000000003E-2</v>
      </c>
      <c r="T600" s="19" t="s">
        <v>64</v>
      </c>
      <c r="U600" s="19" t="s">
        <v>65</v>
      </c>
      <c r="V600" s="19" t="s">
        <v>66</v>
      </c>
      <c r="W600" s="19" t="s">
        <v>67</v>
      </c>
      <c r="X600" s="19" t="s">
        <v>68</v>
      </c>
      <c r="Y600" s="21" t="s">
        <v>463</v>
      </c>
      <c r="Z600" s="21" t="s">
        <v>563</v>
      </c>
      <c r="AA600" s="21"/>
      <c r="AB600" s="21">
        <v>4</v>
      </c>
      <c r="AC600" s="21">
        <v>79</v>
      </c>
      <c r="AD600" s="21">
        <v>8573591</v>
      </c>
      <c r="AE600" s="21">
        <v>11732940</v>
      </c>
      <c r="AF600" s="21">
        <v>110500</v>
      </c>
      <c r="AG600" s="21" t="s">
        <v>2117</v>
      </c>
      <c r="AH600" s="21"/>
      <c r="AI600" s="21"/>
      <c r="AJ600" s="22"/>
      <c r="AK600" s="22"/>
      <c r="AL600" s="21" t="str">
        <f>_xlfn.XLOOKUP(A:A,[1]TAGS!$A:$A,[1]TAGS!$BG:$BG)</f>
        <v>Não Montado</v>
      </c>
      <c r="AM600" s="21" t="s">
        <v>70</v>
      </c>
      <c r="AN600" s="22"/>
      <c r="AO600" s="21" t="str">
        <f>_xlfn.XLOOKUP(A:A,[1]TAGS!$A:$A,[1]TAGS!$BG:$BG)</f>
        <v>Não Montado</v>
      </c>
      <c r="AP600" s="21"/>
      <c r="AQ600" s="21"/>
      <c r="AR600" s="21"/>
      <c r="AS600" s="21"/>
      <c r="AT600" s="21"/>
      <c r="AU600" s="21"/>
    </row>
    <row r="601" spans="1:47" x14ac:dyDescent="0.35">
      <c r="A601" s="19" t="s">
        <v>2120</v>
      </c>
      <c r="B601" s="19" t="s">
        <v>52</v>
      </c>
      <c r="C601" s="19"/>
      <c r="D601" s="19" t="s">
        <v>53</v>
      </c>
      <c r="E601" s="19" t="s">
        <v>460</v>
      </c>
      <c r="F601" s="20" t="s">
        <v>578</v>
      </c>
      <c r="G601" s="20" t="s">
        <v>787</v>
      </c>
      <c r="H601" s="19" t="s">
        <v>2121</v>
      </c>
      <c r="I601" s="20" t="s">
        <v>58</v>
      </c>
      <c r="J601" s="20" t="s">
        <v>789</v>
      </c>
      <c r="K601" s="20" t="s">
        <v>2122</v>
      </c>
      <c r="L601" s="19" t="s">
        <v>61</v>
      </c>
      <c r="M601" s="19" t="s">
        <v>62</v>
      </c>
      <c r="N601" s="20" t="s">
        <v>63</v>
      </c>
      <c r="O601" s="19">
        <v>21</v>
      </c>
      <c r="P601" s="19">
        <v>3.73</v>
      </c>
      <c r="Q601" s="19">
        <v>1</v>
      </c>
      <c r="R601" s="20">
        <v>34</v>
      </c>
      <c r="S601" s="19">
        <v>6.6000000000000003E-2</v>
      </c>
      <c r="T601" s="19" t="s">
        <v>64</v>
      </c>
      <c r="U601" s="19" t="s">
        <v>65</v>
      </c>
      <c r="V601" s="19" t="s">
        <v>66</v>
      </c>
      <c r="W601" s="19" t="s">
        <v>67</v>
      </c>
      <c r="X601" s="19" t="s">
        <v>68</v>
      </c>
      <c r="Y601" s="21" t="s">
        <v>463</v>
      </c>
      <c r="Z601" s="21" t="s">
        <v>555</v>
      </c>
      <c r="AA601" s="21"/>
      <c r="AB601" s="21">
        <v>3</v>
      </c>
      <c r="AC601" s="21">
        <v>81</v>
      </c>
      <c r="AD601" s="21">
        <v>8572002</v>
      </c>
      <c r="AE601" s="21">
        <v>11728570</v>
      </c>
      <c r="AF601" s="21">
        <v>110979</v>
      </c>
      <c r="AG601" s="21" t="s">
        <v>2120</v>
      </c>
      <c r="AH601" s="21"/>
      <c r="AI601" s="21"/>
      <c r="AJ601" s="22"/>
      <c r="AK601" s="22"/>
      <c r="AL601" s="21" t="str">
        <f>_xlfn.XLOOKUP(A:A,[1]TAGS!$A:$A,[1]TAGS!$BG:$BG)</f>
        <v>Não Montado</v>
      </c>
      <c r="AM601" s="21" t="s">
        <v>70</v>
      </c>
      <c r="AN601" s="22"/>
      <c r="AO601" s="21" t="str">
        <f>_xlfn.XLOOKUP(A:A,[1]TAGS!$A:$A,[1]TAGS!$BG:$BG)</f>
        <v>Não Montado</v>
      </c>
      <c r="AP601" s="21"/>
      <c r="AQ601" s="21"/>
      <c r="AR601" s="21"/>
      <c r="AS601" s="21"/>
      <c r="AT601" s="21"/>
      <c r="AU601" s="21"/>
    </row>
    <row r="602" spans="1:47" x14ac:dyDescent="0.35">
      <c r="A602" s="19" t="s">
        <v>2123</v>
      </c>
      <c r="B602" s="19" t="s">
        <v>52</v>
      </c>
      <c r="C602" s="19"/>
      <c r="D602" s="19" t="s">
        <v>53</v>
      </c>
      <c r="E602" s="19" t="s">
        <v>460</v>
      </c>
      <c r="F602" s="20" t="s">
        <v>798</v>
      </c>
      <c r="G602" s="20" t="s">
        <v>799</v>
      </c>
      <c r="H602" s="19" t="s">
        <v>2124</v>
      </c>
      <c r="I602" s="20" t="s">
        <v>58</v>
      </c>
      <c r="J602" s="20" t="s">
        <v>801</v>
      </c>
      <c r="K602" s="20" t="s">
        <v>2125</v>
      </c>
      <c r="L602" s="19" t="s">
        <v>61</v>
      </c>
      <c r="M602" s="19" t="s">
        <v>62</v>
      </c>
      <c r="N602" s="20" t="s">
        <v>63</v>
      </c>
      <c r="O602" s="19">
        <v>21</v>
      </c>
      <c r="P602" s="19">
        <v>3.73</v>
      </c>
      <c r="Q602" s="19">
        <v>1</v>
      </c>
      <c r="R602" s="20">
        <v>12</v>
      </c>
      <c r="S602" s="19">
        <v>6.6000000000000003E-2</v>
      </c>
      <c r="T602" s="19" t="s">
        <v>64</v>
      </c>
      <c r="U602" s="19" t="s">
        <v>65</v>
      </c>
      <c r="V602" s="19" t="s">
        <v>66</v>
      </c>
      <c r="W602" s="19" t="s">
        <v>67</v>
      </c>
      <c r="X602" s="19" t="s">
        <v>68</v>
      </c>
      <c r="Y602" s="21" t="s">
        <v>463</v>
      </c>
      <c r="Z602" s="21" t="s">
        <v>2126</v>
      </c>
      <c r="AA602" s="21"/>
      <c r="AB602" s="21">
        <v>7</v>
      </c>
      <c r="AC602" s="21">
        <v>107</v>
      </c>
      <c r="AD602" s="21">
        <v>8575887</v>
      </c>
      <c r="AE602" s="21">
        <v>11825100</v>
      </c>
      <c r="AF602" s="21">
        <v>117557</v>
      </c>
      <c r="AG602" s="21" t="s">
        <v>2123</v>
      </c>
      <c r="AH602" s="21"/>
      <c r="AI602" s="21"/>
      <c r="AJ602" s="22"/>
      <c r="AK602" s="22"/>
      <c r="AL602" s="21" t="str">
        <f>_xlfn.XLOOKUP(A:A,[1]TAGS!$A:$A,[1]TAGS!$BG:$BG)</f>
        <v>Não Montado</v>
      </c>
      <c r="AM602" s="21" t="s">
        <v>70</v>
      </c>
      <c r="AN602" s="22"/>
      <c r="AO602" s="21" t="str">
        <f>_xlfn.XLOOKUP(A:A,[1]TAGS!$A:$A,[1]TAGS!$BG:$BG)</f>
        <v>Não Montado</v>
      </c>
      <c r="AP602" s="21"/>
      <c r="AQ602" s="21"/>
      <c r="AR602" s="21"/>
      <c r="AS602" s="21"/>
      <c r="AT602" s="21"/>
      <c r="AU602" s="21"/>
    </row>
    <row r="603" spans="1:47" x14ac:dyDescent="0.35">
      <c r="A603" s="19" t="s">
        <v>2127</v>
      </c>
      <c r="B603" s="19" t="s">
        <v>52</v>
      </c>
      <c r="C603" s="19"/>
      <c r="D603" s="19" t="s">
        <v>53</v>
      </c>
      <c r="E603" s="19" t="s">
        <v>460</v>
      </c>
      <c r="F603" s="20" t="s">
        <v>1624</v>
      </c>
      <c r="G603" s="20" t="s">
        <v>1625</v>
      </c>
      <c r="H603" s="19" t="s">
        <v>2128</v>
      </c>
      <c r="I603" s="20" t="s">
        <v>58</v>
      </c>
      <c r="J603" s="20" t="s">
        <v>1627</v>
      </c>
      <c r="K603" s="20" t="s">
        <v>2129</v>
      </c>
      <c r="L603" s="19" t="s">
        <v>61</v>
      </c>
      <c r="M603" s="19" t="s">
        <v>62</v>
      </c>
      <c r="N603" s="20" t="s">
        <v>63</v>
      </c>
      <c r="O603" s="19">
        <v>21</v>
      </c>
      <c r="P603" s="19">
        <v>3.73</v>
      </c>
      <c r="Q603" s="19">
        <v>1</v>
      </c>
      <c r="R603" s="20">
        <v>11</v>
      </c>
      <c r="S603" s="19">
        <v>6.6000000000000003E-2</v>
      </c>
      <c r="T603" s="19" t="s">
        <v>64</v>
      </c>
      <c r="U603" s="19" t="s">
        <v>65</v>
      </c>
      <c r="V603" s="19" t="s">
        <v>66</v>
      </c>
      <c r="W603" s="19" t="s">
        <v>67</v>
      </c>
      <c r="X603" s="19" t="s">
        <v>68</v>
      </c>
      <c r="Y603" s="21" t="s">
        <v>463</v>
      </c>
      <c r="Z603" s="21" t="s">
        <v>897</v>
      </c>
      <c r="AA603" s="21"/>
      <c r="AB603" s="21">
        <v>7</v>
      </c>
      <c r="AC603" s="21">
        <v>61</v>
      </c>
      <c r="AD603" s="21">
        <v>8592653</v>
      </c>
      <c r="AE603" s="21">
        <v>11896810</v>
      </c>
      <c r="AF603" s="21">
        <v>100644</v>
      </c>
      <c r="AG603" s="21" t="s">
        <v>2127</v>
      </c>
      <c r="AH603" s="21"/>
      <c r="AI603" s="21"/>
      <c r="AJ603" s="22"/>
      <c r="AK603" s="22"/>
      <c r="AL603" s="21" t="str">
        <f>_xlfn.XLOOKUP(A:A,[1]TAGS!$A:$A,[1]TAGS!$BG:$BG)</f>
        <v>Não Montado</v>
      </c>
      <c r="AM603" s="21" t="s">
        <v>70</v>
      </c>
      <c r="AN603" s="22"/>
      <c r="AO603" s="21" t="str">
        <f>_xlfn.XLOOKUP(A:A,[1]TAGS!$A:$A,[1]TAGS!$BG:$BG)</f>
        <v>Não Montado</v>
      </c>
      <c r="AP603" s="21"/>
      <c r="AQ603" s="21"/>
      <c r="AR603" s="21"/>
      <c r="AS603" s="21"/>
      <c r="AT603" s="21"/>
      <c r="AU603" s="21"/>
    </row>
    <row r="604" spans="1:47" x14ac:dyDescent="0.35">
      <c r="A604" s="19" t="s">
        <v>2130</v>
      </c>
      <c r="B604" s="19" t="s">
        <v>52</v>
      </c>
      <c r="C604" s="19"/>
      <c r="D604" s="19" t="s">
        <v>53</v>
      </c>
      <c r="E604" s="19" t="s">
        <v>460</v>
      </c>
      <c r="F604" s="20" t="s">
        <v>312</v>
      </c>
      <c r="G604" s="20" t="s">
        <v>313</v>
      </c>
      <c r="H604" s="19" t="s">
        <v>2131</v>
      </c>
      <c r="I604" s="20" t="s">
        <v>58</v>
      </c>
      <c r="J604" s="20" t="s">
        <v>315</v>
      </c>
      <c r="K604" s="20" t="s">
        <v>2132</v>
      </c>
      <c r="L604" s="19" t="s">
        <v>61</v>
      </c>
      <c r="M604" s="19" t="s">
        <v>62</v>
      </c>
      <c r="N604" s="20" t="s">
        <v>63</v>
      </c>
      <c r="O604" s="19">
        <v>21</v>
      </c>
      <c r="P604" s="19">
        <v>3.73</v>
      </c>
      <c r="Q604" s="19">
        <v>1</v>
      </c>
      <c r="R604" s="20">
        <v>15</v>
      </c>
      <c r="S604" s="19">
        <v>6.6000000000000003E-2</v>
      </c>
      <c r="T604" s="19" t="s">
        <v>64</v>
      </c>
      <c r="U604" s="19" t="s">
        <v>65</v>
      </c>
      <c r="V604" s="19" t="s">
        <v>66</v>
      </c>
      <c r="W604" s="19" t="s">
        <v>67</v>
      </c>
      <c r="X604" s="19" t="s">
        <v>68</v>
      </c>
      <c r="Y604" s="21" t="s">
        <v>463</v>
      </c>
      <c r="Z604" s="21" t="s">
        <v>897</v>
      </c>
      <c r="AA604" s="21"/>
      <c r="AB604" s="21">
        <v>2</v>
      </c>
      <c r="AC604" s="21">
        <v>2</v>
      </c>
      <c r="AD604" s="21">
        <v>8625276</v>
      </c>
      <c r="AE604" s="21">
        <v>11886340</v>
      </c>
      <c r="AF604" s="21">
        <v>100479</v>
      </c>
      <c r="AG604" s="21" t="s">
        <v>2130</v>
      </c>
      <c r="AH604" s="21"/>
      <c r="AI604" s="21"/>
      <c r="AJ604" s="22"/>
      <c r="AK604" s="22"/>
      <c r="AL604" s="21" t="str">
        <f>_xlfn.XLOOKUP(A:A,[1]TAGS!$A:$A,[1]TAGS!$BG:$BG)</f>
        <v>Não Montado</v>
      </c>
      <c r="AM604" s="21" t="s">
        <v>70</v>
      </c>
      <c r="AN604" s="22"/>
      <c r="AO604" s="21" t="str">
        <f>_xlfn.XLOOKUP(A:A,[1]TAGS!$A:$A,[1]TAGS!$BG:$BG)</f>
        <v>Não Montado</v>
      </c>
      <c r="AP604" s="21"/>
      <c r="AQ604" s="21"/>
      <c r="AR604" s="21"/>
      <c r="AS604" s="21"/>
      <c r="AT604" s="21"/>
      <c r="AU604" s="21"/>
    </row>
    <row r="605" spans="1:47" x14ac:dyDescent="0.35">
      <c r="A605" s="19" t="s">
        <v>2133</v>
      </c>
      <c r="B605" s="19" t="s">
        <v>52</v>
      </c>
      <c r="C605" s="19"/>
      <c r="D605" s="19" t="s">
        <v>53</v>
      </c>
      <c r="E605" s="19" t="s">
        <v>460</v>
      </c>
      <c r="F605" s="20" t="s">
        <v>391</v>
      </c>
      <c r="G605" s="20" t="s">
        <v>392</v>
      </c>
      <c r="H605" s="19" t="s">
        <v>2134</v>
      </c>
      <c r="I605" s="20" t="s">
        <v>124</v>
      </c>
      <c r="J605" s="20" t="s">
        <v>394</v>
      </c>
      <c r="K605" s="20" t="s">
        <v>2135</v>
      </c>
      <c r="L605" s="19" t="s">
        <v>61</v>
      </c>
      <c r="M605" s="19" t="s">
        <v>62</v>
      </c>
      <c r="N605" s="20" t="s">
        <v>63</v>
      </c>
      <c r="O605" s="19">
        <v>21</v>
      </c>
      <c r="P605" s="19">
        <v>3.73</v>
      </c>
      <c r="Q605" s="19">
        <v>1</v>
      </c>
      <c r="R605" s="20">
        <v>13</v>
      </c>
      <c r="S605" s="19">
        <v>6.6000000000000003E-2</v>
      </c>
      <c r="T605" s="19" t="s">
        <v>64</v>
      </c>
      <c r="U605" s="19" t="s">
        <v>65</v>
      </c>
      <c r="V605" s="19" t="s">
        <v>66</v>
      </c>
      <c r="W605" s="19" t="s">
        <v>67</v>
      </c>
      <c r="X605" s="19" t="s">
        <v>68</v>
      </c>
      <c r="Y605" s="21" t="s">
        <v>463</v>
      </c>
      <c r="Z605" s="21" t="s">
        <v>897</v>
      </c>
      <c r="AA605" s="21"/>
      <c r="AB605" s="21">
        <v>5</v>
      </c>
      <c r="AC605" s="21">
        <v>29</v>
      </c>
      <c r="AD605" s="21">
        <v>8591652</v>
      </c>
      <c r="AE605" s="21">
        <v>11890150</v>
      </c>
      <c r="AF605" s="21">
        <v>112529</v>
      </c>
      <c r="AG605" s="21" t="s">
        <v>2133</v>
      </c>
      <c r="AH605" s="21"/>
      <c r="AI605" s="21"/>
      <c r="AJ605" s="22"/>
      <c r="AK605" s="22"/>
      <c r="AL605" s="21" t="str">
        <f>_xlfn.XLOOKUP(A:A,[1]TAGS!$A:$A,[1]TAGS!$BG:$BG)</f>
        <v>Não Montado</v>
      </c>
      <c r="AM605" s="21" t="s">
        <v>70</v>
      </c>
      <c r="AN605" s="22"/>
      <c r="AO605" s="21" t="str">
        <f>_xlfn.XLOOKUP(A:A,[1]TAGS!$A:$A,[1]TAGS!$BG:$BG)</f>
        <v>Não Montado</v>
      </c>
      <c r="AP605" s="21"/>
      <c r="AQ605" s="21"/>
      <c r="AR605" s="21"/>
      <c r="AS605" s="21"/>
      <c r="AT605" s="21"/>
      <c r="AU605" s="21"/>
    </row>
    <row r="606" spans="1:47" x14ac:dyDescent="0.35">
      <c r="A606" s="19" t="s">
        <v>2136</v>
      </c>
      <c r="B606" s="19" t="s">
        <v>52</v>
      </c>
      <c r="C606" s="19"/>
      <c r="D606" s="19" t="s">
        <v>53</v>
      </c>
      <c r="E606" s="19" t="s">
        <v>460</v>
      </c>
      <c r="F606" s="20" t="s">
        <v>391</v>
      </c>
      <c r="G606" s="20" t="s">
        <v>392</v>
      </c>
      <c r="H606" s="19" t="s">
        <v>2137</v>
      </c>
      <c r="I606" s="20" t="s">
        <v>124</v>
      </c>
      <c r="J606" s="20" t="s">
        <v>394</v>
      </c>
      <c r="K606" s="20" t="s">
        <v>2138</v>
      </c>
      <c r="L606" s="19" t="s">
        <v>61</v>
      </c>
      <c r="M606" s="19" t="s">
        <v>62</v>
      </c>
      <c r="N606" s="20" t="s">
        <v>63</v>
      </c>
      <c r="O606" s="19">
        <v>21</v>
      </c>
      <c r="P606" s="19">
        <v>3.73</v>
      </c>
      <c r="Q606" s="19">
        <v>1</v>
      </c>
      <c r="R606" s="20">
        <v>8</v>
      </c>
      <c r="S606" s="19">
        <v>6.6000000000000003E-2</v>
      </c>
      <c r="T606" s="19" t="s">
        <v>64</v>
      </c>
      <c r="U606" s="19" t="s">
        <v>65</v>
      </c>
      <c r="V606" s="19" t="s">
        <v>66</v>
      </c>
      <c r="W606" s="19" t="s">
        <v>67</v>
      </c>
      <c r="X606" s="19" t="s">
        <v>68</v>
      </c>
      <c r="Y606" s="21" t="s">
        <v>463</v>
      </c>
      <c r="Z606" s="21" t="s">
        <v>897</v>
      </c>
      <c r="AA606" s="21"/>
      <c r="AB606" s="21">
        <v>4</v>
      </c>
      <c r="AC606" s="21">
        <v>4</v>
      </c>
      <c r="AD606" s="21">
        <v>8621830</v>
      </c>
      <c r="AE606" s="21">
        <v>11887840</v>
      </c>
      <c r="AF606" s="21">
        <v>102433</v>
      </c>
      <c r="AG606" s="21" t="s">
        <v>2136</v>
      </c>
      <c r="AH606" s="21"/>
      <c r="AI606" s="21"/>
      <c r="AJ606" s="22"/>
      <c r="AK606" s="22"/>
      <c r="AL606" s="21" t="str">
        <f>_xlfn.XLOOKUP(A:A,[1]TAGS!$A:$A,[1]TAGS!$BG:$BG)</f>
        <v>Não Montado</v>
      </c>
      <c r="AM606" s="21" t="s">
        <v>70</v>
      </c>
      <c r="AN606" s="22"/>
      <c r="AO606" s="21" t="str">
        <f>_xlfn.XLOOKUP(A:A,[1]TAGS!$A:$A,[1]TAGS!$BG:$BG)</f>
        <v>Não Montado</v>
      </c>
      <c r="AP606" s="21"/>
      <c r="AQ606" s="21"/>
      <c r="AR606" s="21"/>
      <c r="AS606" s="21"/>
      <c r="AT606" s="21"/>
      <c r="AU606" s="21"/>
    </row>
    <row r="607" spans="1:47" x14ac:dyDescent="0.35">
      <c r="A607" s="19" t="s">
        <v>2139</v>
      </c>
      <c r="B607" s="19" t="s">
        <v>52</v>
      </c>
      <c r="C607" s="19"/>
      <c r="D607" s="19" t="s">
        <v>53</v>
      </c>
      <c r="E607" s="19" t="s">
        <v>460</v>
      </c>
      <c r="F607" s="20" t="s">
        <v>816</v>
      </c>
      <c r="G607" s="20" t="s">
        <v>817</v>
      </c>
      <c r="H607" s="19" t="s">
        <v>2140</v>
      </c>
      <c r="I607" s="20" t="s">
        <v>58</v>
      </c>
      <c r="J607" s="20" t="s">
        <v>819</v>
      </c>
      <c r="K607" s="20" t="s">
        <v>2141</v>
      </c>
      <c r="L607" s="19" t="s">
        <v>61</v>
      </c>
      <c r="M607" s="19" t="s">
        <v>62</v>
      </c>
      <c r="N607" s="20" t="s">
        <v>63</v>
      </c>
      <c r="O607" s="19">
        <v>21</v>
      </c>
      <c r="P607" s="19">
        <v>3.73</v>
      </c>
      <c r="Q607" s="19">
        <v>1</v>
      </c>
      <c r="R607" s="20">
        <v>11</v>
      </c>
      <c r="S607" s="19">
        <v>6.6000000000000003E-2</v>
      </c>
      <c r="T607" s="19" t="s">
        <v>64</v>
      </c>
      <c r="U607" s="19" t="s">
        <v>65</v>
      </c>
      <c r="V607" s="19" t="s">
        <v>66</v>
      </c>
      <c r="W607" s="19" t="s">
        <v>67</v>
      </c>
      <c r="X607" s="19" t="s">
        <v>68</v>
      </c>
      <c r="Y607" s="21" t="s">
        <v>463</v>
      </c>
      <c r="Z607" s="21" t="s">
        <v>468</v>
      </c>
      <c r="AA607" s="21"/>
      <c r="AB607" s="21">
        <v>6</v>
      </c>
      <c r="AC607" s="21">
        <v>83</v>
      </c>
      <c r="AD607" s="21">
        <v>8679727</v>
      </c>
      <c r="AE607" s="21">
        <v>11879120</v>
      </c>
      <c r="AF607" s="21">
        <v>103480</v>
      </c>
      <c r="AG607" s="21" t="s">
        <v>2139</v>
      </c>
      <c r="AH607" s="21"/>
      <c r="AI607" s="21"/>
      <c r="AJ607" s="22"/>
      <c r="AK607" s="22"/>
      <c r="AL607" s="21" t="str">
        <f>_xlfn.XLOOKUP(A:A,[1]TAGS!$A:$A,[1]TAGS!$BG:$BG)</f>
        <v>Não Montado</v>
      </c>
      <c r="AM607" s="21" t="s">
        <v>70</v>
      </c>
      <c r="AN607" s="22"/>
      <c r="AO607" s="21" t="str">
        <f>_xlfn.XLOOKUP(A:A,[1]TAGS!$A:$A,[1]TAGS!$BG:$BG)</f>
        <v>Não Montado</v>
      </c>
      <c r="AP607" s="21"/>
      <c r="AQ607" s="21"/>
      <c r="AR607" s="21"/>
      <c r="AS607" s="21"/>
      <c r="AT607" s="21"/>
      <c r="AU607" s="21"/>
    </row>
    <row r="608" spans="1:47" x14ac:dyDescent="0.35">
      <c r="A608" s="19" t="s">
        <v>2142</v>
      </c>
      <c r="B608" s="19" t="s">
        <v>52</v>
      </c>
      <c r="C608" s="19"/>
      <c r="D608" s="19" t="s">
        <v>53</v>
      </c>
      <c r="E608" s="19" t="s">
        <v>460</v>
      </c>
      <c r="F608" s="20" t="s">
        <v>55</v>
      </c>
      <c r="G608" s="20" t="s">
        <v>56</v>
      </c>
      <c r="H608" s="19" t="s">
        <v>2143</v>
      </c>
      <c r="I608" s="20" t="s">
        <v>58</v>
      </c>
      <c r="J608" s="20" t="s">
        <v>59</v>
      </c>
      <c r="K608" s="20" t="s">
        <v>2144</v>
      </c>
      <c r="L608" s="19" t="s">
        <v>61</v>
      </c>
      <c r="M608" s="19" t="s">
        <v>62</v>
      </c>
      <c r="N608" s="20" t="s">
        <v>63</v>
      </c>
      <c r="O608" s="19">
        <v>21</v>
      </c>
      <c r="P608" s="19">
        <v>3.73</v>
      </c>
      <c r="Q608" s="19">
        <v>1</v>
      </c>
      <c r="R608" s="20">
        <v>8</v>
      </c>
      <c r="S608" s="19">
        <v>6.6000000000000003E-2</v>
      </c>
      <c r="T608" s="19" t="s">
        <v>64</v>
      </c>
      <c r="U608" s="19" t="s">
        <v>65</v>
      </c>
      <c r="V608" s="19" t="s">
        <v>66</v>
      </c>
      <c r="W608" s="19" t="s">
        <v>67</v>
      </c>
      <c r="X608" s="19" t="s">
        <v>68</v>
      </c>
      <c r="Y608" s="21" t="s">
        <v>711</v>
      </c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2"/>
      <c r="AK608" s="22"/>
      <c r="AL608" s="21" t="str">
        <f>_xlfn.XLOOKUP(A:A,[1]TAGS!$A:$A,[1]TAGS!$BG:$BG)</f>
        <v>Não Montado</v>
      </c>
      <c r="AM608" s="21" t="s">
        <v>70</v>
      </c>
      <c r="AN608" s="22"/>
      <c r="AO608" s="21" t="str">
        <f>_xlfn.XLOOKUP(A:A,[1]TAGS!$A:$A,[1]TAGS!$BG:$BG)</f>
        <v>Não Montado</v>
      </c>
      <c r="AP608" s="21"/>
      <c r="AQ608" s="21"/>
      <c r="AR608" s="21"/>
      <c r="AS608" s="21"/>
      <c r="AT608" s="21"/>
      <c r="AU608" s="21"/>
    </row>
    <row r="609" spans="1:47" x14ac:dyDescent="0.35">
      <c r="A609" s="19" t="s">
        <v>2145</v>
      </c>
      <c r="B609" s="19" t="s">
        <v>52</v>
      </c>
      <c r="C609" s="19"/>
      <c r="D609" s="19" t="s">
        <v>53</v>
      </c>
      <c r="E609" s="19" t="s">
        <v>460</v>
      </c>
      <c r="F609" s="20" t="s">
        <v>370</v>
      </c>
      <c r="G609" s="20" t="s">
        <v>371</v>
      </c>
      <c r="H609" s="19" t="s">
        <v>2146</v>
      </c>
      <c r="I609" s="20" t="s">
        <v>58</v>
      </c>
      <c r="J609" s="20" t="s">
        <v>373</v>
      </c>
      <c r="K609" s="20" t="s">
        <v>2147</v>
      </c>
      <c r="L609" s="19" t="s">
        <v>61</v>
      </c>
      <c r="M609" s="19" t="s">
        <v>62</v>
      </c>
      <c r="N609" s="19" t="s">
        <v>683</v>
      </c>
      <c r="O609" s="19">
        <v>21</v>
      </c>
      <c r="P609" s="19">
        <v>3.73</v>
      </c>
      <c r="Q609" s="19">
        <v>1</v>
      </c>
      <c r="R609" s="20">
        <v>8</v>
      </c>
      <c r="S609" s="19">
        <v>6.6000000000000003E-2</v>
      </c>
      <c r="T609" s="19" t="s">
        <v>64</v>
      </c>
      <c r="U609" s="19" t="s">
        <v>65</v>
      </c>
      <c r="V609" s="19" t="s">
        <v>66</v>
      </c>
      <c r="W609" s="19" t="s">
        <v>67</v>
      </c>
      <c r="X609" s="19" t="s">
        <v>68</v>
      </c>
      <c r="Y609" s="21" t="s">
        <v>623</v>
      </c>
      <c r="Z609" s="21" t="s">
        <v>2148</v>
      </c>
      <c r="AA609" s="21" t="s">
        <v>692</v>
      </c>
      <c r="AB609" s="21">
        <v>1</v>
      </c>
      <c r="AC609" s="21"/>
      <c r="AD609" s="21"/>
      <c r="AE609" s="21"/>
      <c r="AF609" s="21"/>
      <c r="AG609" s="21" t="s">
        <v>2145</v>
      </c>
      <c r="AH609" s="21"/>
      <c r="AI609" s="21"/>
      <c r="AJ609" s="22"/>
      <c r="AK609" s="22"/>
      <c r="AL609" s="21" t="str">
        <f>_xlfn.XLOOKUP(A:A,[1]TAGS!$A:$A,[1]TAGS!$BG:$BG)</f>
        <v>Não Montado</v>
      </c>
      <c r="AM609" s="21" t="s">
        <v>70</v>
      </c>
      <c r="AN609" s="22"/>
      <c r="AO609" s="21" t="str">
        <f>_xlfn.XLOOKUP(A:A,[1]TAGS!$A:$A,[1]TAGS!$BG:$BG)</f>
        <v>Não Montado</v>
      </c>
      <c r="AP609" s="21"/>
      <c r="AQ609" s="21"/>
      <c r="AR609" s="21"/>
      <c r="AS609" s="21"/>
      <c r="AT609" s="21"/>
      <c r="AU609" s="21"/>
    </row>
    <row r="610" spans="1:47" x14ac:dyDescent="0.35">
      <c r="A610" s="19" t="s">
        <v>2149</v>
      </c>
      <c r="B610" s="19" t="s">
        <v>52</v>
      </c>
      <c r="C610" s="19"/>
      <c r="D610" s="19" t="s">
        <v>53</v>
      </c>
      <c r="E610" s="19" t="s">
        <v>460</v>
      </c>
      <c r="F610" s="20" t="s">
        <v>370</v>
      </c>
      <c r="G610" s="20" t="s">
        <v>371</v>
      </c>
      <c r="H610" s="19" t="s">
        <v>2150</v>
      </c>
      <c r="I610" s="20" t="s">
        <v>58</v>
      </c>
      <c r="J610" s="20" t="s">
        <v>373</v>
      </c>
      <c r="K610" s="20" t="s">
        <v>2151</v>
      </c>
      <c r="L610" s="19" t="s">
        <v>61</v>
      </c>
      <c r="M610" s="19" t="s">
        <v>62</v>
      </c>
      <c r="N610" s="19" t="s">
        <v>683</v>
      </c>
      <c r="O610" s="19">
        <v>21</v>
      </c>
      <c r="P610" s="19">
        <v>3.73</v>
      </c>
      <c r="Q610" s="19">
        <v>1</v>
      </c>
      <c r="R610" s="20">
        <v>8</v>
      </c>
      <c r="S610" s="19">
        <v>6.6000000000000003E-2</v>
      </c>
      <c r="T610" s="19" t="s">
        <v>64</v>
      </c>
      <c r="U610" s="19" t="s">
        <v>65</v>
      </c>
      <c r="V610" s="19" t="s">
        <v>66</v>
      </c>
      <c r="W610" s="19" t="s">
        <v>67</v>
      </c>
      <c r="X610" s="19" t="s">
        <v>68</v>
      </c>
      <c r="Y610" s="21" t="s">
        <v>623</v>
      </c>
      <c r="Z610" s="21" t="s">
        <v>2148</v>
      </c>
      <c r="AA610" s="21" t="s">
        <v>625</v>
      </c>
      <c r="AB610" s="21">
        <v>1</v>
      </c>
      <c r="AC610" s="21"/>
      <c r="AD610" s="21"/>
      <c r="AE610" s="21"/>
      <c r="AF610" s="21"/>
      <c r="AG610" s="21" t="s">
        <v>2149</v>
      </c>
      <c r="AH610" s="21"/>
      <c r="AI610" s="21"/>
      <c r="AJ610" s="22"/>
      <c r="AK610" s="22"/>
      <c r="AL610" s="21" t="str">
        <f>_xlfn.XLOOKUP(A:A,[1]TAGS!$A:$A,[1]TAGS!$BG:$BG)</f>
        <v>Não Montado</v>
      </c>
      <c r="AM610" s="21" t="s">
        <v>70</v>
      </c>
      <c r="AN610" s="22"/>
      <c r="AO610" s="21" t="str">
        <f>_xlfn.XLOOKUP(A:A,[1]TAGS!$A:$A,[1]TAGS!$BG:$BG)</f>
        <v>Não Montado</v>
      </c>
      <c r="AP610" s="21"/>
      <c r="AQ610" s="21"/>
      <c r="AR610" s="21"/>
      <c r="AS610" s="21"/>
      <c r="AT610" s="21"/>
      <c r="AU610" s="21"/>
    </row>
    <row r="611" spans="1:47" x14ac:dyDescent="0.35">
      <c r="A611" s="19" t="s">
        <v>2152</v>
      </c>
      <c r="B611" s="19" t="s">
        <v>52</v>
      </c>
      <c r="C611" s="19"/>
      <c r="D611" s="19" t="s">
        <v>53</v>
      </c>
      <c r="E611" s="19" t="s">
        <v>460</v>
      </c>
      <c r="F611" s="20" t="s">
        <v>370</v>
      </c>
      <c r="G611" s="20" t="s">
        <v>371</v>
      </c>
      <c r="H611" s="19" t="s">
        <v>2153</v>
      </c>
      <c r="I611" s="20" t="s">
        <v>58</v>
      </c>
      <c r="J611" s="20" t="s">
        <v>373</v>
      </c>
      <c r="K611" s="20" t="s">
        <v>2154</v>
      </c>
      <c r="L611" s="19" t="s">
        <v>61</v>
      </c>
      <c r="M611" s="19" t="s">
        <v>62</v>
      </c>
      <c r="N611" s="19" t="s">
        <v>683</v>
      </c>
      <c r="O611" s="19">
        <v>21</v>
      </c>
      <c r="P611" s="19">
        <v>3.73</v>
      </c>
      <c r="Q611" s="19">
        <v>1</v>
      </c>
      <c r="R611" s="20">
        <v>8</v>
      </c>
      <c r="S611" s="19">
        <v>6.6000000000000003E-2</v>
      </c>
      <c r="T611" s="19" t="s">
        <v>64</v>
      </c>
      <c r="U611" s="19" t="s">
        <v>65</v>
      </c>
      <c r="V611" s="19" t="s">
        <v>66</v>
      </c>
      <c r="W611" s="19" t="s">
        <v>67</v>
      </c>
      <c r="X611" s="19" t="s">
        <v>68</v>
      </c>
      <c r="Y611" s="21" t="s">
        <v>711</v>
      </c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2"/>
      <c r="AK611" s="22"/>
      <c r="AL611" s="21" t="str">
        <f>_xlfn.XLOOKUP(A:A,[1]TAGS!$A:$A,[1]TAGS!$BG:$BG)</f>
        <v>Não Montado</v>
      </c>
      <c r="AM611" s="21" t="s">
        <v>70</v>
      </c>
      <c r="AN611" s="22"/>
      <c r="AO611" s="21" t="str">
        <f>_xlfn.XLOOKUP(A:A,[1]TAGS!$A:$A,[1]TAGS!$BG:$BG)</f>
        <v>Não Montado</v>
      </c>
      <c r="AP611" s="21"/>
      <c r="AQ611" s="21"/>
      <c r="AR611" s="21"/>
      <c r="AS611" s="21"/>
      <c r="AT611" s="21"/>
      <c r="AU611" s="21" t="s">
        <v>2155</v>
      </c>
    </row>
    <row r="612" spans="1:47" x14ac:dyDescent="0.35">
      <c r="A612" s="19" t="s">
        <v>2156</v>
      </c>
      <c r="B612" s="19" t="s">
        <v>52</v>
      </c>
      <c r="C612" s="19"/>
      <c r="D612" s="19" t="s">
        <v>53</v>
      </c>
      <c r="E612" s="19" t="s">
        <v>460</v>
      </c>
      <c r="F612" s="20" t="s">
        <v>370</v>
      </c>
      <c r="G612" s="20" t="s">
        <v>371</v>
      </c>
      <c r="H612" s="19" t="s">
        <v>2157</v>
      </c>
      <c r="I612" s="20" t="s">
        <v>58</v>
      </c>
      <c r="J612" s="20" t="s">
        <v>373</v>
      </c>
      <c r="K612" s="20" t="s">
        <v>2158</v>
      </c>
      <c r="L612" s="19" t="s">
        <v>61</v>
      </c>
      <c r="M612" s="19" t="s">
        <v>62</v>
      </c>
      <c r="N612" s="19" t="s">
        <v>683</v>
      </c>
      <c r="O612" s="19">
        <v>21</v>
      </c>
      <c r="P612" s="19">
        <v>3.73</v>
      </c>
      <c r="Q612" s="19">
        <v>1</v>
      </c>
      <c r="R612" s="20">
        <v>8</v>
      </c>
      <c r="S612" s="19">
        <v>6.6000000000000003E-2</v>
      </c>
      <c r="T612" s="19" t="s">
        <v>64</v>
      </c>
      <c r="U612" s="19" t="s">
        <v>65</v>
      </c>
      <c r="V612" s="19" t="s">
        <v>66</v>
      </c>
      <c r="W612" s="19" t="s">
        <v>67</v>
      </c>
      <c r="X612" s="19" t="s">
        <v>68</v>
      </c>
      <c r="Y612" s="21" t="s">
        <v>711</v>
      </c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2"/>
      <c r="AK612" s="22"/>
      <c r="AL612" s="21" t="str">
        <f>_xlfn.XLOOKUP(A:A,[1]TAGS!$A:$A,[1]TAGS!$BG:$BG)</f>
        <v>Não Montado</v>
      </c>
      <c r="AM612" s="21" t="s">
        <v>70</v>
      </c>
      <c r="AN612" s="22"/>
      <c r="AO612" s="21" t="str">
        <f>_xlfn.XLOOKUP(A:A,[1]TAGS!$A:$A,[1]TAGS!$BG:$BG)</f>
        <v>Não Montado</v>
      </c>
      <c r="AP612" s="21"/>
      <c r="AQ612" s="21"/>
      <c r="AR612" s="21"/>
      <c r="AS612" s="21"/>
      <c r="AT612" s="21"/>
      <c r="AU612" s="21" t="s">
        <v>2155</v>
      </c>
    </row>
    <row r="613" spans="1:47" x14ac:dyDescent="0.35">
      <c r="A613" s="19" t="s">
        <v>2159</v>
      </c>
      <c r="B613" s="19" t="s">
        <v>52</v>
      </c>
      <c r="C613" s="19"/>
      <c r="D613" s="19" t="s">
        <v>53</v>
      </c>
      <c r="E613" s="19" t="s">
        <v>460</v>
      </c>
      <c r="F613" s="20" t="s">
        <v>706</v>
      </c>
      <c r="G613" s="20" t="s">
        <v>707</v>
      </c>
      <c r="H613" s="19" t="s">
        <v>2160</v>
      </c>
      <c r="I613" s="20" t="s">
        <v>124</v>
      </c>
      <c r="J613" s="20" t="s">
        <v>709</v>
      </c>
      <c r="K613" s="20" t="s">
        <v>2161</v>
      </c>
      <c r="L613" s="19" t="s">
        <v>61</v>
      </c>
      <c r="M613" s="19" t="s">
        <v>62</v>
      </c>
      <c r="N613" s="19" t="s">
        <v>683</v>
      </c>
      <c r="O613" s="19">
        <v>21</v>
      </c>
      <c r="P613" s="19">
        <v>3.73</v>
      </c>
      <c r="Q613" s="19">
        <v>1</v>
      </c>
      <c r="R613" s="20">
        <v>8</v>
      </c>
      <c r="S613" s="19">
        <v>6.6000000000000003E-2</v>
      </c>
      <c r="T613" s="19" t="s">
        <v>64</v>
      </c>
      <c r="U613" s="19" t="s">
        <v>65</v>
      </c>
      <c r="V613" s="19" t="s">
        <v>66</v>
      </c>
      <c r="W613" s="19" t="s">
        <v>67</v>
      </c>
      <c r="X613" s="19" t="s">
        <v>68</v>
      </c>
      <c r="Y613" s="21" t="s">
        <v>623</v>
      </c>
      <c r="Z613" s="21" t="s">
        <v>2148</v>
      </c>
      <c r="AA613" s="21" t="s">
        <v>625</v>
      </c>
      <c r="AB613" s="21">
        <v>3</v>
      </c>
      <c r="AC613" s="21"/>
      <c r="AD613" s="21"/>
      <c r="AE613" s="21"/>
      <c r="AF613" s="21"/>
      <c r="AG613" s="21" t="s">
        <v>2159</v>
      </c>
      <c r="AH613" s="21"/>
      <c r="AI613" s="21"/>
      <c r="AJ613" s="22"/>
      <c r="AK613" s="22"/>
      <c r="AL613" s="21" t="str">
        <f>_xlfn.XLOOKUP(A:A,[1]TAGS!$A:$A,[1]TAGS!$BG:$BG)</f>
        <v>Não Montado</v>
      </c>
      <c r="AM613" s="21" t="s">
        <v>70</v>
      </c>
      <c r="AN613" s="22"/>
      <c r="AO613" s="21" t="str">
        <f>_xlfn.XLOOKUP(A:A,[1]TAGS!$A:$A,[1]TAGS!$BG:$BG)</f>
        <v>Não Montado</v>
      </c>
      <c r="AP613" s="21"/>
      <c r="AQ613" s="21"/>
      <c r="AR613" s="21"/>
      <c r="AS613" s="21"/>
      <c r="AT613" s="21"/>
      <c r="AU613" s="21"/>
    </row>
    <row r="614" spans="1:47" x14ac:dyDescent="0.35">
      <c r="A614" s="19" t="s">
        <v>2162</v>
      </c>
      <c r="B614" s="19" t="s">
        <v>52</v>
      </c>
      <c r="C614" s="19"/>
      <c r="D614" s="19" t="s">
        <v>53</v>
      </c>
      <c r="E614" s="19" t="s">
        <v>460</v>
      </c>
      <c r="F614" s="20" t="s">
        <v>706</v>
      </c>
      <c r="G614" s="20" t="s">
        <v>707</v>
      </c>
      <c r="H614" s="19" t="s">
        <v>2163</v>
      </c>
      <c r="I614" s="20" t="s">
        <v>124</v>
      </c>
      <c r="J614" s="20" t="s">
        <v>709</v>
      </c>
      <c r="K614" s="20" t="s">
        <v>2164</v>
      </c>
      <c r="L614" s="19" t="s">
        <v>61</v>
      </c>
      <c r="M614" s="19" t="s">
        <v>62</v>
      </c>
      <c r="N614" s="19" t="s">
        <v>683</v>
      </c>
      <c r="O614" s="19">
        <v>21</v>
      </c>
      <c r="P614" s="19">
        <v>3.73</v>
      </c>
      <c r="Q614" s="19">
        <v>1</v>
      </c>
      <c r="R614" s="20">
        <v>8</v>
      </c>
      <c r="S614" s="19">
        <v>6.6000000000000003E-2</v>
      </c>
      <c r="T614" s="19" t="s">
        <v>64</v>
      </c>
      <c r="U614" s="19" t="s">
        <v>65</v>
      </c>
      <c r="V614" s="19" t="s">
        <v>66</v>
      </c>
      <c r="W614" s="19" t="s">
        <v>67</v>
      </c>
      <c r="X614" s="19" t="s">
        <v>68</v>
      </c>
      <c r="Y614" s="21" t="s">
        <v>711</v>
      </c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2"/>
      <c r="AK614" s="22"/>
      <c r="AL614" s="21" t="str">
        <f>_xlfn.XLOOKUP(A:A,[1]TAGS!$A:$A,[1]TAGS!$BG:$BG)</f>
        <v>Não Montado</v>
      </c>
      <c r="AM614" s="21" t="s">
        <v>70</v>
      </c>
      <c r="AN614" s="22"/>
      <c r="AO614" s="21" t="str">
        <f>_xlfn.XLOOKUP(A:A,[1]TAGS!$A:$A,[1]TAGS!$BG:$BG)</f>
        <v>Não Montado</v>
      </c>
      <c r="AP614" s="21"/>
      <c r="AQ614" s="21"/>
      <c r="AR614" s="21"/>
      <c r="AS614" s="21"/>
      <c r="AT614" s="21"/>
      <c r="AU614" s="21"/>
    </row>
    <row r="615" spans="1:47" x14ac:dyDescent="0.35">
      <c r="A615" s="19" t="s">
        <v>2165</v>
      </c>
      <c r="B615" s="19" t="s">
        <v>52</v>
      </c>
      <c r="C615" s="19"/>
      <c r="D615" s="19" t="s">
        <v>53</v>
      </c>
      <c r="E615" s="19" t="s">
        <v>460</v>
      </c>
      <c r="F615" s="20" t="s">
        <v>55</v>
      </c>
      <c r="G615" s="20" t="s">
        <v>75</v>
      </c>
      <c r="H615" s="19" t="s">
        <v>2166</v>
      </c>
      <c r="I615" s="20" t="s">
        <v>58</v>
      </c>
      <c r="J615" s="20" t="s">
        <v>77</v>
      </c>
      <c r="K615" s="20" t="s">
        <v>2167</v>
      </c>
      <c r="L615" s="19" t="s">
        <v>61</v>
      </c>
      <c r="M615" s="19" t="s">
        <v>62</v>
      </c>
      <c r="N615" s="20" t="s">
        <v>63</v>
      </c>
      <c r="O615" s="19">
        <v>21</v>
      </c>
      <c r="P615" s="19">
        <v>3.73</v>
      </c>
      <c r="Q615" s="19">
        <v>1</v>
      </c>
      <c r="R615" s="20">
        <v>8</v>
      </c>
      <c r="S615" s="19">
        <v>6.6000000000000003E-2</v>
      </c>
      <c r="T615" s="19" t="s">
        <v>64</v>
      </c>
      <c r="U615" s="19" t="s">
        <v>65</v>
      </c>
      <c r="V615" s="19" t="s">
        <v>66</v>
      </c>
      <c r="W615" s="19" t="s">
        <v>67</v>
      </c>
      <c r="X615" s="19" t="s">
        <v>68</v>
      </c>
      <c r="Y615" s="21" t="s">
        <v>711</v>
      </c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2"/>
      <c r="AK615" s="22"/>
      <c r="AL615" s="21" t="str">
        <f>_xlfn.XLOOKUP(A:A,[1]TAGS!$A:$A,[1]TAGS!$BG:$BG)</f>
        <v>Não Montado</v>
      </c>
      <c r="AM615" s="21" t="s">
        <v>70</v>
      </c>
      <c r="AN615" s="22"/>
      <c r="AO615" s="21" t="str">
        <f>_xlfn.XLOOKUP(A:A,[1]TAGS!$A:$A,[1]TAGS!$BG:$BG)</f>
        <v>Não Montado</v>
      </c>
      <c r="AP615" s="21"/>
      <c r="AQ615" s="21"/>
      <c r="AR615" s="21"/>
      <c r="AS615" s="21"/>
      <c r="AT615" s="21"/>
      <c r="AU615" s="21"/>
    </row>
    <row r="616" spans="1:47" x14ac:dyDescent="0.35">
      <c r="A616" s="19" t="s">
        <v>2168</v>
      </c>
      <c r="B616" s="19" t="s">
        <v>52</v>
      </c>
      <c r="C616" s="19"/>
      <c r="D616" s="19" t="s">
        <v>53</v>
      </c>
      <c r="E616" s="19" t="s">
        <v>460</v>
      </c>
      <c r="F616" s="20" t="s">
        <v>370</v>
      </c>
      <c r="G616" s="20" t="s">
        <v>371</v>
      </c>
      <c r="H616" s="19" t="s">
        <v>2169</v>
      </c>
      <c r="I616" s="20" t="s">
        <v>58</v>
      </c>
      <c r="J616" s="20" t="s">
        <v>373</v>
      </c>
      <c r="K616" s="20" t="s">
        <v>2170</v>
      </c>
      <c r="L616" s="19" t="s">
        <v>61</v>
      </c>
      <c r="M616" s="19" t="s">
        <v>62</v>
      </c>
      <c r="N616" s="20" t="s">
        <v>63</v>
      </c>
      <c r="O616" s="19">
        <v>21</v>
      </c>
      <c r="P616" s="19">
        <v>3.73</v>
      </c>
      <c r="Q616" s="19">
        <v>1</v>
      </c>
      <c r="R616" s="20">
        <v>8</v>
      </c>
      <c r="S616" s="19">
        <v>6.6000000000000003E-2</v>
      </c>
      <c r="T616" s="19" t="s">
        <v>64</v>
      </c>
      <c r="U616" s="19" t="s">
        <v>65</v>
      </c>
      <c r="V616" s="19" t="s">
        <v>66</v>
      </c>
      <c r="W616" s="19" t="s">
        <v>67</v>
      </c>
      <c r="X616" s="19" t="s">
        <v>68</v>
      </c>
      <c r="Y616" s="21" t="s">
        <v>623</v>
      </c>
      <c r="Z616" s="21" t="s">
        <v>629</v>
      </c>
      <c r="AA616" s="21" t="s">
        <v>625</v>
      </c>
      <c r="AB616" s="21">
        <v>2</v>
      </c>
      <c r="AC616" s="21"/>
      <c r="AD616" s="21"/>
      <c r="AE616" s="21"/>
      <c r="AF616" s="21"/>
      <c r="AG616" s="21" t="s">
        <v>2168</v>
      </c>
      <c r="AH616" s="21"/>
      <c r="AI616" s="21"/>
      <c r="AJ616" s="22"/>
      <c r="AK616" s="22"/>
      <c r="AL616" s="21" t="str">
        <f>_xlfn.XLOOKUP(A:A,[1]TAGS!$A:$A,[1]TAGS!$BG:$BG)</f>
        <v>Não Montado</v>
      </c>
      <c r="AM616" s="21" t="s">
        <v>70</v>
      </c>
      <c r="AN616" s="22"/>
      <c r="AO616" s="21" t="str">
        <f>_xlfn.XLOOKUP(A:A,[1]TAGS!$A:$A,[1]TAGS!$BG:$BG)</f>
        <v>Não Montado</v>
      </c>
      <c r="AP616" s="21"/>
      <c r="AQ616" s="21"/>
      <c r="AR616" s="21"/>
      <c r="AS616" s="21"/>
      <c r="AT616" s="21"/>
      <c r="AU616" s="21"/>
    </row>
    <row r="617" spans="1:47" x14ac:dyDescent="0.35">
      <c r="A617" s="19" t="s">
        <v>2171</v>
      </c>
      <c r="B617" s="19" t="s">
        <v>52</v>
      </c>
      <c r="C617" s="19"/>
      <c r="D617" s="19" t="s">
        <v>53</v>
      </c>
      <c r="E617" s="19" t="s">
        <v>460</v>
      </c>
      <c r="F617" s="20" t="s">
        <v>370</v>
      </c>
      <c r="G617" s="20" t="s">
        <v>371</v>
      </c>
      <c r="H617" s="19" t="s">
        <v>2172</v>
      </c>
      <c r="I617" s="20" t="s">
        <v>58</v>
      </c>
      <c r="J617" s="20" t="s">
        <v>373</v>
      </c>
      <c r="K617" s="20" t="s">
        <v>2173</v>
      </c>
      <c r="L617" s="19" t="s">
        <v>61</v>
      </c>
      <c r="M617" s="19" t="s">
        <v>62</v>
      </c>
      <c r="N617" s="19" t="s">
        <v>683</v>
      </c>
      <c r="O617" s="19">
        <v>21</v>
      </c>
      <c r="P617" s="19">
        <v>3.73</v>
      </c>
      <c r="Q617" s="19">
        <v>1</v>
      </c>
      <c r="R617" s="20">
        <v>8</v>
      </c>
      <c r="S617" s="19">
        <v>6.6000000000000003E-2</v>
      </c>
      <c r="T617" s="19" t="s">
        <v>64</v>
      </c>
      <c r="U617" s="19" t="s">
        <v>65</v>
      </c>
      <c r="V617" s="19" t="s">
        <v>66</v>
      </c>
      <c r="W617" s="19" t="s">
        <v>67</v>
      </c>
      <c r="X617" s="19" t="s">
        <v>68</v>
      </c>
      <c r="Y617" s="21" t="s">
        <v>711</v>
      </c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2"/>
      <c r="AK617" s="22"/>
      <c r="AL617" s="21" t="str">
        <f>_xlfn.XLOOKUP(A:A,[1]TAGS!$A:$A,[1]TAGS!$BG:$BG)</f>
        <v>Não Montado</v>
      </c>
      <c r="AM617" s="21" t="s">
        <v>70</v>
      </c>
      <c r="AN617" s="22"/>
      <c r="AO617" s="21" t="str">
        <f>_xlfn.XLOOKUP(A:A,[1]TAGS!$A:$A,[1]TAGS!$BG:$BG)</f>
        <v>Não Montado</v>
      </c>
      <c r="AP617" s="21"/>
      <c r="AQ617" s="21"/>
      <c r="AR617" s="21"/>
      <c r="AS617" s="21"/>
      <c r="AT617" s="21"/>
      <c r="AU617" s="21" t="s">
        <v>2174</v>
      </c>
    </row>
    <row r="618" spans="1:47" x14ac:dyDescent="0.35">
      <c r="A618" s="19" t="s">
        <v>2175</v>
      </c>
      <c r="B618" s="19" t="s">
        <v>52</v>
      </c>
      <c r="C618" s="19"/>
      <c r="D618" s="19" t="s">
        <v>53</v>
      </c>
      <c r="E618" s="19" t="s">
        <v>460</v>
      </c>
      <c r="F618" s="20" t="s">
        <v>370</v>
      </c>
      <c r="G618" s="20" t="s">
        <v>371</v>
      </c>
      <c r="H618" s="19" t="s">
        <v>2176</v>
      </c>
      <c r="I618" s="20" t="s">
        <v>58</v>
      </c>
      <c r="J618" s="20" t="s">
        <v>373</v>
      </c>
      <c r="K618" s="20" t="s">
        <v>2177</v>
      </c>
      <c r="L618" s="19" t="s">
        <v>61</v>
      </c>
      <c r="M618" s="19" t="s">
        <v>62</v>
      </c>
      <c r="N618" s="19" t="s">
        <v>683</v>
      </c>
      <c r="O618" s="19">
        <v>21</v>
      </c>
      <c r="P618" s="19">
        <v>3.73</v>
      </c>
      <c r="Q618" s="19">
        <v>1</v>
      </c>
      <c r="R618" s="20">
        <v>8</v>
      </c>
      <c r="S618" s="19">
        <v>6.6000000000000003E-2</v>
      </c>
      <c r="T618" s="19" t="s">
        <v>64</v>
      </c>
      <c r="U618" s="19" t="s">
        <v>65</v>
      </c>
      <c r="V618" s="19" t="s">
        <v>66</v>
      </c>
      <c r="W618" s="19" t="s">
        <v>67</v>
      </c>
      <c r="X618" s="19" t="s">
        <v>68</v>
      </c>
      <c r="Y618" s="21" t="s">
        <v>711</v>
      </c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2"/>
      <c r="AK618" s="22"/>
      <c r="AL618" s="21" t="str">
        <f>_xlfn.XLOOKUP(A:A,[1]TAGS!$A:$A,[1]TAGS!$BG:$BG)</f>
        <v>Não Montado</v>
      </c>
      <c r="AM618" s="21" t="s">
        <v>70</v>
      </c>
      <c r="AN618" s="22"/>
      <c r="AO618" s="21" t="str">
        <f>_xlfn.XLOOKUP(A:A,[1]TAGS!$A:$A,[1]TAGS!$BG:$BG)</f>
        <v>Não Montado</v>
      </c>
      <c r="AP618" s="21"/>
      <c r="AQ618" s="21"/>
      <c r="AR618" s="21"/>
      <c r="AS618" s="21"/>
      <c r="AT618" s="21"/>
      <c r="AU618" s="21" t="s">
        <v>2174</v>
      </c>
    </row>
    <row r="619" spans="1:47" x14ac:dyDescent="0.35">
      <c r="A619" s="19" t="s">
        <v>2178</v>
      </c>
      <c r="B619" s="19" t="s">
        <v>52</v>
      </c>
      <c r="C619" s="19"/>
      <c r="D619" s="19" t="s">
        <v>53</v>
      </c>
      <c r="E619" s="19" t="s">
        <v>460</v>
      </c>
      <c r="F619" s="20" t="s">
        <v>706</v>
      </c>
      <c r="G619" s="20" t="s">
        <v>707</v>
      </c>
      <c r="H619" s="19" t="s">
        <v>2179</v>
      </c>
      <c r="I619" s="20" t="s">
        <v>124</v>
      </c>
      <c r="J619" s="20" t="s">
        <v>709</v>
      </c>
      <c r="K619" s="20" t="s">
        <v>2180</v>
      </c>
      <c r="L619" s="19" t="s">
        <v>61</v>
      </c>
      <c r="M619" s="19" t="s">
        <v>62</v>
      </c>
      <c r="N619" s="19" t="s">
        <v>683</v>
      </c>
      <c r="O619" s="19">
        <v>21</v>
      </c>
      <c r="P619" s="19">
        <v>3.73</v>
      </c>
      <c r="Q619" s="19">
        <v>1</v>
      </c>
      <c r="R619" s="20">
        <v>8</v>
      </c>
      <c r="S619" s="19">
        <v>6.6000000000000003E-2</v>
      </c>
      <c r="T619" s="19" t="s">
        <v>64</v>
      </c>
      <c r="U619" s="19" t="s">
        <v>65</v>
      </c>
      <c r="V619" s="19" t="s">
        <v>66</v>
      </c>
      <c r="W619" s="19" t="s">
        <v>67</v>
      </c>
      <c r="X619" s="19" t="s">
        <v>68</v>
      </c>
      <c r="Y619" s="21" t="s">
        <v>623</v>
      </c>
      <c r="Z619" s="21" t="s">
        <v>721</v>
      </c>
      <c r="AA619" s="21" t="s">
        <v>692</v>
      </c>
      <c r="AB619" s="21">
        <v>1</v>
      </c>
      <c r="AC619" s="21"/>
      <c r="AD619" s="21"/>
      <c r="AE619" s="21"/>
      <c r="AF619" s="21"/>
      <c r="AG619" s="21" t="s">
        <v>2178</v>
      </c>
      <c r="AH619" s="21"/>
      <c r="AI619" s="21"/>
      <c r="AJ619" s="22"/>
      <c r="AK619" s="22"/>
      <c r="AL619" s="21" t="str">
        <f>_xlfn.XLOOKUP(A:A,[1]TAGS!$A:$A,[1]TAGS!$BG:$BG)</f>
        <v>Não Montado</v>
      </c>
      <c r="AM619" s="21" t="s">
        <v>70</v>
      </c>
      <c r="AN619" s="22"/>
      <c r="AO619" s="21" t="str">
        <f>_xlfn.XLOOKUP(A:A,[1]TAGS!$A:$A,[1]TAGS!$BG:$BG)</f>
        <v>Não Montado</v>
      </c>
      <c r="AP619" s="21"/>
      <c r="AQ619" s="21"/>
      <c r="AR619" s="21"/>
      <c r="AS619" s="21"/>
      <c r="AT619" s="21"/>
      <c r="AU619" s="21"/>
    </row>
    <row r="620" spans="1:47" x14ac:dyDescent="0.35">
      <c r="A620" s="19" t="s">
        <v>2181</v>
      </c>
      <c r="B620" s="19" t="s">
        <v>52</v>
      </c>
      <c r="C620" s="19"/>
      <c r="D620" s="19" t="s">
        <v>53</v>
      </c>
      <c r="E620" s="19" t="s">
        <v>460</v>
      </c>
      <c r="F620" s="20" t="s">
        <v>300</v>
      </c>
      <c r="G620" s="20" t="s">
        <v>301</v>
      </c>
      <c r="H620" s="19" t="s">
        <v>2182</v>
      </c>
      <c r="I620" s="20" t="s">
        <v>58</v>
      </c>
      <c r="J620" s="20" t="s">
        <v>303</v>
      </c>
      <c r="K620" s="20" t="s">
        <v>2183</v>
      </c>
      <c r="L620" s="19" t="s">
        <v>61</v>
      </c>
      <c r="M620" s="19" t="s">
        <v>62</v>
      </c>
      <c r="N620" s="20" t="s">
        <v>63</v>
      </c>
      <c r="O620" s="19">
        <v>21</v>
      </c>
      <c r="P620" s="19">
        <v>3.73</v>
      </c>
      <c r="Q620" s="19">
        <v>1</v>
      </c>
      <c r="R620" s="20">
        <v>14</v>
      </c>
      <c r="S620" s="19">
        <v>6.6000000000000003E-2</v>
      </c>
      <c r="T620" s="19" t="s">
        <v>64</v>
      </c>
      <c r="U620" s="19" t="s">
        <v>65</v>
      </c>
      <c r="V620" s="19" t="s">
        <v>66</v>
      </c>
      <c r="W620" s="19" t="s">
        <v>67</v>
      </c>
      <c r="X620" s="19" t="s">
        <v>68</v>
      </c>
      <c r="Y620" s="21" t="s">
        <v>463</v>
      </c>
      <c r="Z620" s="21" t="s">
        <v>2126</v>
      </c>
      <c r="AA620" s="21"/>
      <c r="AB620" s="21">
        <v>4</v>
      </c>
      <c r="AC620" s="21">
        <v>98</v>
      </c>
      <c r="AD620" s="21">
        <v>8579327</v>
      </c>
      <c r="AE620" s="21">
        <v>11837370</v>
      </c>
      <c r="AF620" s="21">
        <v>100787</v>
      </c>
      <c r="AG620" s="21" t="s">
        <v>2181</v>
      </c>
      <c r="AH620" s="21"/>
      <c r="AI620" s="21"/>
      <c r="AJ620" s="22"/>
      <c r="AK620" s="22"/>
      <c r="AL620" s="21" t="str">
        <f>_xlfn.XLOOKUP(A:A,[1]TAGS!$A:$A,[1]TAGS!$BG:$BG)</f>
        <v>Não Montado</v>
      </c>
      <c r="AM620" s="21" t="s">
        <v>70</v>
      </c>
      <c r="AN620" s="22"/>
      <c r="AO620" s="21" t="str">
        <f>_xlfn.XLOOKUP(A:A,[1]TAGS!$A:$A,[1]TAGS!$BG:$BG)</f>
        <v>Não Montado</v>
      </c>
      <c r="AP620" s="21"/>
      <c r="AQ620" s="21"/>
      <c r="AR620" s="21"/>
      <c r="AS620" s="21"/>
      <c r="AT620" s="21"/>
      <c r="AU620" s="21"/>
    </row>
    <row r="621" spans="1:47" x14ac:dyDescent="0.35">
      <c r="A621" s="19" t="s">
        <v>2184</v>
      </c>
      <c r="B621" s="19" t="s">
        <v>52</v>
      </c>
      <c r="C621" s="19"/>
      <c r="D621" s="19" t="s">
        <v>53</v>
      </c>
      <c r="E621" s="19" t="s">
        <v>460</v>
      </c>
      <c r="F621" s="20" t="s">
        <v>300</v>
      </c>
      <c r="G621" s="20" t="s">
        <v>301</v>
      </c>
      <c r="H621" s="19" t="s">
        <v>2185</v>
      </c>
      <c r="I621" s="20" t="s">
        <v>58</v>
      </c>
      <c r="J621" s="20" t="s">
        <v>303</v>
      </c>
      <c r="K621" s="20" t="s">
        <v>2186</v>
      </c>
      <c r="L621" s="19" t="s">
        <v>61</v>
      </c>
      <c r="M621" s="19" t="s">
        <v>62</v>
      </c>
      <c r="N621" s="20" t="s">
        <v>63</v>
      </c>
      <c r="O621" s="19">
        <v>21</v>
      </c>
      <c r="P621" s="19">
        <v>3.73</v>
      </c>
      <c r="Q621" s="19">
        <v>1</v>
      </c>
      <c r="R621" s="20">
        <v>10</v>
      </c>
      <c r="S621" s="19">
        <v>6.6000000000000003E-2</v>
      </c>
      <c r="T621" s="19" t="s">
        <v>64</v>
      </c>
      <c r="U621" s="19" t="s">
        <v>65</v>
      </c>
      <c r="V621" s="19" t="s">
        <v>66</v>
      </c>
      <c r="W621" s="19" t="s">
        <v>67</v>
      </c>
      <c r="X621" s="19" t="s">
        <v>68</v>
      </c>
      <c r="Y621" s="21" t="s">
        <v>463</v>
      </c>
      <c r="Z621" s="21" t="s">
        <v>2126</v>
      </c>
      <c r="AA621" s="21"/>
      <c r="AB621" s="21">
        <v>5</v>
      </c>
      <c r="AC621" s="21">
        <v>99</v>
      </c>
      <c r="AD621" s="21">
        <v>8580027</v>
      </c>
      <c r="AE621" s="21">
        <v>11834940</v>
      </c>
      <c r="AF621" s="21">
        <v>100684</v>
      </c>
      <c r="AG621" s="21" t="s">
        <v>2184</v>
      </c>
      <c r="AH621" s="21"/>
      <c r="AI621" s="21"/>
      <c r="AJ621" s="22"/>
      <c r="AK621" s="22"/>
      <c r="AL621" s="21" t="str">
        <f>_xlfn.XLOOKUP(A:A,[1]TAGS!$A:$A,[1]TAGS!$BG:$BG)</f>
        <v>Não Montado</v>
      </c>
      <c r="AM621" s="21" t="s">
        <v>70</v>
      </c>
      <c r="AN621" s="22"/>
      <c r="AO621" s="21" t="str">
        <f>_xlfn.XLOOKUP(A:A,[1]TAGS!$A:$A,[1]TAGS!$BG:$BG)</f>
        <v>Não Montado</v>
      </c>
      <c r="AP621" s="21"/>
      <c r="AQ621" s="21"/>
      <c r="AR621" s="21"/>
      <c r="AS621" s="21"/>
      <c r="AT621" s="21"/>
      <c r="AU621" s="21"/>
    </row>
    <row r="622" spans="1:47" x14ac:dyDescent="0.35">
      <c r="A622" s="19" t="s">
        <v>2187</v>
      </c>
      <c r="B622" s="19" t="s">
        <v>52</v>
      </c>
      <c r="C622" s="19"/>
      <c r="D622" s="19" t="s">
        <v>53</v>
      </c>
      <c r="E622" s="19" t="s">
        <v>460</v>
      </c>
      <c r="F622" s="20" t="s">
        <v>300</v>
      </c>
      <c r="G622" s="20" t="s">
        <v>301</v>
      </c>
      <c r="H622" s="19" t="s">
        <v>2188</v>
      </c>
      <c r="I622" s="20" t="s">
        <v>58</v>
      </c>
      <c r="J622" s="20" t="s">
        <v>303</v>
      </c>
      <c r="K622" s="20" t="s">
        <v>2189</v>
      </c>
      <c r="L622" s="19" t="s">
        <v>61</v>
      </c>
      <c r="M622" s="19" t="s">
        <v>62</v>
      </c>
      <c r="N622" s="20" t="s">
        <v>63</v>
      </c>
      <c r="O622" s="19">
        <v>21</v>
      </c>
      <c r="P622" s="19">
        <v>3.73</v>
      </c>
      <c r="Q622" s="19">
        <v>1</v>
      </c>
      <c r="R622" s="20">
        <v>9</v>
      </c>
      <c r="S622" s="19">
        <v>6.6000000000000003E-2</v>
      </c>
      <c r="T622" s="19" t="s">
        <v>64</v>
      </c>
      <c r="U622" s="19" t="s">
        <v>65</v>
      </c>
      <c r="V622" s="19" t="s">
        <v>66</v>
      </c>
      <c r="W622" s="19" t="s">
        <v>67</v>
      </c>
      <c r="X622" s="19" t="s">
        <v>68</v>
      </c>
      <c r="Y622" s="21" t="s">
        <v>463</v>
      </c>
      <c r="Z622" s="21" t="s">
        <v>548</v>
      </c>
      <c r="AA622" s="21"/>
      <c r="AB622" s="21">
        <v>1</v>
      </c>
      <c r="AC622" s="21">
        <v>5</v>
      </c>
      <c r="AD622" s="21">
        <v>8613122</v>
      </c>
      <c r="AE622" s="21">
        <v>11812330</v>
      </c>
      <c r="AF622" s="21">
        <v>100450</v>
      </c>
      <c r="AG622" s="21" t="s">
        <v>2187</v>
      </c>
      <c r="AH622" s="21"/>
      <c r="AI622" s="21"/>
      <c r="AJ622" s="22"/>
      <c r="AK622" s="22"/>
      <c r="AL622" s="21" t="str">
        <f>_xlfn.XLOOKUP(A:A,[1]TAGS!$A:$A,[1]TAGS!$BG:$BG)</f>
        <v>Não Montado</v>
      </c>
      <c r="AM622" s="21" t="s">
        <v>70</v>
      </c>
      <c r="AN622" s="22"/>
      <c r="AO622" s="21" t="str">
        <f>_xlfn.XLOOKUP(A:A,[1]TAGS!$A:$A,[1]TAGS!$BG:$BG)</f>
        <v>Não Montado</v>
      </c>
      <c r="AP622" s="21"/>
      <c r="AQ622" s="21"/>
      <c r="AR622" s="21"/>
      <c r="AS622" s="21"/>
      <c r="AT622" s="21"/>
      <c r="AU622" s="21"/>
    </row>
    <row r="623" spans="1:47" x14ac:dyDescent="0.35">
      <c r="A623" s="19" t="s">
        <v>2190</v>
      </c>
      <c r="B623" s="19" t="s">
        <v>52</v>
      </c>
      <c r="C623" s="19"/>
      <c r="D623" s="19" t="s">
        <v>53</v>
      </c>
      <c r="E623" s="19" t="s">
        <v>460</v>
      </c>
      <c r="F623" s="20" t="s">
        <v>218</v>
      </c>
      <c r="G623" s="20" t="s">
        <v>219</v>
      </c>
      <c r="H623" s="19" t="s">
        <v>2191</v>
      </c>
      <c r="I623" s="20" t="s">
        <v>58</v>
      </c>
      <c r="J623" s="20" t="s">
        <v>221</v>
      </c>
      <c r="K623" s="20" t="s">
        <v>2192</v>
      </c>
      <c r="L623" s="19" t="s">
        <v>61</v>
      </c>
      <c r="M623" s="19" t="s">
        <v>62</v>
      </c>
      <c r="N623" s="20" t="s">
        <v>63</v>
      </c>
      <c r="O623" s="19">
        <v>21</v>
      </c>
      <c r="P623" s="19">
        <v>3.73</v>
      </c>
      <c r="Q623" s="19">
        <v>1</v>
      </c>
      <c r="R623" s="20">
        <v>13</v>
      </c>
      <c r="S623" s="19">
        <v>6.6000000000000003E-2</v>
      </c>
      <c r="T623" s="19" t="s">
        <v>64</v>
      </c>
      <c r="U623" s="19" t="s">
        <v>65</v>
      </c>
      <c r="V623" s="19" t="s">
        <v>66</v>
      </c>
      <c r="W623" s="19" t="s">
        <v>67</v>
      </c>
      <c r="X623" s="19" t="s">
        <v>68</v>
      </c>
      <c r="Y623" s="21" t="s">
        <v>463</v>
      </c>
      <c r="Z623" s="21" t="s">
        <v>2126</v>
      </c>
      <c r="AA623" s="21"/>
      <c r="AB623" s="21">
        <v>3</v>
      </c>
      <c r="AC623" s="21">
        <v>97</v>
      </c>
      <c r="AD623" s="21">
        <v>8577650</v>
      </c>
      <c r="AE623" s="21">
        <v>11845640</v>
      </c>
      <c r="AF623" s="21">
        <v>100762</v>
      </c>
      <c r="AG623" s="21" t="s">
        <v>2190</v>
      </c>
      <c r="AH623" s="21"/>
      <c r="AI623" s="21"/>
      <c r="AJ623" s="22"/>
      <c r="AK623" s="22"/>
      <c r="AL623" s="21" t="str">
        <f>_xlfn.XLOOKUP(A:A,[1]TAGS!$A:$A,[1]TAGS!$BG:$BG)</f>
        <v>Não Montado</v>
      </c>
      <c r="AM623" s="21" t="s">
        <v>70</v>
      </c>
      <c r="AN623" s="22"/>
      <c r="AO623" s="21" t="str">
        <f>_xlfn.XLOOKUP(A:A,[1]TAGS!$A:$A,[1]TAGS!$BG:$BG)</f>
        <v>Não Montado</v>
      </c>
      <c r="AP623" s="21"/>
      <c r="AQ623" s="21"/>
      <c r="AR623" s="21"/>
      <c r="AS623" s="21"/>
      <c r="AT623" s="21"/>
      <c r="AU623" s="21"/>
    </row>
    <row r="624" spans="1:47" x14ac:dyDescent="0.35">
      <c r="A624" s="19" t="s">
        <v>2193</v>
      </c>
      <c r="B624" s="19" t="s">
        <v>52</v>
      </c>
      <c r="C624" s="19"/>
      <c r="D624" s="19" t="s">
        <v>53</v>
      </c>
      <c r="E624" s="19" t="s">
        <v>460</v>
      </c>
      <c r="F624" s="20" t="s">
        <v>218</v>
      </c>
      <c r="G624" s="20" t="s">
        <v>219</v>
      </c>
      <c r="H624" s="19" t="s">
        <v>2194</v>
      </c>
      <c r="I624" s="20" t="s">
        <v>58</v>
      </c>
      <c r="J624" s="20" t="s">
        <v>221</v>
      </c>
      <c r="K624" s="20" t="s">
        <v>2195</v>
      </c>
      <c r="L624" s="19" t="s">
        <v>61</v>
      </c>
      <c r="M624" s="19" t="s">
        <v>62</v>
      </c>
      <c r="N624" s="20" t="s">
        <v>63</v>
      </c>
      <c r="O624" s="19">
        <v>21</v>
      </c>
      <c r="P624" s="19">
        <v>3.73</v>
      </c>
      <c r="Q624" s="19">
        <v>1</v>
      </c>
      <c r="R624" s="20">
        <v>11</v>
      </c>
      <c r="S624" s="19">
        <v>6.6000000000000003E-2</v>
      </c>
      <c r="T624" s="19" t="s">
        <v>64</v>
      </c>
      <c r="U624" s="19" t="s">
        <v>65</v>
      </c>
      <c r="V624" s="19" t="s">
        <v>66</v>
      </c>
      <c r="W624" s="19" t="s">
        <v>67</v>
      </c>
      <c r="X624" s="19" t="s">
        <v>68</v>
      </c>
      <c r="Y624" s="21" t="s">
        <v>463</v>
      </c>
      <c r="Z624" s="21" t="s">
        <v>2126</v>
      </c>
      <c r="AA624" s="21"/>
      <c r="AB624" s="21">
        <v>2</v>
      </c>
      <c r="AC624" s="21">
        <v>96</v>
      </c>
      <c r="AD624" s="21">
        <v>8580332</v>
      </c>
      <c r="AE624" s="21">
        <v>11846110</v>
      </c>
      <c r="AF624" s="21">
        <v>100684</v>
      </c>
      <c r="AG624" s="21" t="s">
        <v>2193</v>
      </c>
      <c r="AH624" s="21"/>
      <c r="AI624" s="21"/>
      <c r="AJ624" s="22"/>
      <c r="AK624" s="22"/>
      <c r="AL624" s="21" t="str">
        <f>_xlfn.XLOOKUP(A:A,[1]TAGS!$A:$A,[1]TAGS!$BG:$BG)</f>
        <v>Não Montado</v>
      </c>
      <c r="AM624" s="21" t="s">
        <v>70</v>
      </c>
      <c r="AN624" s="22"/>
      <c r="AO624" s="21" t="str">
        <f>_xlfn.XLOOKUP(A:A,[1]TAGS!$A:$A,[1]TAGS!$BG:$BG)</f>
        <v>Não Montado</v>
      </c>
      <c r="AP624" s="21"/>
      <c r="AQ624" s="21"/>
      <c r="AR624" s="21"/>
      <c r="AS624" s="21"/>
      <c r="AT624" s="21"/>
      <c r="AU624" s="21"/>
    </row>
    <row r="625" spans="1:47" x14ac:dyDescent="0.35">
      <c r="A625" s="19" t="s">
        <v>2852</v>
      </c>
      <c r="B625" s="19" t="s">
        <v>52</v>
      </c>
      <c r="C625" s="19"/>
      <c r="D625" s="19" t="s">
        <v>53</v>
      </c>
      <c r="E625" s="19" t="s">
        <v>460</v>
      </c>
      <c r="F625" s="20"/>
      <c r="G625" s="20"/>
      <c r="H625" s="19" t="s">
        <v>2196</v>
      </c>
      <c r="I625" s="20"/>
      <c r="J625" s="20"/>
      <c r="K625" s="20" t="s">
        <v>2197</v>
      </c>
      <c r="L625" s="19" t="s">
        <v>61</v>
      </c>
      <c r="M625" s="19" t="s">
        <v>62</v>
      </c>
      <c r="N625" s="20" t="s">
        <v>63</v>
      </c>
      <c r="O625" s="19">
        <v>21</v>
      </c>
      <c r="P625" s="19">
        <v>3.73</v>
      </c>
      <c r="Q625" s="19">
        <v>1</v>
      </c>
      <c r="R625" s="20">
        <v>8</v>
      </c>
      <c r="S625" s="19">
        <v>6.6000000000000003E-2</v>
      </c>
      <c r="T625" s="19" t="s">
        <v>64</v>
      </c>
      <c r="U625" s="19" t="s">
        <v>65</v>
      </c>
      <c r="V625" s="19" t="s">
        <v>66</v>
      </c>
      <c r="W625" s="19" t="s">
        <v>67</v>
      </c>
      <c r="X625" s="19" t="s">
        <v>68</v>
      </c>
      <c r="Y625" s="21" t="s">
        <v>711</v>
      </c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2"/>
      <c r="AK625" s="22"/>
      <c r="AL625" s="21" t="e">
        <f>_xlfn.XLOOKUP(A:A,[1]TAGS!$A:$A,[1]TAGS!$BG:$BG)</f>
        <v>#N/A</v>
      </c>
      <c r="AM625" s="21" t="s">
        <v>70</v>
      </c>
      <c r="AN625" s="22"/>
      <c r="AO625" s="21" t="e">
        <f>_xlfn.XLOOKUP(A:A,[1]TAGS!$A:$A,[1]TAGS!$BG:$BG)</f>
        <v>#N/A</v>
      </c>
      <c r="AP625" s="21"/>
      <c r="AQ625" s="21"/>
      <c r="AR625" s="21"/>
      <c r="AS625" s="21"/>
      <c r="AT625" s="21"/>
      <c r="AU625" s="21" t="s">
        <v>890</v>
      </c>
    </row>
    <row r="626" spans="1:47" x14ac:dyDescent="0.35">
      <c r="A626" s="19" t="s">
        <v>2198</v>
      </c>
      <c r="B626" s="19" t="s">
        <v>52</v>
      </c>
      <c r="C626" s="19"/>
      <c r="D626" s="19" t="s">
        <v>53</v>
      </c>
      <c r="E626" s="19" t="s">
        <v>460</v>
      </c>
      <c r="F626" s="20" t="s">
        <v>300</v>
      </c>
      <c r="G626" s="20" t="s">
        <v>301</v>
      </c>
      <c r="H626" s="19" t="s">
        <v>2199</v>
      </c>
      <c r="I626" s="20" t="s">
        <v>58</v>
      </c>
      <c r="J626" s="20" t="s">
        <v>303</v>
      </c>
      <c r="K626" s="20" t="s">
        <v>2200</v>
      </c>
      <c r="L626" s="19" t="s">
        <v>61</v>
      </c>
      <c r="M626" s="19" t="s">
        <v>62</v>
      </c>
      <c r="N626" s="20" t="s">
        <v>63</v>
      </c>
      <c r="O626" s="19">
        <v>21</v>
      </c>
      <c r="P626" s="19">
        <v>3.73</v>
      </c>
      <c r="Q626" s="19">
        <v>1</v>
      </c>
      <c r="R626" s="20">
        <v>10</v>
      </c>
      <c r="S626" s="19">
        <v>6.6000000000000003E-2</v>
      </c>
      <c r="T626" s="19" t="s">
        <v>64</v>
      </c>
      <c r="U626" s="19" t="s">
        <v>65</v>
      </c>
      <c r="V626" s="19" t="s">
        <v>66</v>
      </c>
      <c r="W626" s="19" t="s">
        <v>67</v>
      </c>
      <c r="X626" s="19" t="s">
        <v>68</v>
      </c>
      <c r="Y626" s="21" t="s">
        <v>463</v>
      </c>
      <c r="Z626" s="21" t="s">
        <v>2126</v>
      </c>
      <c r="AA626" s="21"/>
      <c r="AB626" s="21">
        <v>1</v>
      </c>
      <c r="AC626" s="21">
        <v>40</v>
      </c>
      <c r="AD626" s="21">
        <v>8577889</v>
      </c>
      <c r="AE626" s="21">
        <v>11831550</v>
      </c>
      <c r="AF626" s="21">
        <v>100708</v>
      </c>
      <c r="AG626" s="21" t="s">
        <v>2198</v>
      </c>
      <c r="AH626" s="21"/>
      <c r="AI626" s="21"/>
      <c r="AJ626" s="22"/>
      <c r="AK626" s="22"/>
      <c r="AL626" s="21" t="str">
        <f>_xlfn.XLOOKUP(A:A,[1]TAGS!$A:$A,[1]TAGS!$BG:$BG)</f>
        <v>Não Montado</v>
      </c>
      <c r="AM626" s="21" t="s">
        <v>70</v>
      </c>
      <c r="AN626" s="22"/>
      <c r="AO626" s="21" t="str">
        <f>_xlfn.XLOOKUP(A:A,[1]TAGS!$A:$A,[1]TAGS!$BG:$BG)</f>
        <v>Não Montado</v>
      </c>
      <c r="AP626" s="21"/>
      <c r="AQ626" s="21"/>
      <c r="AR626" s="21"/>
      <c r="AS626" s="21"/>
      <c r="AT626" s="21"/>
      <c r="AU626" s="21"/>
    </row>
    <row r="627" spans="1:47" x14ac:dyDescent="0.35">
      <c r="A627" s="19" t="s">
        <v>2201</v>
      </c>
      <c r="B627" s="19" t="s">
        <v>52</v>
      </c>
      <c r="C627" s="19"/>
      <c r="D627" s="19" t="s">
        <v>53</v>
      </c>
      <c r="E627" s="19" t="s">
        <v>460</v>
      </c>
      <c r="F627" s="20" t="s">
        <v>300</v>
      </c>
      <c r="G627" s="20" t="s">
        <v>301</v>
      </c>
      <c r="H627" s="19" t="s">
        <v>2202</v>
      </c>
      <c r="I627" s="20" t="s">
        <v>58</v>
      </c>
      <c r="J627" s="20" t="s">
        <v>303</v>
      </c>
      <c r="K627" s="20" t="s">
        <v>2203</v>
      </c>
      <c r="L627" s="19" t="s">
        <v>61</v>
      </c>
      <c r="M627" s="19" t="s">
        <v>62</v>
      </c>
      <c r="N627" s="20" t="s">
        <v>63</v>
      </c>
      <c r="O627" s="19">
        <v>21</v>
      </c>
      <c r="P627" s="19">
        <v>3.73</v>
      </c>
      <c r="Q627" s="19">
        <v>1</v>
      </c>
      <c r="R627" s="20">
        <v>11</v>
      </c>
      <c r="S627" s="19">
        <v>6.6000000000000003E-2</v>
      </c>
      <c r="T627" s="19" t="s">
        <v>64</v>
      </c>
      <c r="U627" s="19" t="s">
        <v>65</v>
      </c>
      <c r="V627" s="19" t="s">
        <v>66</v>
      </c>
      <c r="W627" s="19" t="s">
        <v>67</v>
      </c>
      <c r="X627" s="19" t="s">
        <v>68</v>
      </c>
      <c r="Y627" s="21" t="s">
        <v>463</v>
      </c>
      <c r="Z627" s="21" t="s">
        <v>2126</v>
      </c>
      <c r="AA627" s="21"/>
      <c r="AB627" s="21">
        <v>6</v>
      </c>
      <c r="AC627" s="21">
        <v>100</v>
      </c>
      <c r="AD627" s="21">
        <v>8579338</v>
      </c>
      <c r="AE627" s="21">
        <v>11830210</v>
      </c>
      <c r="AF627" s="21">
        <v>100711</v>
      </c>
      <c r="AG627" s="21" t="s">
        <v>2201</v>
      </c>
      <c r="AH627" s="21"/>
      <c r="AI627" s="21"/>
      <c r="AJ627" s="22"/>
      <c r="AK627" s="22"/>
      <c r="AL627" s="21" t="str">
        <f>_xlfn.XLOOKUP(A:A,[1]TAGS!$A:$A,[1]TAGS!$BG:$BG)</f>
        <v>Não Montado</v>
      </c>
      <c r="AM627" s="21" t="s">
        <v>70</v>
      </c>
      <c r="AN627" s="22"/>
      <c r="AO627" s="21" t="str">
        <f>_xlfn.XLOOKUP(A:A,[1]TAGS!$A:$A,[1]TAGS!$BG:$BG)</f>
        <v>Não Montado</v>
      </c>
      <c r="AP627" s="21"/>
      <c r="AQ627" s="21"/>
      <c r="AR627" s="21"/>
      <c r="AS627" s="21"/>
      <c r="AT627" s="21"/>
      <c r="AU627" s="21"/>
    </row>
    <row r="628" spans="1:47" x14ac:dyDescent="0.35">
      <c r="A628" s="19" t="s">
        <v>2204</v>
      </c>
      <c r="B628" s="19" t="s">
        <v>52</v>
      </c>
      <c r="C628" s="19"/>
      <c r="D628" s="19" t="s">
        <v>53</v>
      </c>
      <c r="E628" s="19" t="s">
        <v>460</v>
      </c>
      <c r="F628" s="20" t="s">
        <v>300</v>
      </c>
      <c r="G628" s="20" t="s">
        <v>301</v>
      </c>
      <c r="H628" s="19" t="s">
        <v>2205</v>
      </c>
      <c r="I628" s="20" t="s">
        <v>58</v>
      </c>
      <c r="J628" s="20" t="s">
        <v>303</v>
      </c>
      <c r="K628" s="20" t="s">
        <v>2206</v>
      </c>
      <c r="L628" s="19" t="s">
        <v>61</v>
      </c>
      <c r="M628" s="19" t="s">
        <v>62</v>
      </c>
      <c r="N628" s="20" t="s">
        <v>63</v>
      </c>
      <c r="O628" s="19">
        <v>21</v>
      </c>
      <c r="P628" s="19">
        <v>3.73</v>
      </c>
      <c r="Q628" s="19">
        <v>1</v>
      </c>
      <c r="R628" s="20">
        <v>14</v>
      </c>
      <c r="S628" s="19">
        <v>6.6000000000000003E-2</v>
      </c>
      <c r="T628" s="19" t="s">
        <v>64</v>
      </c>
      <c r="U628" s="19" t="s">
        <v>65</v>
      </c>
      <c r="V628" s="19" t="s">
        <v>66</v>
      </c>
      <c r="W628" s="19" t="s">
        <v>67</v>
      </c>
      <c r="X628" s="19" t="s">
        <v>68</v>
      </c>
      <c r="Y628" s="21" t="s">
        <v>463</v>
      </c>
      <c r="Z628" s="21" t="s">
        <v>559</v>
      </c>
      <c r="AA628" s="21"/>
      <c r="AB628" s="21">
        <v>1</v>
      </c>
      <c r="AC628" s="21">
        <v>41</v>
      </c>
      <c r="AD628" s="21">
        <v>8578191</v>
      </c>
      <c r="AE628" s="21">
        <v>11816710</v>
      </c>
      <c r="AF628" s="21">
        <v>100710</v>
      </c>
      <c r="AG628" s="21" t="s">
        <v>2204</v>
      </c>
      <c r="AH628" s="21"/>
      <c r="AI628" s="21"/>
      <c r="AJ628" s="22"/>
      <c r="AK628" s="22"/>
      <c r="AL628" s="21" t="str">
        <f>_xlfn.XLOOKUP(A:A,[1]TAGS!$A:$A,[1]TAGS!$BG:$BG)</f>
        <v>Não Montado</v>
      </c>
      <c r="AM628" s="21" t="s">
        <v>70</v>
      </c>
      <c r="AN628" s="22"/>
      <c r="AO628" s="21" t="str">
        <f>_xlfn.XLOOKUP(A:A,[1]TAGS!$A:$A,[1]TAGS!$BG:$BG)</f>
        <v>Não Montado</v>
      </c>
      <c r="AP628" s="21"/>
      <c r="AQ628" s="21"/>
      <c r="AR628" s="21"/>
      <c r="AS628" s="21"/>
      <c r="AT628" s="21"/>
      <c r="AU628" s="21"/>
    </row>
    <row r="629" spans="1:47" x14ac:dyDescent="0.35">
      <c r="A629" s="19" t="s">
        <v>2207</v>
      </c>
      <c r="B629" s="19" t="s">
        <v>52</v>
      </c>
      <c r="C629" s="19"/>
      <c r="D629" s="19" t="s">
        <v>53</v>
      </c>
      <c r="E629" s="19" t="s">
        <v>460</v>
      </c>
      <c r="F629" s="20" t="s">
        <v>312</v>
      </c>
      <c r="G629" s="20" t="s">
        <v>313</v>
      </c>
      <c r="H629" s="19" t="s">
        <v>2208</v>
      </c>
      <c r="I629" s="20" t="s">
        <v>58</v>
      </c>
      <c r="J629" s="20" t="s">
        <v>315</v>
      </c>
      <c r="K629" s="20" t="s">
        <v>2209</v>
      </c>
      <c r="L629" s="19" t="s">
        <v>61</v>
      </c>
      <c r="M629" s="19" t="s">
        <v>62</v>
      </c>
      <c r="N629" s="19" t="s">
        <v>683</v>
      </c>
      <c r="O629" s="19">
        <v>21</v>
      </c>
      <c r="P629" s="19">
        <v>3.73</v>
      </c>
      <c r="Q629" s="19">
        <v>1</v>
      </c>
      <c r="R629" s="20">
        <v>8</v>
      </c>
      <c r="S629" s="19">
        <v>6.6000000000000003E-2</v>
      </c>
      <c r="T629" s="19" t="s">
        <v>64</v>
      </c>
      <c r="U629" s="19" t="s">
        <v>65</v>
      </c>
      <c r="V629" s="19" t="s">
        <v>66</v>
      </c>
      <c r="W629" s="19" t="s">
        <v>67</v>
      </c>
      <c r="X629" s="19" t="s">
        <v>68</v>
      </c>
      <c r="Y629" s="21" t="s">
        <v>623</v>
      </c>
      <c r="Z629" s="21" t="s">
        <v>624</v>
      </c>
      <c r="AA629" s="21" t="s">
        <v>625</v>
      </c>
      <c r="AB629" s="21">
        <v>3</v>
      </c>
      <c r="AC629" s="21"/>
      <c r="AD629" s="21"/>
      <c r="AE629" s="21"/>
      <c r="AF629" s="21"/>
      <c r="AG629" s="21" t="s">
        <v>2207</v>
      </c>
      <c r="AH629" s="21"/>
      <c r="AI629" s="21"/>
      <c r="AJ629" s="22"/>
      <c r="AK629" s="22"/>
      <c r="AL629" s="21" t="str">
        <f>_xlfn.XLOOKUP(A:A,[1]TAGS!$A:$A,[1]TAGS!$BG:$BG)</f>
        <v>Não Montado</v>
      </c>
      <c r="AM629" s="21" t="s">
        <v>70</v>
      </c>
      <c r="AN629" s="22"/>
      <c r="AO629" s="21" t="str">
        <f>_xlfn.XLOOKUP(A:A,[1]TAGS!$A:$A,[1]TAGS!$BG:$BG)</f>
        <v>Não Montado</v>
      </c>
      <c r="AP629" s="21"/>
      <c r="AQ629" s="21"/>
      <c r="AR629" s="21"/>
      <c r="AS629" s="21"/>
      <c r="AT629" s="21"/>
      <c r="AU629" s="21"/>
    </row>
    <row r="630" spans="1:47" x14ac:dyDescent="0.35">
      <c r="A630" s="19" t="s">
        <v>2210</v>
      </c>
      <c r="B630" s="19" t="s">
        <v>52</v>
      </c>
      <c r="C630" s="19"/>
      <c r="D630" s="19" t="s">
        <v>53</v>
      </c>
      <c r="E630" s="19" t="s">
        <v>460</v>
      </c>
      <c r="F630" s="20" t="s">
        <v>312</v>
      </c>
      <c r="G630" s="20" t="s">
        <v>313</v>
      </c>
      <c r="H630" s="19" t="s">
        <v>2211</v>
      </c>
      <c r="I630" s="20" t="s">
        <v>58</v>
      </c>
      <c r="J630" s="20" t="s">
        <v>315</v>
      </c>
      <c r="K630" s="20" t="s">
        <v>2212</v>
      </c>
      <c r="L630" s="19" t="s">
        <v>61</v>
      </c>
      <c r="M630" s="19" t="s">
        <v>62</v>
      </c>
      <c r="N630" s="19" t="s">
        <v>683</v>
      </c>
      <c r="O630" s="19">
        <v>21</v>
      </c>
      <c r="P630" s="19">
        <v>3.73</v>
      </c>
      <c r="Q630" s="19">
        <v>1</v>
      </c>
      <c r="R630" s="20">
        <v>8</v>
      </c>
      <c r="S630" s="19">
        <v>6.6000000000000003E-2</v>
      </c>
      <c r="T630" s="19" t="s">
        <v>64</v>
      </c>
      <c r="U630" s="19" t="s">
        <v>65</v>
      </c>
      <c r="V630" s="19" t="s">
        <v>66</v>
      </c>
      <c r="W630" s="19" t="s">
        <v>67</v>
      </c>
      <c r="X630" s="19" t="s">
        <v>68</v>
      </c>
      <c r="Y630" s="21" t="s">
        <v>623</v>
      </c>
      <c r="Z630" s="21" t="s">
        <v>684</v>
      </c>
      <c r="AA630" s="21" t="s">
        <v>625</v>
      </c>
      <c r="AB630" s="21">
        <v>3</v>
      </c>
      <c r="AC630" s="21"/>
      <c r="AD630" s="21"/>
      <c r="AE630" s="21"/>
      <c r="AF630" s="21"/>
      <c r="AG630" s="21" t="s">
        <v>2210</v>
      </c>
      <c r="AH630" s="21"/>
      <c r="AI630" s="21"/>
      <c r="AJ630" s="22"/>
      <c r="AK630" s="22"/>
      <c r="AL630" s="21" t="str">
        <f>_xlfn.XLOOKUP(A:A,[1]TAGS!$A:$A,[1]TAGS!$BG:$BG)</f>
        <v>Não Montado</v>
      </c>
      <c r="AM630" s="21" t="s">
        <v>70</v>
      </c>
      <c r="AN630" s="22"/>
      <c r="AO630" s="21" t="str">
        <f>_xlfn.XLOOKUP(A:A,[1]TAGS!$A:$A,[1]TAGS!$BG:$BG)</f>
        <v>Não Montado</v>
      </c>
      <c r="AP630" s="21"/>
      <c r="AQ630" s="21"/>
      <c r="AR630" s="21"/>
      <c r="AS630" s="21"/>
      <c r="AT630" s="21"/>
      <c r="AU630" s="21"/>
    </row>
    <row r="631" spans="1:47" x14ac:dyDescent="0.35">
      <c r="A631" s="19" t="s">
        <v>2213</v>
      </c>
      <c r="B631" s="19" t="s">
        <v>52</v>
      </c>
      <c r="C631" s="19"/>
      <c r="D631" s="19" t="s">
        <v>53</v>
      </c>
      <c r="E631" s="19" t="s">
        <v>460</v>
      </c>
      <c r="F631" s="20" t="s">
        <v>2214</v>
      </c>
      <c r="G631" s="20" t="s">
        <v>2215</v>
      </c>
      <c r="H631" s="19" t="s">
        <v>2216</v>
      </c>
      <c r="I631" s="20" t="s">
        <v>124</v>
      </c>
      <c r="J631" s="20" t="s">
        <v>2217</v>
      </c>
      <c r="K631" s="20" t="s">
        <v>2218</v>
      </c>
      <c r="L631" s="19" t="s">
        <v>61</v>
      </c>
      <c r="M631" s="19" t="s">
        <v>62</v>
      </c>
      <c r="N631" s="20" t="s">
        <v>63</v>
      </c>
      <c r="O631" s="19">
        <v>21</v>
      </c>
      <c r="P631" s="19">
        <v>3.73</v>
      </c>
      <c r="Q631" s="19">
        <v>1</v>
      </c>
      <c r="R631" s="20">
        <v>8</v>
      </c>
      <c r="S631" s="19">
        <v>6.6000000000000003E-2</v>
      </c>
      <c r="T631" s="19" t="s">
        <v>64</v>
      </c>
      <c r="U631" s="19" t="s">
        <v>65</v>
      </c>
      <c r="V631" s="19" t="s">
        <v>66</v>
      </c>
      <c r="W631" s="19" t="s">
        <v>67</v>
      </c>
      <c r="X631" s="19" t="s">
        <v>68</v>
      </c>
      <c r="Y631" s="21" t="s">
        <v>711</v>
      </c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2"/>
      <c r="AK631" s="22"/>
      <c r="AL631" s="21" t="str">
        <f>_xlfn.XLOOKUP(A:A,[1]TAGS!$A:$A,[1]TAGS!$BG:$BG)</f>
        <v>Não Montado</v>
      </c>
      <c r="AM631" s="21" t="s">
        <v>70</v>
      </c>
      <c r="AN631" s="22"/>
      <c r="AO631" s="21" t="str">
        <f>_xlfn.XLOOKUP(A:A,[1]TAGS!$A:$A,[1]TAGS!$BG:$BG)</f>
        <v>Não Montado</v>
      </c>
      <c r="AP631" s="21"/>
      <c r="AQ631" s="21"/>
      <c r="AR631" s="21"/>
      <c r="AS631" s="21"/>
      <c r="AT631" s="21"/>
      <c r="AU631" s="21"/>
    </row>
    <row r="632" spans="1:47" x14ac:dyDescent="0.35">
      <c r="A632" s="19" t="s">
        <v>2219</v>
      </c>
      <c r="B632" s="19" t="s">
        <v>52</v>
      </c>
      <c r="C632" s="19"/>
      <c r="D632" s="19" t="s">
        <v>53</v>
      </c>
      <c r="E632" s="19" t="s">
        <v>460</v>
      </c>
      <c r="F632" s="20" t="s">
        <v>2214</v>
      </c>
      <c r="G632" s="20" t="s">
        <v>2215</v>
      </c>
      <c r="H632" s="19" t="s">
        <v>2220</v>
      </c>
      <c r="I632" s="20" t="s">
        <v>124</v>
      </c>
      <c r="J632" s="20" t="s">
        <v>2217</v>
      </c>
      <c r="K632" s="20" t="s">
        <v>2221</v>
      </c>
      <c r="L632" s="19" t="s">
        <v>61</v>
      </c>
      <c r="M632" s="19" t="s">
        <v>62</v>
      </c>
      <c r="N632" s="20" t="s">
        <v>63</v>
      </c>
      <c r="O632" s="19">
        <v>21</v>
      </c>
      <c r="P632" s="19">
        <v>3.73</v>
      </c>
      <c r="Q632" s="19">
        <v>1</v>
      </c>
      <c r="R632" s="20">
        <v>8</v>
      </c>
      <c r="S632" s="19">
        <v>6.6000000000000003E-2</v>
      </c>
      <c r="T632" s="19" t="s">
        <v>64</v>
      </c>
      <c r="U632" s="19" t="s">
        <v>65</v>
      </c>
      <c r="V632" s="19" t="s">
        <v>66</v>
      </c>
      <c r="W632" s="19" t="s">
        <v>67</v>
      </c>
      <c r="X632" s="19" t="s">
        <v>68</v>
      </c>
      <c r="Y632" s="21" t="s">
        <v>711</v>
      </c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2"/>
      <c r="AK632" s="22"/>
      <c r="AL632" s="21" t="str">
        <f>_xlfn.XLOOKUP(A:A,[1]TAGS!$A:$A,[1]TAGS!$BG:$BG)</f>
        <v>Não Montado</v>
      </c>
      <c r="AM632" s="21" t="s">
        <v>70</v>
      </c>
      <c r="AN632" s="22"/>
      <c r="AO632" s="21" t="str">
        <f>_xlfn.XLOOKUP(A:A,[1]TAGS!$A:$A,[1]TAGS!$BG:$BG)</f>
        <v>Não Montado</v>
      </c>
      <c r="AP632" s="21"/>
      <c r="AQ632" s="21"/>
      <c r="AR632" s="21"/>
      <c r="AS632" s="21"/>
      <c r="AT632" s="21"/>
      <c r="AU632" s="21"/>
    </row>
    <row r="633" spans="1:47" x14ac:dyDescent="0.35">
      <c r="A633" s="19" t="s">
        <v>2222</v>
      </c>
      <c r="B633" s="19" t="s">
        <v>52</v>
      </c>
      <c r="C633" s="19"/>
      <c r="D633" s="19" t="s">
        <v>53</v>
      </c>
      <c r="E633" s="19" t="s">
        <v>460</v>
      </c>
      <c r="F633" s="20" t="s">
        <v>2214</v>
      </c>
      <c r="G633" s="20" t="s">
        <v>2215</v>
      </c>
      <c r="H633" s="19" t="s">
        <v>2223</v>
      </c>
      <c r="I633" s="20" t="s">
        <v>124</v>
      </c>
      <c r="J633" s="20" t="s">
        <v>2217</v>
      </c>
      <c r="K633" s="20" t="s">
        <v>2224</v>
      </c>
      <c r="L633" s="19" t="s">
        <v>61</v>
      </c>
      <c r="M633" s="19" t="s">
        <v>62</v>
      </c>
      <c r="N633" s="20" t="s">
        <v>63</v>
      </c>
      <c r="O633" s="19">
        <v>21</v>
      </c>
      <c r="P633" s="19">
        <v>3.73</v>
      </c>
      <c r="Q633" s="19">
        <v>1</v>
      </c>
      <c r="R633" s="20">
        <v>8</v>
      </c>
      <c r="S633" s="19">
        <v>6.6000000000000003E-2</v>
      </c>
      <c r="T633" s="19" t="s">
        <v>64</v>
      </c>
      <c r="U633" s="19" t="s">
        <v>65</v>
      </c>
      <c r="V633" s="19" t="s">
        <v>66</v>
      </c>
      <c r="W633" s="19" t="s">
        <v>67</v>
      </c>
      <c r="X633" s="19" t="s">
        <v>68</v>
      </c>
      <c r="Y633" s="21" t="s">
        <v>711</v>
      </c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2"/>
      <c r="AK633" s="22"/>
      <c r="AL633" s="21" t="str">
        <f>_xlfn.XLOOKUP(A:A,[1]TAGS!$A:$A,[1]TAGS!$BG:$BG)</f>
        <v>Não Montado</v>
      </c>
      <c r="AM633" s="21" t="s">
        <v>70</v>
      </c>
      <c r="AN633" s="22"/>
      <c r="AO633" s="21" t="str">
        <f>_xlfn.XLOOKUP(A:A,[1]TAGS!$A:$A,[1]TAGS!$BG:$BG)</f>
        <v>Não Montado</v>
      </c>
      <c r="AP633" s="21"/>
      <c r="AQ633" s="21"/>
      <c r="AR633" s="21"/>
      <c r="AS633" s="21"/>
      <c r="AT633" s="21"/>
      <c r="AU633" s="21"/>
    </row>
    <row r="634" spans="1:47" x14ac:dyDescent="0.35">
      <c r="A634" s="19" t="s">
        <v>2225</v>
      </c>
      <c r="B634" s="19" t="s">
        <v>52</v>
      </c>
      <c r="C634" s="19"/>
      <c r="D634" s="19" t="s">
        <v>53</v>
      </c>
      <c r="E634" s="19" t="s">
        <v>460</v>
      </c>
      <c r="F634" s="20" t="s">
        <v>2214</v>
      </c>
      <c r="G634" s="20" t="s">
        <v>2226</v>
      </c>
      <c r="H634" s="19" t="s">
        <v>2227</v>
      </c>
      <c r="I634" s="20" t="s">
        <v>124</v>
      </c>
      <c r="J634" s="20" t="s">
        <v>2228</v>
      </c>
      <c r="K634" s="20" t="s">
        <v>2229</v>
      </c>
      <c r="L634" s="19" t="s">
        <v>61</v>
      </c>
      <c r="M634" s="19" t="s">
        <v>62</v>
      </c>
      <c r="N634" s="20" t="s">
        <v>63</v>
      </c>
      <c r="O634" s="19">
        <v>21</v>
      </c>
      <c r="P634" s="19">
        <v>3.73</v>
      </c>
      <c r="Q634" s="19">
        <v>1</v>
      </c>
      <c r="R634" s="20">
        <v>8</v>
      </c>
      <c r="S634" s="19">
        <v>6.6000000000000003E-2</v>
      </c>
      <c r="T634" s="19" t="s">
        <v>64</v>
      </c>
      <c r="U634" s="19" t="s">
        <v>65</v>
      </c>
      <c r="V634" s="19" t="s">
        <v>66</v>
      </c>
      <c r="W634" s="19" t="s">
        <v>67</v>
      </c>
      <c r="X634" s="19" t="s">
        <v>68</v>
      </c>
      <c r="Y634" s="21" t="s">
        <v>711</v>
      </c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2"/>
      <c r="AK634" s="22"/>
      <c r="AL634" s="21" t="str">
        <f>_xlfn.XLOOKUP(A:A,[1]TAGS!$A:$A,[1]TAGS!$BG:$BG)</f>
        <v>Não Montado</v>
      </c>
      <c r="AM634" s="21" t="s">
        <v>70</v>
      </c>
      <c r="AN634" s="22"/>
      <c r="AO634" s="21" t="str">
        <f>_xlfn.XLOOKUP(A:A,[1]TAGS!$A:$A,[1]TAGS!$BG:$BG)</f>
        <v>Não Montado</v>
      </c>
      <c r="AP634" s="21"/>
      <c r="AQ634" s="21"/>
      <c r="AR634" s="21"/>
      <c r="AS634" s="21"/>
      <c r="AT634" s="21"/>
      <c r="AU634" s="21"/>
    </row>
    <row r="635" spans="1:47" x14ac:dyDescent="0.35">
      <c r="A635" s="19" t="s">
        <v>2230</v>
      </c>
      <c r="B635" s="19" t="s">
        <v>52</v>
      </c>
      <c r="C635" s="19"/>
      <c r="D635" s="19" t="s">
        <v>53</v>
      </c>
      <c r="E635" s="19" t="s">
        <v>460</v>
      </c>
      <c r="F635" s="20" t="s">
        <v>2214</v>
      </c>
      <c r="G635" s="20" t="s">
        <v>2226</v>
      </c>
      <c r="H635" s="19" t="s">
        <v>2231</v>
      </c>
      <c r="I635" s="20" t="s">
        <v>124</v>
      </c>
      <c r="J635" s="20" t="s">
        <v>2228</v>
      </c>
      <c r="K635" s="20" t="s">
        <v>2232</v>
      </c>
      <c r="L635" s="19" t="s">
        <v>61</v>
      </c>
      <c r="M635" s="19" t="s">
        <v>62</v>
      </c>
      <c r="N635" s="20" t="s">
        <v>63</v>
      </c>
      <c r="O635" s="19">
        <v>21</v>
      </c>
      <c r="P635" s="19">
        <v>3.73</v>
      </c>
      <c r="Q635" s="19">
        <v>1</v>
      </c>
      <c r="R635" s="20">
        <v>8</v>
      </c>
      <c r="S635" s="19">
        <v>6.6000000000000003E-2</v>
      </c>
      <c r="T635" s="19" t="s">
        <v>64</v>
      </c>
      <c r="U635" s="19" t="s">
        <v>65</v>
      </c>
      <c r="V635" s="19" t="s">
        <v>66</v>
      </c>
      <c r="W635" s="19" t="s">
        <v>67</v>
      </c>
      <c r="X635" s="19" t="s">
        <v>68</v>
      </c>
      <c r="Y635" s="21" t="s">
        <v>711</v>
      </c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2"/>
      <c r="AK635" s="22"/>
      <c r="AL635" s="21" t="str">
        <f>_xlfn.XLOOKUP(A:A,[1]TAGS!$A:$A,[1]TAGS!$BG:$BG)</f>
        <v>Não Montado</v>
      </c>
      <c r="AM635" s="21" t="s">
        <v>70</v>
      </c>
      <c r="AN635" s="22"/>
      <c r="AO635" s="21" t="str">
        <f>_xlfn.XLOOKUP(A:A,[1]TAGS!$A:$A,[1]TAGS!$BG:$BG)</f>
        <v>Não Montado</v>
      </c>
      <c r="AP635" s="21"/>
      <c r="AQ635" s="21"/>
      <c r="AR635" s="21"/>
      <c r="AS635" s="21"/>
      <c r="AT635" s="21"/>
      <c r="AU635" s="21"/>
    </row>
    <row r="636" spans="1:47" x14ac:dyDescent="0.35">
      <c r="A636" s="19" t="s">
        <v>2233</v>
      </c>
      <c r="B636" s="19" t="s">
        <v>52</v>
      </c>
      <c r="C636" s="19"/>
      <c r="D636" s="19" t="s">
        <v>53</v>
      </c>
      <c r="E636" s="19" t="s">
        <v>460</v>
      </c>
      <c r="F636" s="20" t="s">
        <v>2214</v>
      </c>
      <c r="G636" s="20" t="s">
        <v>2234</v>
      </c>
      <c r="H636" s="19" t="s">
        <v>2235</v>
      </c>
      <c r="I636" s="20" t="s">
        <v>124</v>
      </c>
      <c r="J636" s="20" t="s">
        <v>2236</v>
      </c>
      <c r="K636" s="20" t="s">
        <v>2237</v>
      </c>
      <c r="L636" s="19" t="s">
        <v>61</v>
      </c>
      <c r="M636" s="19" t="s">
        <v>62</v>
      </c>
      <c r="N636" s="20" t="s">
        <v>63</v>
      </c>
      <c r="O636" s="19">
        <v>21</v>
      </c>
      <c r="P636" s="19">
        <v>3.73</v>
      </c>
      <c r="Q636" s="19">
        <v>1</v>
      </c>
      <c r="R636" s="20">
        <v>8</v>
      </c>
      <c r="S636" s="19">
        <v>6.6000000000000003E-2</v>
      </c>
      <c r="T636" s="19" t="s">
        <v>64</v>
      </c>
      <c r="U636" s="19" t="s">
        <v>65</v>
      </c>
      <c r="V636" s="19" t="s">
        <v>66</v>
      </c>
      <c r="W636" s="19" t="s">
        <v>67</v>
      </c>
      <c r="X636" s="19" t="s">
        <v>68</v>
      </c>
      <c r="Y636" s="21" t="s">
        <v>711</v>
      </c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2"/>
      <c r="AK636" s="22"/>
      <c r="AL636" s="21" t="str">
        <f>_xlfn.XLOOKUP(A:A,[1]TAGS!$A:$A,[1]TAGS!$BG:$BG)</f>
        <v>Não Montado</v>
      </c>
      <c r="AM636" s="21" t="s">
        <v>70</v>
      </c>
      <c r="AN636" s="22"/>
      <c r="AO636" s="21" t="str">
        <f>_xlfn.XLOOKUP(A:A,[1]TAGS!$A:$A,[1]TAGS!$BG:$BG)</f>
        <v>Não Montado</v>
      </c>
      <c r="AP636" s="21"/>
      <c r="AQ636" s="21"/>
      <c r="AR636" s="21"/>
      <c r="AS636" s="21"/>
      <c r="AT636" s="21"/>
      <c r="AU636" s="21"/>
    </row>
    <row r="637" spans="1:47" x14ac:dyDescent="0.35">
      <c r="A637" s="19" t="s">
        <v>2238</v>
      </c>
      <c r="B637" s="19" t="s">
        <v>52</v>
      </c>
      <c r="C637" s="19"/>
      <c r="D637" s="19" t="s">
        <v>53</v>
      </c>
      <c r="E637" s="19" t="s">
        <v>460</v>
      </c>
      <c r="F637" s="20" t="s">
        <v>2214</v>
      </c>
      <c r="G637" s="20" t="s">
        <v>2234</v>
      </c>
      <c r="H637" s="19" t="s">
        <v>2239</v>
      </c>
      <c r="I637" s="20" t="s">
        <v>124</v>
      </c>
      <c r="J637" s="20" t="s">
        <v>2236</v>
      </c>
      <c r="K637" s="20" t="s">
        <v>2240</v>
      </c>
      <c r="L637" s="19" t="s">
        <v>61</v>
      </c>
      <c r="M637" s="19" t="s">
        <v>62</v>
      </c>
      <c r="N637" s="20" t="s">
        <v>63</v>
      </c>
      <c r="O637" s="19">
        <v>21</v>
      </c>
      <c r="P637" s="19">
        <v>3.73</v>
      </c>
      <c r="Q637" s="19">
        <v>1</v>
      </c>
      <c r="R637" s="20">
        <v>8</v>
      </c>
      <c r="S637" s="19">
        <v>6.6000000000000003E-2</v>
      </c>
      <c r="T637" s="19" t="s">
        <v>64</v>
      </c>
      <c r="U637" s="19" t="s">
        <v>65</v>
      </c>
      <c r="V637" s="19" t="s">
        <v>66</v>
      </c>
      <c r="W637" s="19" t="s">
        <v>67</v>
      </c>
      <c r="X637" s="19" t="s">
        <v>68</v>
      </c>
      <c r="Y637" s="21" t="s">
        <v>711</v>
      </c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2"/>
      <c r="AK637" s="22"/>
      <c r="AL637" s="21" t="str">
        <f>_xlfn.XLOOKUP(A:A,[1]TAGS!$A:$A,[1]TAGS!$BG:$BG)</f>
        <v>Não Montado</v>
      </c>
      <c r="AM637" s="21" t="s">
        <v>70</v>
      </c>
      <c r="AN637" s="22"/>
      <c r="AO637" s="21" t="str">
        <f>_xlfn.XLOOKUP(A:A,[1]TAGS!$A:$A,[1]TAGS!$BG:$BG)</f>
        <v>Não Montado</v>
      </c>
      <c r="AP637" s="21"/>
      <c r="AQ637" s="21"/>
      <c r="AR637" s="21"/>
      <c r="AS637" s="21"/>
      <c r="AT637" s="21"/>
      <c r="AU637" s="21"/>
    </row>
    <row r="638" spans="1:47" x14ac:dyDescent="0.35">
      <c r="A638" s="19" t="s">
        <v>2241</v>
      </c>
      <c r="B638" s="19" t="s">
        <v>52</v>
      </c>
      <c r="C638" s="19"/>
      <c r="D638" s="19" t="s">
        <v>53</v>
      </c>
      <c r="E638" s="19" t="s">
        <v>460</v>
      </c>
      <c r="F638" s="20" t="s">
        <v>2214</v>
      </c>
      <c r="G638" s="20" t="s">
        <v>2242</v>
      </c>
      <c r="H638" s="19" t="s">
        <v>2243</v>
      </c>
      <c r="I638" s="20" t="s">
        <v>124</v>
      </c>
      <c r="J638" s="20" t="s">
        <v>2244</v>
      </c>
      <c r="K638" s="20" t="s">
        <v>2245</v>
      </c>
      <c r="L638" s="19" t="s">
        <v>61</v>
      </c>
      <c r="M638" s="19" t="s">
        <v>62</v>
      </c>
      <c r="N638" s="20" t="s">
        <v>63</v>
      </c>
      <c r="O638" s="19">
        <v>21</v>
      </c>
      <c r="P638" s="19">
        <v>3.73</v>
      </c>
      <c r="Q638" s="19">
        <v>1</v>
      </c>
      <c r="R638" s="20">
        <v>8</v>
      </c>
      <c r="S638" s="19">
        <v>6.6000000000000003E-2</v>
      </c>
      <c r="T638" s="19" t="s">
        <v>64</v>
      </c>
      <c r="U638" s="19" t="s">
        <v>65</v>
      </c>
      <c r="V638" s="19" t="s">
        <v>66</v>
      </c>
      <c r="W638" s="19" t="s">
        <v>67</v>
      </c>
      <c r="X638" s="19" t="s">
        <v>68</v>
      </c>
      <c r="Y638" s="21" t="s">
        <v>711</v>
      </c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2"/>
      <c r="AK638" s="22"/>
      <c r="AL638" s="21" t="str">
        <f>_xlfn.XLOOKUP(A:A,[1]TAGS!$A:$A,[1]TAGS!$BG:$BG)</f>
        <v>Não Montado</v>
      </c>
      <c r="AM638" s="21" t="s">
        <v>70</v>
      </c>
      <c r="AN638" s="22"/>
      <c r="AO638" s="21" t="str">
        <f>_xlfn.XLOOKUP(A:A,[1]TAGS!$A:$A,[1]TAGS!$BG:$BG)</f>
        <v>Não Montado</v>
      </c>
      <c r="AP638" s="21"/>
      <c r="AQ638" s="21"/>
      <c r="AR638" s="21"/>
      <c r="AS638" s="21"/>
      <c r="AT638" s="21"/>
      <c r="AU638" s="21"/>
    </row>
    <row r="639" spans="1:47" x14ac:dyDescent="0.35">
      <c r="A639" s="19" t="s">
        <v>2246</v>
      </c>
      <c r="B639" s="19" t="s">
        <v>52</v>
      </c>
      <c r="C639" s="19"/>
      <c r="D639" s="19" t="s">
        <v>53</v>
      </c>
      <c r="E639" s="19" t="s">
        <v>460</v>
      </c>
      <c r="F639" s="20" t="s">
        <v>2214</v>
      </c>
      <c r="G639" s="20" t="s">
        <v>2242</v>
      </c>
      <c r="H639" s="19" t="s">
        <v>2247</v>
      </c>
      <c r="I639" s="20" t="s">
        <v>124</v>
      </c>
      <c r="J639" s="20" t="s">
        <v>2244</v>
      </c>
      <c r="K639" s="20" t="s">
        <v>2248</v>
      </c>
      <c r="L639" s="19" t="s">
        <v>61</v>
      </c>
      <c r="M639" s="19" t="s">
        <v>62</v>
      </c>
      <c r="N639" s="20" t="s">
        <v>63</v>
      </c>
      <c r="O639" s="19">
        <v>21</v>
      </c>
      <c r="P639" s="19">
        <v>3.73</v>
      </c>
      <c r="Q639" s="19">
        <v>1</v>
      </c>
      <c r="R639" s="20">
        <v>8</v>
      </c>
      <c r="S639" s="19">
        <v>6.6000000000000003E-2</v>
      </c>
      <c r="T639" s="19" t="s">
        <v>64</v>
      </c>
      <c r="U639" s="19" t="s">
        <v>65</v>
      </c>
      <c r="V639" s="19" t="s">
        <v>66</v>
      </c>
      <c r="W639" s="19" t="s">
        <v>67</v>
      </c>
      <c r="X639" s="19" t="s">
        <v>68</v>
      </c>
      <c r="Y639" s="21" t="s">
        <v>711</v>
      </c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2"/>
      <c r="AK639" s="22"/>
      <c r="AL639" s="21" t="str">
        <f>_xlfn.XLOOKUP(A:A,[1]TAGS!$A:$A,[1]TAGS!$BG:$BG)</f>
        <v>Não Montado</v>
      </c>
      <c r="AM639" s="21" t="s">
        <v>70</v>
      </c>
      <c r="AN639" s="22"/>
      <c r="AO639" s="21" t="str">
        <f>_xlfn.XLOOKUP(A:A,[1]TAGS!$A:$A,[1]TAGS!$BG:$BG)</f>
        <v>Não Montado</v>
      </c>
      <c r="AP639" s="21"/>
      <c r="AQ639" s="21"/>
      <c r="AR639" s="21"/>
      <c r="AS639" s="21"/>
      <c r="AT639" s="21"/>
      <c r="AU639" s="21"/>
    </row>
    <row r="640" spans="1:47" x14ac:dyDescent="0.35">
      <c r="A640" s="19" t="s">
        <v>2249</v>
      </c>
      <c r="B640" s="19" t="s">
        <v>52</v>
      </c>
      <c r="C640" s="19"/>
      <c r="D640" s="19" t="s">
        <v>53</v>
      </c>
      <c r="E640" s="19" t="s">
        <v>460</v>
      </c>
      <c r="F640" s="20" t="s">
        <v>2214</v>
      </c>
      <c r="G640" s="20" t="s">
        <v>2250</v>
      </c>
      <c r="H640" s="19" t="s">
        <v>2251</v>
      </c>
      <c r="I640" s="20" t="s">
        <v>124</v>
      </c>
      <c r="J640" s="20" t="s">
        <v>2252</v>
      </c>
      <c r="K640" s="20" t="s">
        <v>2253</v>
      </c>
      <c r="L640" s="19" t="s">
        <v>61</v>
      </c>
      <c r="M640" s="19" t="s">
        <v>62</v>
      </c>
      <c r="N640" s="20" t="s">
        <v>63</v>
      </c>
      <c r="O640" s="19">
        <v>21</v>
      </c>
      <c r="P640" s="19">
        <v>3.73</v>
      </c>
      <c r="Q640" s="19">
        <v>1</v>
      </c>
      <c r="R640" s="20">
        <v>8</v>
      </c>
      <c r="S640" s="19">
        <v>6.6000000000000003E-2</v>
      </c>
      <c r="T640" s="19" t="s">
        <v>64</v>
      </c>
      <c r="U640" s="19" t="s">
        <v>65</v>
      </c>
      <c r="V640" s="19" t="s">
        <v>66</v>
      </c>
      <c r="W640" s="19" t="s">
        <v>67</v>
      </c>
      <c r="X640" s="19" t="s">
        <v>68</v>
      </c>
      <c r="Y640" s="21" t="s">
        <v>711</v>
      </c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2"/>
      <c r="AK640" s="22"/>
      <c r="AL640" s="21" t="str">
        <f>_xlfn.XLOOKUP(A:A,[1]TAGS!$A:$A,[1]TAGS!$BG:$BG)</f>
        <v>Não Montado</v>
      </c>
      <c r="AM640" s="21" t="s">
        <v>70</v>
      </c>
      <c r="AN640" s="22"/>
      <c r="AO640" s="21" t="str">
        <f>_xlfn.XLOOKUP(A:A,[1]TAGS!$A:$A,[1]TAGS!$BG:$BG)</f>
        <v>Não Montado</v>
      </c>
      <c r="AP640" s="21"/>
      <c r="AQ640" s="21"/>
      <c r="AR640" s="21"/>
      <c r="AS640" s="21"/>
      <c r="AT640" s="21"/>
      <c r="AU640" s="21"/>
    </row>
    <row r="641" spans="1:47" x14ac:dyDescent="0.35">
      <c r="A641" s="19" t="s">
        <v>2254</v>
      </c>
      <c r="B641" s="19" t="s">
        <v>52</v>
      </c>
      <c r="C641" s="19"/>
      <c r="D641" s="19" t="s">
        <v>53</v>
      </c>
      <c r="E641" s="19" t="s">
        <v>460</v>
      </c>
      <c r="F641" s="20" t="s">
        <v>2214</v>
      </c>
      <c r="G641" s="20" t="s">
        <v>2250</v>
      </c>
      <c r="H641" s="19" t="s">
        <v>2255</v>
      </c>
      <c r="I641" s="20" t="s">
        <v>124</v>
      </c>
      <c r="J641" s="20" t="s">
        <v>2252</v>
      </c>
      <c r="K641" s="20" t="s">
        <v>2256</v>
      </c>
      <c r="L641" s="19" t="s">
        <v>61</v>
      </c>
      <c r="M641" s="19" t="s">
        <v>62</v>
      </c>
      <c r="N641" s="20" t="s">
        <v>63</v>
      </c>
      <c r="O641" s="19">
        <v>21</v>
      </c>
      <c r="P641" s="19">
        <v>3.73</v>
      </c>
      <c r="Q641" s="19">
        <v>1</v>
      </c>
      <c r="R641" s="20">
        <v>8</v>
      </c>
      <c r="S641" s="19">
        <v>6.6000000000000003E-2</v>
      </c>
      <c r="T641" s="19" t="s">
        <v>64</v>
      </c>
      <c r="U641" s="19" t="s">
        <v>65</v>
      </c>
      <c r="V641" s="19" t="s">
        <v>66</v>
      </c>
      <c r="W641" s="19" t="s">
        <v>67</v>
      </c>
      <c r="X641" s="19" t="s">
        <v>68</v>
      </c>
      <c r="Y641" s="21" t="s">
        <v>711</v>
      </c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2"/>
      <c r="AK641" s="22"/>
      <c r="AL641" s="21" t="str">
        <f>_xlfn.XLOOKUP(A:A,[1]TAGS!$A:$A,[1]TAGS!$BG:$BG)</f>
        <v>Não Montado</v>
      </c>
      <c r="AM641" s="21" t="s">
        <v>70</v>
      </c>
      <c r="AN641" s="22"/>
      <c r="AO641" s="21" t="str">
        <f>_xlfn.XLOOKUP(A:A,[1]TAGS!$A:$A,[1]TAGS!$BG:$BG)</f>
        <v>Não Montado</v>
      </c>
      <c r="AP641" s="21"/>
      <c r="AQ641" s="21"/>
      <c r="AR641" s="21"/>
      <c r="AS641" s="21"/>
      <c r="AT641" s="21"/>
      <c r="AU641" s="21"/>
    </row>
    <row r="642" spans="1:47" x14ac:dyDescent="0.35">
      <c r="A642" s="19" t="s">
        <v>2257</v>
      </c>
      <c r="B642" s="19" t="s">
        <v>52</v>
      </c>
      <c r="C642" s="19"/>
      <c r="D642" s="19" t="s">
        <v>53</v>
      </c>
      <c r="E642" s="19" t="s">
        <v>460</v>
      </c>
      <c r="F642" s="20" t="s">
        <v>664</v>
      </c>
      <c r="G642" s="20" t="s">
        <v>665</v>
      </c>
      <c r="H642" s="19" t="s">
        <v>2258</v>
      </c>
      <c r="I642" s="20" t="s">
        <v>58</v>
      </c>
      <c r="J642" s="20" t="s">
        <v>667</v>
      </c>
      <c r="K642" s="20" t="s">
        <v>2259</v>
      </c>
      <c r="L642" s="19" t="s">
        <v>61</v>
      </c>
      <c r="M642" s="19" t="s">
        <v>62</v>
      </c>
      <c r="N642" s="20" t="s">
        <v>63</v>
      </c>
      <c r="O642" s="19">
        <v>21</v>
      </c>
      <c r="P642" s="19">
        <v>3.73</v>
      </c>
      <c r="Q642" s="19">
        <v>1</v>
      </c>
      <c r="R642" s="20">
        <v>8</v>
      </c>
      <c r="S642" s="19">
        <v>6.6000000000000003E-2</v>
      </c>
      <c r="T642" s="19" t="s">
        <v>64</v>
      </c>
      <c r="U642" s="19" t="s">
        <v>65</v>
      </c>
      <c r="V642" s="19" t="s">
        <v>66</v>
      </c>
      <c r="W642" s="19" t="s">
        <v>67</v>
      </c>
      <c r="X642" s="19" t="s">
        <v>68</v>
      </c>
      <c r="Y642" s="21" t="s">
        <v>463</v>
      </c>
      <c r="Z642" s="21" t="s">
        <v>522</v>
      </c>
      <c r="AA642" s="21"/>
      <c r="AB642" s="21">
        <v>5</v>
      </c>
      <c r="AC642" s="21">
        <v>115</v>
      </c>
      <c r="AD642" s="21">
        <v>8588539</v>
      </c>
      <c r="AE642" s="21">
        <v>11750930</v>
      </c>
      <c r="AF642" s="21">
        <v>117403</v>
      </c>
      <c r="AG642" s="21" t="s">
        <v>2260</v>
      </c>
      <c r="AH642" s="21"/>
      <c r="AI642" s="21"/>
      <c r="AJ642" s="22"/>
      <c r="AK642" s="22"/>
      <c r="AL642" s="21" t="str">
        <f>_xlfn.XLOOKUP(A:A,[1]TAGS!$A:$A,[1]TAGS!$BG:$BG)</f>
        <v>Não Montado</v>
      </c>
      <c r="AM642" s="21" t="s">
        <v>70</v>
      </c>
      <c r="AN642" s="22"/>
      <c r="AO642" s="21" t="str">
        <f>_xlfn.XLOOKUP(A:A,[1]TAGS!$A:$A,[1]TAGS!$BG:$BG)</f>
        <v>Não Montado</v>
      </c>
      <c r="AP642" s="21"/>
      <c r="AQ642" s="21"/>
      <c r="AR642" s="21"/>
      <c r="AS642" s="21"/>
      <c r="AT642" s="21"/>
      <c r="AU642" s="21"/>
    </row>
    <row r="643" spans="1:47" x14ac:dyDescent="0.35">
      <c r="A643" s="19" t="s">
        <v>2261</v>
      </c>
      <c r="B643" s="19" t="s">
        <v>52</v>
      </c>
      <c r="C643" s="19"/>
      <c r="D643" s="19" t="s">
        <v>53</v>
      </c>
      <c r="E643" s="19" t="s">
        <v>460</v>
      </c>
      <c r="F643" s="20" t="s">
        <v>664</v>
      </c>
      <c r="G643" s="20" t="s">
        <v>665</v>
      </c>
      <c r="H643" s="19" t="s">
        <v>2262</v>
      </c>
      <c r="I643" s="20" t="s">
        <v>58</v>
      </c>
      <c r="J643" s="20" t="s">
        <v>667</v>
      </c>
      <c r="K643" s="20" t="s">
        <v>2263</v>
      </c>
      <c r="L643" s="19" t="s">
        <v>61</v>
      </c>
      <c r="M643" s="19" t="s">
        <v>62</v>
      </c>
      <c r="N643" s="20" t="s">
        <v>63</v>
      </c>
      <c r="O643" s="19">
        <v>21</v>
      </c>
      <c r="P643" s="19">
        <v>3.73</v>
      </c>
      <c r="Q643" s="19">
        <v>1</v>
      </c>
      <c r="R643" s="20">
        <v>8</v>
      </c>
      <c r="S643" s="19">
        <v>6.6000000000000003E-2</v>
      </c>
      <c r="T643" s="19" t="s">
        <v>64</v>
      </c>
      <c r="U643" s="19" t="s">
        <v>65</v>
      </c>
      <c r="V643" s="19" t="s">
        <v>66</v>
      </c>
      <c r="W643" s="19" t="s">
        <v>67</v>
      </c>
      <c r="X643" s="19" t="s">
        <v>68</v>
      </c>
      <c r="Y643" s="21" t="s">
        <v>463</v>
      </c>
      <c r="Z643" s="21" t="s">
        <v>522</v>
      </c>
      <c r="AA643" s="21"/>
      <c r="AB643" s="21">
        <v>6</v>
      </c>
      <c r="AC643" s="21">
        <v>116</v>
      </c>
      <c r="AD643" s="21">
        <v>8588539</v>
      </c>
      <c r="AE643" s="21">
        <v>11746870</v>
      </c>
      <c r="AF643" s="21">
        <v>117403</v>
      </c>
      <c r="AG643" s="21" t="s">
        <v>2264</v>
      </c>
      <c r="AH643" s="21"/>
      <c r="AI643" s="21"/>
      <c r="AJ643" s="22"/>
      <c r="AK643" s="22"/>
      <c r="AL643" s="21" t="str">
        <f>_xlfn.XLOOKUP(A:A,[1]TAGS!$A:$A,[1]TAGS!$BG:$BG)</f>
        <v>Não Montado</v>
      </c>
      <c r="AM643" s="21" t="s">
        <v>70</v>
      </c>
      <c r="AN643" s="22"/>
      <c r="AO643" s="21" t="str">
        <f>_xlfn.XLOOKUP(A:A,[1]TAGS!$A:$A,[1]TAGS!$BG:$BG)</f>
        <v>Não Montado</v>
      </c>
      <c r="AP643" s="21"/>
      <c r="AQ643" s="21"/>
      <c r="AR643" s="21"/>
      <c r="AS643" s="21"/>
      <c r="AT643" s="21"/>
      <c r="AU643" s="21"/>
    </row>
    <row r="644" spans="1:47" x14ac:dyDescent="0.35">
      <c r="A644" s="19" t="s">
        <v>2265</v>
      </c>
      <c r="B644" s="19" t="s">
        <v>52</v>
      </c>
      <c r="C644" s="19"/>
      <c r="D644" s="19" t="s">
        <v>53</v>
      </c>
      <c r="E644" s="19" t="s">
        <v>460</v>
      </c>
      <c r="F644" s="20" t="s">
        <v>397</v>
      </c>
      <c r="G644" s="20" t="s">
        <v>398</v>
      </c>
      <c r="H644" s="19" t="s">
        <v>2266</v>
      </c>
      <c r="I644" s="20" t="s">
        <v>58</v>
      </c>
      <c r="J644" s="20" t="s">
        <v>400</v>
      </c>
      <c r="K644" s="20" t="s">
        <v>2267</v>
      </c>
      <c r="L644" s="19" t="s">
        <v>61</v>
      </c>
      <c r="M644" s="19" t="s">
        <v>62</v>
      </c>
      <c r="N644" s="20" t="s">
        <v>63</v>
      </c>
      <c r="O644" s="19">
        <v>21</v>
      </c>
      <c r="P644" s="19">
        <v>3.73</v>
      </c>
      <c r="Q644" s="19">
        <v>1</v>
      </c>
      <c r="R644" s="20">
        <v>13</v>
      </c>
      <c r="S644" s="19">
        <v>6.6000000000000003E-2</v>
      </c>
      <c r="T644" s="19" t="s">
        <v>64</v>
      </c>
      <c r="U644" s="19" t="s">
        <v>65</v>
      </c>
      <c r="V644" s="19" t="s">
        <v>66</v>
      </c>
      <c r="W644" s="19" t="s">
        <v>67</v>
      </c>
      <c r="X644" s="19" t="s">
        <v>68</v>
      </c>
      <c r="Y644" s="21" t="s">
        <v>463</v>
      </c>
      <c r="Z644" s="21" t="s">
        <v>475</v>
      </c>
      <c r="AA644" s="21"/>
      <c r="AB644" s="21">
        <v>7</v>
      </c>
      <c r="AC644" s="21">
        <v>67</v>
      </c>
      <c r="AD644" s="21">
        <v>8693062</v>
      </c>
      <c r="AE644" s="21">
        <v>11884250</v>
      </c>
      <c r="AF644" s="21">
        <v>101562</v>
      </c>
      <c r="AG644" s="21" t="s">
        <v>2268</v>
      </c>
      <c r="AH644" s="21"/>
      <c r="AI644" s="21"/>
      <c r="AJ644" s="22"/>
      <c r="AK644" s="22"/>
      <c r="AL644" s="21" t="str">
        <f>_xlfn.XLOOKUP(A:A,[1]TAGS!$A:$A,[1]TAGS!$BG:$BG)</f>
        <v>Não Montado</v>
      </c>
      <c r="AM644" s="21" t="s">
        <v>70</v>
      </c>
      <c r="AN644" s="22"/>
      <c r="AO644" s="21" t="str">
        <f>_xlfn.XLOOKUP(A:A,[1]TAGS!$A:$A,[1]TAGS!$BG:$BG)</f>
        <v>Não Montado</v>
      </c>
      <c r="AP644" s="21"/>
      <c r="AQ644" s="21"/>
      <c r="AR644" s="21"/>
      <c r="AS644" s="21"/>
      <c r="AT644" s="21"/>
      <c r="AU644" s="21"/>
    </row>
    <row r="645" spans="1:47" x14ac:dyDescent="0.35">
      <c r="A645" s="19" t="s">
        <v>2269</v>
      </c>
      <c r="B645" s="19" t="s">
        <v>52</v>
      </c>
      <c r="C645" s="19"/>
      <c r="D645" s="19" t="s">
        <v>53</v>
      </c>
      <c r="E645" s="19" t="s">
        <v>460</v>
      </c>
      <c r="F645" s="20" t="s">
        <v>397</v>
      </c>
      <c r="G645" s="20" t="s">
        <v>398</v>
      </c>
      <c r="H645" s="19" t="s">
        <v>2270</v>
      </c>
      <c r="I645" s="20" t="s">
        <v>58</v>
      </c>
      <c r="J645" s="20" t="s">
        <v>400</v>
      </c>
      <c r="K645" s="20" t="s">
        <v>2271</v>
      </c>
      <c r="L645" s="19" t="s">
        <v>61</v>
      </c>
      <c r="M645" s="19" t="s">
        <v>62</v>
      </c>
      <c r="N645" s="20" t="s">
        <v>63</v>
      </c>
      <c r="O645" s="19">
        <v>21</v>
      </c>
      <c r="P645" s="19">
        <v>3.73</v>
      </c>
      <c r="Q645" s="19">
        <v>1</v>
      </c>
      <c r="R645" s="20">
        <v>8</v>
      </c>
      <c r="S645" s="19">
        <v>6.6000000000000003E-2</v>
      </c>
      <c r="T645" s="19" t="s">
        <v>64</v>
      </c>
      <c r="U645" s="19" t="s">
        <v>65</v>
      </c>
      <c r="V645" s="19" t="s">
        <v>66</v>
      </c>
      <c r="W645" s="19" t="s">
        <v>67</v>
      </c>
      <c r="X645" s="19" t="s">
        <v>68</v>
      </c>
      <c r="Y645" s="21" t="s">
        <v>463</v>
      </c>
      <c r="Z645" s="21" t="s">
        <v>522</v>
      </c>
      <c r="AA645" s="21"/>
      <c r="AB645" s="21">
        <v>1</v>
      </c>
      <c r="AC645" s="21">
        <v>6</v>
      </c>
      <c r="AD645" s="21">
        <v>8610184</v>
      </c>
      <c r="AE645" s="21">
        <v>11772680</v>
      </c>
      <c r="AF645" s="21">
        <v>101062</v>
      </c>
      <c r="AG645" s="21" t="s">
        <v>2272</v>
      </c>
      <c r="AH645" s="21"/>
      <c r="AI645" s="21"/>
      <c r="AJ645" s="22"/>
      <c r="AK645" s="22"/>
      <c r="AL645" s="21" t="str">
        <f>_xlfn.XLOOKUP(A:A,[1]TAGS!$A:$A,[1]TAGS!$BG:$BG)</f>
        <v>Não Montado</v>
      </c>
      <c r="AM645" s="21" t="s">
        <v>70</v>
      </c>
      <c r="AN645" s="22"/>
      <c r="AO645" s="21" t="str">
        <f>_xlfn.XLOOKUP(A:A,[1]TAGS!$A:$A,[1]TAGS!$BG:$BG)</f>
        <v>Não Montado</v>
      </c>
      <c r="AP645" s="21"/>
      <c r="AQ645" s="21"/>
      <c r="AR645" s="21"/>
      <c r="AS645" s="21"/>
      <c r="AT645" s="21"/>
      <c r="AU645" s="21"/>
    </row>
    <row r="646" spans="1:47" x14ac:dyDescent="0.35">
      <c r="A646" s="19" t="s">
        <v>2273</v>
      </c>
      <c r="B646" s="19" t="s">
        <v>52</v>
      </c>
      <c r="C646" s="19"/>
      <c r="D646" s="19" t="s">
        <v>53</v>
      </c>
      <c r="E646" s="19" t="s">
        <v>460</v>
      </c>
      <c r="F646" s="20" t="s">
        <v>397</v>
      </c>
      <c r="G646" s="20" t="s">
        <v>398</v>
      </c>
      <c r="H646" s="19" t="s">
        <v>2274</v>
      </c>
      <c r="I646" s="20" t="s">
        <v>58</v>
      </c>
      <c r="J646" s="20" t="s">
        <v>400</v>
      </c>
      <c r="K646" s="20" t="s">
        <v>2275</v>
      </c>
      <c r="L646" s="19" t="s">
        <v>61</v>
      </c>
      <c r="M646" s="19" t="s">
        <v>62</v>
      </c>
      <c r="N646" s="20" t="s">
        <v>63</v>
      </c>
      <c r="O646" s="19">
        <v>21</v>
      </c>
      <c r="P646" s="19">
        <v>3.73</v>
      </c>
      <c r="Q646" s="19">
        <v>1</v>
      </c>
      <c r="R646" s="20">
        <v>8</v>
      </c>
      <c r="S646" s="19">
        <v>6.6000000000000003E-2</v>
      </c>
      <c r="T646" s="19" t="s">
        <v>64</v>
      </c>
      <c r="U646" s="19" t="s">
        <v>65</v>
      </c>
      <c r="V646" s="19" t="s">
        <v>66</v>
      </c>
      <c r="W646" s="19" t="s">
        <v>67</v>
      </c>
      <c r="X646" s="19" t="s">
        <v>68</v>
      </c>
      <c r="Y646" s="21" t="s">
        <v>463</v>
      </c>
      <c r="Z646" s="21" t="s">
        <v>563</v>
      </c>
      <c r="AA646" s="21"/>
      <c r="AB646" s="21">
        <v>2</v>
      </c>
      <c r="AC646" s="21">
        <v>60</v>
      </c>
      <c r="AD646" s="21">
        <v>8562846</v>
      </c>
      <c r="AE646" s="21">
        <v>11747860</v>
      </c>
      <c r="AF646" s="21">
        <v>101121</v>
      </c>
      <c r="AG646" s="21" t="s">
        <v>2276</v>
      </c>
      <c r="AH646" s="21"/>
      <c r="AI646" s="21"/>
      <c r="AJ646" s="22"/>
      <c r="AK646" s="22"/>
      <c r="AL646" s="21" t="str">
        <f>_xlfn.XLOOKUP(A:A,[1]TAGS!$A:$A,[1]TAGS!$BG:$BG)</f>
        <v>Não Montado</v>
      </c>
      <c r="AM646" s="21" t="s">
        <v>70</v>
      </c>
      <c r="AN646" s="22"/>
      <c r="AO646" s="21" t="str">
        <f>_xlfn.XLOOKUP(A:A,[1]TAGS!$A:$A,[1]TAGS!$BG:$BG)</f>
        <v>Não Montado</v>
      </c>
      <c r="AP646" s="21"/>
      <c r="AQ646" s="21"/>
      <c r="AR646" s="21"/>
      <c r="AS646" s="21"/>
      <c r="AT646" s="21"/>
      <c r="AU646" s="21"/>
    </row>
    <row r="647" spans="1:47" x14ac:dyDescent="0.35">
      <c r="A647" s="19" t="s">
        <v>2277</v>
      </c>
      <c r="B647" s="19" t="s">
        <v>52</v>
      </c>
      <c r="C647" s="19"/>
      <c r="D647" s="19" t="s">
        <v>53</v>
      </c>
      <c r="E647" s="19" t="s">
        <v>460</v>
      </c>
      <c r="F647" s="20" t="s">
        <v>1681</v>
      </c>
      <c r="G647" s="20" t="s">
        <v>1682</v>
      </c>
      <c r="H647" s="19" t="s">
        <v>2278</v>
      </c>
      <c r="I647" s="20" t="s">
        <v>58</v>
      </c>
      <c r="J647" s="20" t="s">
        <v>1684</v>
      </c>
      <c r="K647" s="20" t="s">
        <v>2279</v>
      </c>
      <c r="L647" s="19" t="s">
        <v>61</v>
      </c>
      <c r="M647" s="19" t="s">
        <v>62</v>
      </c>
      <c r="N647" s="20" t="s">
        <v>63</v>
      </c>
      <c r="O647" s="19">
        <v>21</v>
      </c>
      <c r="P647" s="19">
        <v>3.73</v>
      </c>
      <c r="Q647" s="19">
        <v>1</v>
      </c>
      <c r="R647" s="20">
        <v>8</v>
      </c>
      <c r="S647" s="19">
        <v>6.6000000000000003E-2</v>
      </c>
      <c r="T647" s="19" t="s">
        <v>64</v>
      </c>
      <c r="U647" s="19" t="s">
        <v>65</v>
      </c>
      <c r="V647" s="19" t="s">
        <v>66</v>
      </c>
      <c r="W647" s="19" t="s">
        <v>67</v>
      </c>
      <c r="X647" s="19" t="s">
        <v>68</v>
      </c>
      <c r="Y647" s="21" t="s">
        <v>463</v>
      </c>
      <c r="Z647" s="21" t="s">
        <v>583</v>
      </c>
      <c r="AA647" s="21"/>
      <c r="AB647" s="21">
        <v>8</v>
      </c>
      <c r="AC647" s="21">
        <v>215</v>
      </c>
      <c r="AD647" s="21"/>
      <c r="AE647" s="21"/>
      <c r="AF647" s="21"/>
      <c r="AG647" s="21" t="s">
        <v>2277</v>
      </c>
      <c r="AH647" s="21"/>
      <c r="AI647" s="21"/>
      <c r="AJ647" s="22"/>
      <c r="AK647" s="22"/>
      <c r="AL647" s="21" t="str">
        <f>_xlfn.XLOOKUP(A:A,[1]TAGS!$A:$A,[1]TAGS!$BG:$BG)</f>
        <v>Não Montado</v>
      </c>
      <c r="AM647" s="21" t="s">
        <v>70</v>
      </c>
      <c r="AN647" s="22"/>
      <c r="AO647" s="21" t="str">
        <f>_xlfn.XLOOKUP(A:A,[1]TAGS!$A:$A,[1]TAGS!$BG:$BG)</f>
        <v>Não Montado</v>
      </c>
      <c r="AP647" s="21"/>
      <c r="AQ647" s="21"/>
      <c r="AR647" s="21"/>
      <c r="AS647" s="21"/>
      <c r="AT647" s="21"/>
      <c r="AU647" s="21"/>
    </row>
    <row r="648" spans="1:47" x14ac:dyDescent="0.35">
      <c r="A648" s="19" t="s">
        <v>2280</v>
      </c>
      <c r="B648" s="19" t="s">
        <v>52</v>
      </c>
      <c r="C648" s="19"/>
      <c r="D648" s="19" t="s">
        <v>53</v>
      </c>
      <c r="E648" s="19" t="s">
        <v>460</v>
      </c>
      <c r="F648" s="20" t="s">
        <v>397</v>
      </c>
      <c r="G648" s="20" t="s">
        <v>398</v>
      </c>
      <c r="H648" s="19" t="s">
        <v>2281</v>
      </c>
      <c r="I648" s="20" t="s">
        <v>58</v>
      </c>
      <c r="J648" s="20" t="s">
        <v>400</v>
      </c>
      <c r="K648" s="20" t="s">
        <v>2282</v>
      </c>
      <c r="L648" s="19" t="s">
        <v>61</v>
      </c>
      <c r="M648" s="19" t="s">
        <v>62</v>
      </c>
      <c r="N648" s="20" t="s">
        <v>63</v>
      </c>
      <c r="O648" s="19">
        <v>21</v>
      </c>
      <c r="P648" s="19">
        <v>3.73</v>
      </c>
      <c r="Q648" s="19">
        <v>1</v>
      </c>
      <c r="R648" s="20">
        <v>8</v>
      </c>
      <c r="S648" s="19">
        <v>6.6000000000000003E-2</v>
      </c>
      <c r="T648" s="19" t="s">
        <v>64</v>
      </c>
      <c r="U648" s="19" t="s">
        <v>65</v>
      </c>
      <c r="V648" s="19" t="s">
        <v>66</v>
      </c>
      <c r="W648" s="19" t="s">
        <v>67</v>
      </c>
      <c r="X648" s="19" t="s">
        <v>68</v>
      </c>
      <c r="Y648" s="21" t="s">
        <v>463</v>
      </c>
      <c r="Z648" s="21" t="s">
        <v>532</v>
      </c>
      <c r="AA648" s="21"/>
      <c r="AB648" s="21">
        <v>11</v>
      </c>
      <c r="AC648" s="21">
        <v>214</v>
      </c>
      <c r="AD648" s="21"/>
      <c r="AE648" s="21"/>
      <c r="AF648" s="21"/>
      <c r="AG648" s="21" t="s">
        <v>2280</v>
      </c>
      <c r="AH648" s="21"/>
      <c r="AI648" s="21"/>
      <c r="AJ648" s="22"/>
      <c r="AK648" s="22"/>
      <c r="AL648" s="21" t="str">
        <f>_xlfn.XLOOKUP(A:A,[1]TAGS!$A:$A,[1]TAGS!$BG:$BG)</f>
        <v>Não Montado</v>
      </c>
      <c r="AM648" s="21" t="s">
        <v>70</v>
      </c>
      <c r="AN648" s="22"/>
      <c r="AO648" s="21" t="str">
        <f>_xlfn.XLOOKUP(A:A,[1]TAGS!$A:$A,[1]TAGS!$BG:$BG)</f>
        <v>Não Montado</v>
      </c>
      <c r="AP648" s="21"/>
      <c r="AQ648" s="21"/>
      <c r="AR648" s="21"/>
      <c r="AS648" s="21"/>
      <c r="AT648" s="21"/>
      <c r="AU648" s="21"/>
    </row>
    <row r="649" spans="1:47" x14ac:dyDescent="0.35">
      <c r="A649" s="19" t="s">
        <v>2283</v>
      </c>
      <c r="B649" s="19" t="s">
        <v>52</v>
      </c>
      <c r="C649" s="19"/>
      <c r="D649" s="19" t="s">
        <v>53</v>
      </c>
      <c r="E649" s="19" t="s">
        <v>460</v>
      </c>
      <c r="F649" s="20" t="s">
        <v>397</v>
      </c>
      <c r="G649" s="20" t="s">
        <v>398</v>
      </c>
      <c r="H649" s="19" t="s">
        <v>2284</v>
      </c>
      <c r="I649" s="20" t="s">
        <v>58</v>
      </c>
      <c r="J649" s="20" t="s">
        <v>400</v>
      </c>
      <c r="K649" s="20" t="s">
        <v>2285</v>
      </c>
      <c r="L649" s="19" t="s">
        <v>61</v>
      </c>
      <c r="M649" s="19" t="s">
        <v>62</v>
      </c>
      <c r="N649" s="20" t="s">
        <v>63</v>
      </c>
      <c r="O649" s="19">
        <v>21</v>
      </c>
      <c r="P649" s="19">
        <v>3.73</v>
      </c>
      <c r="Q649" s="19">
        <v>1</v>
      </c>
      <c r="R649" s="20">
        <v>11</v>
      </c>
      <c r="S649" s="19">
        <v>6.6000000000000003E-2</v>
      </c>
      <c r="T649" s="19" t="s">
        <v>64</v>
      </c>
      <c r="U649" s="19" t="s">
        <v>65</v>
      </c>
      <c r="V649" s="19" t="s">
        <v>66</v>
      </c>
      <c r="W649" s="19" t="s">
        <v>67</v>
      </c>
      <c r="X649" s="19" t="s">
        <v>68</v>
      </c>
      <c r="Y649" s="21" t="s">
        <v>463</v>
      </c>
      <c r="Z649" s="21" t="s">
        <v>475</v>
      </c>
      <c r="AA649" s="21"/>
      <c r="AB649" s="21">
        <v>2</v>
      </c>
      <c r="AC649" s="21">
        <v>37</v>
      </c>
      <c r="AD649" s="21">
        <v>8695005</v>
      </c>
      <c r="AE649" s="21">
        <v>11880220</v>
      </c>
      <c r="AF649" s="21">
        <v>101292</v>
      </c>
      <c r="AG649" s="21" t="s">
        <v>2286</v>
      </c>
      <c r="AH649" s="21"/>
      <c r="AI649" s="21"/>
      <c r="AJ649" s="22"/>
      <c r="AK649" s="22"/>
      <c r="AL649" s="21" t="str">
        <f>_xlfn.XLOOKUP(A:A,[1]TAGS!$A:$A,[1]TAGS!$BG:$BG)</f>
        <v>Não Montado</v>
      </c>
      <c r="AM649" s="21" t="s">
        <v>70</v>
      </c>
      <c r="AN649" s="22"/>
      <c r="AO649" s="21" t="str">
        <f>_xlfn.XLOOKUP(A:A,[1]TAGS!$A:$A,[1]TAGS!$BG:$BG)</f>
        <v>Não Montado</v>
      </c>
      <c r="AP649" s="21"/>
      <c r="AQ649" s="21"/>
      <c r="AR649" s="21"/>
      <c r="AS649" s="21"/>
      <c r="AT649" s="21"/>
      <c r="AU649" s="21"/>
    </row>
    <row r="650" spans="1:47" x14ac:dyDescent="0.35">
      <c r="A650" s="19" t="s">
        <v>2287</v>
      </c>
      <c r="B650" s="19" t="s">
        <v>52</v>
      </c>
      <c r="C650" s="19"/>
      <c r="D650" s="19" t="s">
        <v>53</v>
      </c>
      <c r="E650" s="19" t="s">
        <v>460</v>
      </c>
      <c r="F650" s="20" t="s">
        <v>1681</v>
      </c>
      <c r="G650" s="20" t="s">
        <v>1682</v>
      </c>
      <c r="H650" s="19" t="s">
        <v>2288</v>
      </c>
      <c r="I650" s="20" t="s">
        <v>58</v>
      </c>
      <c r="J650" s="20" t="s">
        <v>1684</v>
      </c>
      <c r="K650" s="20" t="s">
        <v>2289</v>
      </c>
      <c r="L650" s="19" t="s">
        <v>61</v>
      </c>
      <c r="M650" s="19" t="s">
        <v>62</v>
      </c>
      <c r="N650" s="20" t="s">
        <v>63</v>
      </c>
      <c r="O650" s="19">
        <v>21</v>
      </c>
      <c r="P650" s="19">
        <v>3.73</v>
      </c>
      <c r="Q650" s="19">
        <v>1</v>
      </c>
      <c r="R650" s="20">
        <v>8</v>
      </c>
      <c r="S650" s="19">
        <v>6.6000000000000003E-2</v>
      </c>
      <c r="T650" s="19" t="s">
        <v>64</v>
      </c>
      <c r="U650" s="19" t="s">
        <v>65</v>
      </c>
      <c r="V650" s="19" t="s">
        <v>66</v>
      </c>
      <c r="W650" s="19" t="s">
        <v>67</v>
      </c>
      <c r="X650" s="19" t="s">
        <v>68</v>
      </c>
      <c r="Y650" s="21" t="s">
        <v>463</v>
      </c>
      <c r="Z650" s="21" t="s">
        <v>468</v>
      </c>
      <c r="AA650" s="21"/>
      <c r="AB650" s="21">
        <v>4</v>
      </c>
      <c r="AC650" s="21">
        <v>47</v>
      </c>
      <c r="AD650" s="21">
        <v>8678106</v>
      </c>
      <c r="AE650" s="21">
        <v>11877790</v>
      </c>
      <c r="AF650" s="21">
        <v>103359</v>
      </c>
      <c r="AG650" s="21" t="s">
        <v>2290</v>
      </c>
      <c r="AH650" s="21"/>
      <c r="AI650" s="21"/>
      <c r="AJ650" s="22"/>
      <c r="AK650" s="22"/>
      <c r="AL650" s="21" t="str">
        <f>_xlfn.XLOOKUP(A:A,[1]TAGS!$A:$A,[1]TAGS!$BG:$BG)</f>
        <v>Não Montado</v>
      </c>
      <c r="AM650" s="21" t="s">
        <v>70</v>
      </c>
      <c r="AN650" s="22"/>
      <c r="AO650" s="21" t="str">
        <f>_xlfn.XLOOKUP(A:A,[1]TAGS!$A:$A,[1]TAGS!$BG:$BG)</f>
        <v>Não Montado</v>
      </c>
      <c r="AP650" s="21"/>
      <c r="AQ650" s="21"/>
      <c r="AR650" s="21"/>
      <c r="AS650" s="21"/>
      <c r="AT650" s="21"/>
      <c r="AU650" s="21"/>
    </row>
    <row r="651" spans="1:47" x14ac:dyDescent="0.35">
      <c r="A651" s="19" t="s">
        <v>2291</v>
      </c>
      <c r="B651" s="19" t="s">
        <v>52</v>
      </c>
      <c r="C651" s="19"/>
      <c r="D651" s="19" t="s">
        <v>53</v>
      </c>
      <c r="E651" s="19" t="s">
        <v>460</v>
      </c>
      <c r="F651" s="20" t="s">
        <v>1681</v>
      </c>
      <c r="G651" s="20" t="s">
        <v>1682</v>
      </c>
      <c r="H651" s="19" t="s">
        <v>2292</v>
      </c>
      <c r="I651" s="20" t="s">
        <v>58</v>
      </c>
      <c r="J651" s="20" t="s">
        <v>1684</v>
      </c>
      <c r="K651" s="20" t="s">
        <v>2293</v>
      </c>
      <c r="L651" s="19" t="s">
        <v>61</v>
      </c>
      <c r="M651" s="19" t="s">
        <v>62</v>
      </c>
      <c r="N651" s="20" t="s">
        <v>63</v>
      </c>
      <c r="O651" s="19">
        <v>21</v>
      </c>
      <c r="P651" s="19">
        <v>3.73</v>
      </c>
      <c r="Q651" s="19">
        <v>1</v>
      </c>
      <c r="R651" s="20">
        <v>10</v>
      </c>
      <c r="S651" s="19">
        <v>6.6000000000000003E-2</v>
      </c>
      <c r="T651" s="19" t="s">
        <v>64</v>
      </c>
      <c r="U651" s="19" t="s">
        <v>65</v>
      </c>
      <c r="V651" s="19" t="s">
        <v>66</v>
      </c>
      <c r="W651" s="19" t="s">
        <v>67</v>
      </c>
      <c r="X651" s="19" t="s">
        <v>68</v>
      </c>
      <c r="Y651" s="21" t="s">
        <v>463</v>
      </c>
      <c r="Z651" s="21" t="s">
        <v>468</v>
      </c>
      <c r="AA651" s="21"/>
      <c r="AB651" s="21">
        <v>5</v>
      </c>
      <c r="AC651" s="21">
        <v>48</v>
      </c>
      <c r="AD651" s="21">
        <v>8679556</v>
      </c>
      <c r="AE651" s="21">
        <v>11877790</v>
      </c>
      <c r="AF651" s="21">
        <v>103819</v>
      </c>
      <c r="AG651" s="21" t="s">
        <v>2294</v>
      </c>
      <c r="AH651" s="21"/>
      <c r="AI651" s="21"/>
      <c r="AJ651" s="22"/>
      <c r="AK651" s="22"/>
      <c r="AL651" s="21" t="str">
        <f>_xlfn.XLOOKUP(A:A,[1]TAGS!$A:$A,[1]TAGS!$BG:$BG)</f>
        <v>Não Montado</v>
      </c>
      <c r="AM651" s="21" t="s">
        <v>70</v>
      </c>
      <c r="AN651" s="22"/>
      <c r="AO651" s="21" t="str">
        <f>_xlfn.XLOOKUP(A:A,[1]TAGS!$A:$A,[1]TAGS!$BG:$BG)</f>
        <v>Não Montado</v>
      </c>
      <c r="AP651" s="21"/>
      <c r="AQ651" s="21"/>
      <c r="AR651" s="21"/>
      <c r="AS651" s="21"/>
      <c r="AT651" s="21"/>
      <c r="AU651" s="21"/>
    </row>
    <row r="652" spans="1:47" x14ac:dyDescent="0.35">
      <c r="A652" s="19" t="s">
        <v>2295</v>
      </c>
      <c r="B652" s="19" t="s">
        <v>52</v>
      </c>
      <c r="C652" s="19"/>
      <c r="D652" s="19" t="s">
        <v>53</v>
      </c>
      <c r="E652" s="19" t="s">
        <v>460</v>
      </c>
      <c r="F652" s="20" t="s">
        <v>1693</v>
      </c>
      <c r="G652" s="20" t="s">
        <v>2296</v>
      </c>
      <c r="H652" s="19" t="s">
        <v>2297</v>
      </c>
      <c r="I652" s="20" t="s">
        <v>58</v>
      </c>
      <c r="J652" s="20" t="s">
        <v>2298</v>
      </c>
      <c r="K652" s="20" t="s">
        <v>2299</v>
      </c>
      <c r="L652" s="19" t="s">
        <v>61</v>
      </c>
      <c r="M652" s="19" t="s">
        <v>62</v>
      </c>
      <c r="N652" s="20" t="s">
        <v>63</v>
      </c>
      <c r="O652" s="19">
        <v>21</v>
      </c>
      <c r="P652" s="19">
        <v>3.73</v>
      </c>
      <c r="Q652" s="19">
        <v>1</v>
      </c>
      <c r="R652" s="20">
        <v>8</v>
      </c>
      <c r="S652" s="19">
        <v>6.6000000000000003E-2</v>
      </c>
      <c r="T652" s="19" t="s">
        <v>64</v>
      </c>
      <c r="U652" s="19" t="s">
        <v>65</v>
      </c>
      <c r="V652" s="19" t="s">
        <v>66</v>
      </c>
      <c r="W652" s="19" t="s">
        <v>67</v>
      </c>
      <c r="X652" s="19" t="s">
        <v>68</v>
      </c>
      <c r="Y652" s="21" t="s">
        <v>711</v>
      </c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2"/>
      <c r="AK652" s="22"/>
      <c r="AL652" s="21" t="str">
        <f>_xlfn.XLOOKUP(A:A,[1]TAGS!$A:$A,[1]TAGS!$BG:$BG)</f>
        <v>Não Montado</v>
      </c>
      <c r="AM652" s="21" t="s">
        <v>70</v>
      </c>
      <c r="AN652" s="22"/>
      <c r="AO652" s="21" t="str">
        <f>_xlfn.XLOOKUP(A:A,[1]TAGS!$A:$A,[1]TAGS!$BG:$BG)</f>
        <v>Não Montado</v>
      </c>
      <c r="AP652" s="21"/>
      <c r="AQ652" s="21"/>
      <c r="AR652" s="21"/>
      <c r="AS652" s="21"/>
      <c r="AT652" s="21"/>
      <c r="AU652" s="21"/>
    </row>
    <row r="653" spans="1:47" x14ac:dyDescent="0.35">
      <c r="A653" s="19" t="s">
        <v>2300</v>
      </c>
      <c r="B653" s="19" t="s">
        <v>52</v>
      </c>
      <c r="C653" s="19"/>
      <c r="D653" s="19" t="s">
        <v>53</v>
      </c>
      <c r="E653" s="19" t="s">
        <v>460</v>
      </c>
      <c r="F653" s="20" t="s">
        <v>1693</v>
      </c>
      <c r="G653" s="20" t="s">
        <v>2296</v>
      </c>
      <c r="H653" s="19" t="s">
        <v>2301</v>
      </c>
      <c r="I653" s="20" t="s">
        <v>58</v>
      </c>
      <c r="J653" s="20" t="s">
        <v>2298</v>
      </c>
      <c r="K653" s="20" t="s">
        <v>2302</v>
      </c>
      <c r="L653" s="19" t="s">
        <v>61</v>
      </c>
      <c r="M653" s="19" t="s">
        <v>62</v>
      </c>
      <c r="N653" s="20" t="s">
        <v>63</v>
      </c>
      <c r="O653" s="19">
        <v>21</v>
      </c>
      <c r="P653" s="19">
        <v>3.73</v>
      </c>
      <c r="Q653" s="19">
        <v>1</v>
      </c>
      <c r="R653" s="20">
        <v>8</v>
      </c>
      <c r="S653" s="19">
        <v>6.6000000000000003E-2</v>
      </c>
      <c r="T653" s="19" t="s">
        <v>64</v>
      </c>
      <c r="U653" s="19" t="s">
        <v>65</v>
      </c>
      <c r="V653" s="19" t="s">
        <v>66</v>
      </c>
      <c r="W653" s="19" t="s">
        <v>67</v>
      </c>
      <c r="X653" s="19" t="s">
        <v>68</v>
      </c>
      <c r="Y653" s="21" t="s">
        <v>711</v>
      </c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2"/>
      <c r="AK653" s="22"/>
      <c r="AL653" s="21" t="str">
        <f>_xlfn.XLOOKUP(A:A,[1]TAGS!$A:$A,[1]TAGS!$BG:$BG)</f>
        <v>Não Montado</v>
      </c>
      <c r="AM653" s="21" t="s">
        <v>70</v>
      </c>
      <c r="AN653" s="22"/>
      <c r="AO653" s="21" t="str">
        <f>_xlfn.XLOOKUP(A:A,[1]TAGS!$A:$A,[1]TAGS!$BG:$BG)</f>
        <v>Não Montado</v>
      </c>
      <c r="AP653" s="21"/>
      <c r="AQ653" s="21"/>
      <c r="AR653" s="21"/>
      <c r="AS653" s="21"/>
      <c r="AT653" s="21"/>
      <c r="AU653" s="21"/>
    </row>
    <row r="654" spans="1:47" x14ac:dyDescent="0.35">
      <c r="A654" s="19" t="s">
        <v>2303</v>
      </c>
      <c r="B654" s="19" t="s">
        <v>52</v>
      </c>
      <c r="C654" s="19"/>
      <c r="D654" s="19" t="s">
        <v>53</v>
      </c>
      <c r="E654" s="19" t="s">
        <v>460</v>
      </c>
      <c r="F654" s="20" t="s">
        <v>55</v>
      </c>
      <c r="G654" s="20" t="s">
        <v>56</v>
      </c>
      <c r="H654" s="19" t="s">
        <v>2304</v>
      </c>
      <c r="I654" s="20" t="s">
        <v>58</v>
      </c>
      <c r="J654" s="20" t="s">
        <v>59</v>
      </c>
      <c r="K654" s="20" t="s">
        <v>2305</v>
      </c>
      <c r="L654" s="19" t="s">
        <v>61</v>
      </c>
      <c r="M654" s="19" t="s">
        <v>62</v>
      </c>
      <c r="N654" s="20" t="s">
        <v>63</v>
      </c>
      <c r="O654" s="19">
        <v>21</v>
      </c>
      <c r="P654" s="19">
        <v>3.73</v>
      </c>
      <c r="Q654" s="19">
        <v>1</v>
      </c>
      <c r="R654" s="20">
        <v>8</v>
      </c>
      <c r="S654" s="19">
        <v>6.6000000000000003E-2</v>
      </c>
      <c r="T654" s="19" t="s">
        <v>64</v>
      </c>
      <c r="U654" s="19" t="s">
        <v>65</v>
      </c>
      <c r="V654" s="19" t="s">
        <v>66</v>
      </c>
      <c r="W654" s="19" t="s">
        <v>67</v>
      </c>
      <c r="X654" s="19" t="s">
        <v>68</v>
      </c>
      <c r="Y654" s="21" t="s">
        <v>711</v>
      </c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2"/>
      <c r="AK654" s="22"/>
      <c r="AL654" s="21" t="str">
        <f>_xlfn.XLOOKUP(A:A,[1]TAGS!$A:$A,[1]TAGS!$BG:$BG)</f>
        <v>Não Montado</v>
      </c>
      <c r="AM654" s="21" t="s">
        <v>70</v>
      </c>
      <c r="AN654" s="22"/>
      <c r="AO654" s="21" t="str">
        <f>_xlfn.XLOOKUP(A:A,[1]TAGS!$A:$A,[1]TAGS!$BG:$BG)</f>
        <v>Não Montado</v>
      </c>
      <c r="AP654" s="21"/>
      <c r="AQ654" s="21"/>
      <c r="AR654" s="21"/>
      <c r="AS654" s="21"/>
      <c r="AT654" s="21"/>
      <c r="AU654" s="21"/>
    </row>
    <row r="655" spans="1:47" x14ac:dyDescent="0.35">
      <c r="A655" s="19" t="s">
        <v>2306</v>
      </c>
      <c r="B655" s="19" t="s">
        <v>52</v>
      </c>
      <c r="C655" s="19"/>
      <c r="D655" s="19" t="s">
        <v>53</v>
      </c>
      <c r="E655" s="19" t="s">
        <v>460</v>
      </c>
      <c r="F655" s="20" t="s">
        <v>55</v>
      </c>
      <c r="G655" s="20" t="s">
        <v>56</v>
      </c>
      <c r="H655" s="19" t="s">
        <v>2307</v>
      </c>
      <c r="I655" s="20" t="s">
        <v>58</v>
      </c>
      <c r="J655" s="20" t="s">
        <v>59</v>
      </c>
      <c r="K655" s="20" t="s">
        <v>2308</v>
      </c>
      <c r="L655" s="19" t="s">
        <v>61</v>
      </c>
      <c r="M655" s="19" t="s">
        <v>62</v>
      </c>
      <c r="N655" s="20" t="s">
        <v>63</v>
      </c>
      <c r="O655" s="19">
        <v>21</v>
      </c>
      <c r="P655" s="19">
        <v>3.73</v>
      </c>
      <c r="Q655" s="19">
        <v>1</v>
      </c>
      <c r="R655" s="20">
        <v>8</v>
      </c>
      <c r="S655" s="19">
        <v>6.6000000000000003E-2</v>
      </c>
      <c r="T655" s="19" t="s">
        <v>64</v>
      </c>
      <c r="U655" s="19" t="s">
        <v>65</v>
      </c>
      <c r="V655" s="19" t="s">
        <v>66</v>
      </c>
      <c r="W655" s="19" t="s">
        <v>67</v>
      </c>
      <c r="X655" s="19" t="s">
        <v>68</v>
      </c>
      <c r="Y655" s="21" t="s">
        <v>711</v>
      </c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2"/>
      <c r="AK655" s="22"/>
      <c r="AL655" s="21" t="str">
        <f>_xlfn.XLOOKUP(A:A,[1]TAGS!$A:$A,[1]TAGS!$BG:$BG)</f>
        <v>Não Montado</v>
      </c>
      <c r="AM655" s="21" t="s">
        <v>70</v>
      </c>
      <c r="AN655" s="22"/>
      <c r="AO655" s="21" t="str">
        <f>_xlfn.XLOOKUP(A:A,[1]TAGS!$A:$A,[1]TAGS!$BG:$BG)</f>
        <v>Não Montado</v>
      </c>
      <c r="AP655" s="21"/>
      <c r="AQ655" s="21"/>
      <c r="AR655" s="21"/>
      <c r="AS655" s="21"/>
      <c r="AT655" s="21"/>
      <c r="AU655" s="21"/>
    </row>
    <row r="656" spans="1:47" x14ac:dyDescent="0.35">
      <c r="A656" s="19" t="s">
        <v>2309</v>
      </c>
      <c r="B656" s="19" t="s">
        <v>52</v>
      </c>
      <c r="C656" s="19"/>
      <c r="D656" s="19" t="s">
        <v>53</v>
      </c>
      <c r="E656" s="19" t="s">
        <v>460</v>
      </c>
      <c r="F656" s="20" t="s">
        <v>55</v>
      </c>
      <c r="G656" s="20" t="s">
        <v>56</v>
      </c>
      <c r="H656" s="19" t="s">
        <v>2310</v>
      </c>
      <c r="I656" s="20" t="s">
        <v>58</v>
      </c>
      <c r="J656" s="20" t="s">
        <v>59</v>
      </c>
      <c r="K656" s="20" t="s">
        <v>2311</v>
      </c>
      <c r="L656" s="19" t="s">
        <v>61</v>
      </c>
      <c r="M656" s="19" t="s">
        <v>62</v>
      </c>
      <c r="N656" s="19" t="s">
        <v>63</v>
      </c>
      <c r="O656" s="19">
        <v>21</v>
      </c>
      <c r="P656" s="19">
        <v>3.73</v>
      </c>
      <c r="Q656" s="19">
        <v>1</v>
      </c>
      <c r="R656" s="20">
        <v>8</v>
      </c>
      <c r="S656" s="19">
        <v>6.6000000000000003E-2</v>
      </c>
      <c r="T656" s="19" t="s">
        <v>64</v>
      </c>
      <c r="U656" s="19" t="s">
        <v>65</v>
      </c>
      <c r="V656" s="19" t="s">
        <v>66</v>
      </c>
      <c r="W656" s="19" t="s">
        <v>67</v>
      </c>
      <c r="X656" s="19" t="s">
        <v>68</v>
      </c>
      <c r="Y656" s="21" t="s">
        <v>623</v>
      </c>
      <c r="Z656" s="21" t="s">
        <v>624</v>
      </c>
      <c r="AA656" s="21" t="s">
        <v>692</v>
      </c>
      <c r="AB656" s="21">
        <v>1</v>
      </c>
      <c r="AC656" s="21"/>
      <c r="AD656" s="21"/>
      <c r="AE656" s="21"/>
      <c r="AF656" s="21"/>
      <c r="AG656" s="21" t="s">
        <v>2309</v>
      </c>
      <c r="AH656" s="21"/>
      <c r="AI656" s="21"/>
      <c r="AJ656" s="22"/>
      <c r="AK656" s="22"/>
      <c r="AL656" s="21" t="str">
        <f>_xlfn.XLOOKUP(A:A,[1]TAGS!$A:$A,[1]TAGS!$BG:$BG)</f>
        <v>Não Montado</v>
      </c>
      <c r="AM656" s="21" t="s">
        <v>70</v>
      </c>
      <c r="AN656" s="22"/>
      <c r="AO656" s="21" t="str">
        <f>_xlfn.XLOOKUP(A:A,[1]TAGS!$A:$A,[1]TAGS!$BG:$BG)</f>
        <v>Não Montado</v>
      </c>
      <c r="AP656" s="21"/>
      <c r="AQ656" s="21"/>
      <c r="AR656" s="21"/>
      <c r="AS656" s="21"/>
      <c r="AT656" s="21"/>
      <c r="AU656" s="21"/>
    </row>
    <row r="657" spans="1:47" x14ac:dyDescent="0.35">
      <c r="A657" s="19" t="s">
        <v>2312</v>
      </c>
      <c r="B657" s="19" t="s">
        <v>52</v>
      </c>
      <c r="C657" s="19"/>
      <c r="D657" s="19" t="s">
        <v>53</v>
      </c>
      <c r="E657" s="19" t="s">
        <v>460</v>
      </c>
      <c r="F657" s="20" t="s">
        <v>55</v>
      </c>
      <c r="G657" s="20" t="s">
        <v>56</v>
      </c>
      <c r="H657" s="19" t="s">
        <v>2313</v>
      </c>
      <c r="I657" s="20" t="s">
        <v>58</v>
      </c>
      <c r="J657" s="20" t="s">
        <v>59</v>
      </c>
      <c r="K657" s="20" t="s">
        <v>2314</v>
      </c>
      <c r="L657" s="19" t="s">
        <v>61</v>
      </c>
      <c r="M657" s="19" t="s">
        <v>62</v>
      </c>
      <c r="N657" s="19" t="s">
        <v>63</v>
      </c>
      <c r="O657" s="19">
        <v>21</v>
      </c>
      <c r="P657" s="19">
        <v>3.73</v>
      </c>
      <c r="Q657" s="19">
        <v>1</v>
      </c>
      <c r="R657" s="20">
        <v>8</v>
      </c>
      <c r="S657" s="19">
        <v>6.6000000000000003E-2</v>
      </c>
      <c r="T657" s="19" t="s">
        <v>64</v>
      </c>
      <c r="U657" s="19" t="s">
        <v>65</v>
      </c>
      <c r="V657" s="19" t="s">
        <v>66</v>
      </c>
      <c r="W657" s="19" t="s">
        <v>67</v>
      </c>
      <c r="X657" s="19" t="s">
        <v>68</v>
      </c>
      <c r="Y657" s="21" t="s">
        <v>623</v>
      </c>
      <c r="Z657" s="21" t="s">
        <v>624</v>
      </c>
      <c r="AA657" s="21" t="s">
        <v>692</v>
      </c>
      <c r="AB657" s="21">
        <v>2</v>
      </c>
      <c r="AC657" s="21"/>
      <c r="AD657" s="21"/>
      <c r="AE657" s="21"/>
      <c r="AF657" s="21"/>
      <c r="AG657" s="21" t="s">
        <v>2312</v>
      </c>
      <c r="AH657" s="21"/>
      <c r="AI657" s="21"/>
      <c r="AJ657" s="22"/>
      <c r="AK657" s="22"/>
      <c r="AL657" s="21" t="str">
        <f>_xlfn.XLOOKUP(A:A,[1]TAGS!$A:$A,[1]TAGS!$BG:$BG)</f>
        <v>Não Montado</v>
      </c>
      <c r="AM657" s="21" t="s">
        <v>70</v>
      </c>
      <c r="AN657" s="22"/>
      <c r="AO657" s="21" t="str">
        <f>_xlfn.XLOOKUP(A:A,[1]TAGS!$A:$A,[1]TAGS!$BG:$BG)</f>
        <v>Não Montado</v>
      </c>
      <c r="AP657" s="21"/>
      <c r="AQ657" s="21"/>
      <c r="AR657" s="21"/>
      <c r="AS657" s="21"/>
      <c r="AT657" s="21"/>
      <c r="AU657" s="21"/>
    </row>
    <row r="658" spans="1:47" x14ac:dyDescent="0.35">
      <c r="A658" s="19" t="s">
        <v>2315</v>
      </c>
      <c r="B658" s="19" t="s">
        <v>52</v>
      </c>
      <c r="C658" s="19"/>
      <c r="D658" s="19" t="s">
        <v>53</v>
      </c>
      <c r="E658" s="19" t="s">
        <v>460</v>
      </c>
      <c r="F658" s="20" t="s">
        <v>55</v>
      </c>
      <c r="G658" s="20" t="s">
        <v>56</v>
      </c>
      <c r="H658" s="19" t="s">
        <v>2316</v>
      </c>
      <c r="I658" s="20" t="s">
        <v>58</v>
      </c>
      <c r="J658" s="20" t="s">
        <v>59</v>
      </c>
      <c r="K658" s="20" t="s">
        <v>2317</v>
      </c>
      <c r="L658" s="19" t="s">
        <v>61</v>
      </c>
      <c r="M658" s="19" t="s">
        <v>62</v>
      </c>
      <c r="N658" s="19" t="s">
        <v>63</v>
      </c>
      <c r="O658" s="19">
        <v>21</v>
      </c>
      <c r="P658" s="19">
        <v>3.73</v>
      </c>
      <c r="Q658" s="19">
        <v>1</v>
      </c>
      <c r="R658" s="20">
        <v>8</v>
      </c>
      <c r="S658" s="19">
        <v>6.6000000000000003E-2</v>
      </c>
      <c r="T658" s="19" t="s">
        <v>64</v>
      </c>
      <c r="U658" s="19" t="s">
        <v>65</v>
      </c>
      <c r="V658" s="19" t="s">
        <v>66</v>
      </c>
      <c r="W658" s="19" t="s">
        <v>67</v>
      </c>
      <c r="X658" s="19" t="s">
        <v>68</v>
      </c>
      <c r="Y658" s="21" t="s">
        <v>623</v>
      </c>
      <c r="Z658" s="21" t="s">
        <v>624</v>
      </c>
      <c r="AA658" s="21" t="s">
        <v>692</v>
      </c>
      <c r="AB658" s="21">
        <v>3</v>
      </c>
      <c r="AC658" s="21"/>
      <c r="AD658" s="21"/>
      <c r="AE658" s="21"/>
      <c r="AF658" s="21"/>
      <c r="AG658" s="21" t="s">
        <v>2315</v>
      </c>
      <c r="AH658" s="21"/>
      <c r="AI658" s="21"/>
      <c r="AJ658" s="22"/>
      <c r="AK658" s="22"/>
      <c r="AL658" s="21" t="str">
        <f>_xlfn.XLOOKUP(A:A,[1]TAGS!$A:$A,[1]TAGS!$BG:$BG)</f>
        <v>Não Montado</v>
      </c>
      <c r="AM658" s="21" t="s">
        <v>70</v>
      </c>
      <c r="AN658" s="22"/>
      <c r="AO658" s="21" t="str">
        <f>_xlfn.XLOOKUP(A:A,[1]TAGS!$A:$A,[1]TAGS!$BG:$BG)</f>
        <v>Não Montado</v>
      </c>
      <c r="AP658" s="21"/>
      <c r="AQ658" s="21"/>
      <c r="AR658" s="21"/>
      <c r="AS658" s="21"/>
      <c r="AT658" s="21"/>
      <c r="AU658" s="21"/>
    </row>
    <row r="659" spans="1:47" x14ac:dyDescent="0.35">
      <c r="A659" s="19" t="s">
        <v>2318</v>
      </c>
      <c r="B659" s="19" t="s">
        <v>52</v>
      </c>
      <c r="C659" s="19"/>
      <c r="D659" s="19" t="s">
        <v>53</v>
      </c>
      <c r="E659" s="19" t="s">
        <v>460</v>
      </c>
      <c r="F659" s="20" t="s">
        <v>55</v>
      </c>
      <c r="G659" s="20" t="s">
        <v>56</v>
      </c>
      <c r="H659" s="19" t="s">
        <v>2319</v>
      </c>
      <c r="I659" s="20" t="s">
        <v>58</v>
      </c>
      <c r="J659" s="20" t="s">
        <v>59</v>
      </c>
      <c r="K659" s="20" t="s">
        <v>2320</v>
      </c>
      <c r="L659" s="19" t="s">
        <v>61</v>
      </c>
      <c r="M659" s="19" t="s">
        <v>62</v>
      </c>
      <c r="N659" s="19" t="s">
        <v>683</v>
      </c>
      <c r="O659" s="19">
        <v>21</v>
      </c>
      <c r="P659" s="19">
        <v>3.73</v>
      </c>
      <c r="Q659" s="19">
        <v>1</v>
      </c>
      <c r="R659" s="20">
        <v>8</v>
      </c>
      <c r="S659" s="19">
        <v>6.6000000000000003E-2</v>
      </c>
      <c r="T659" s="19" t="s">
        <v>64</v>
      </c>
      <c r="U659" s="19" t="s">
        <v>65</v>
      </c>
      <c r="V659" s="19" t="s">
        <v>66</v>
      </c>
      <c r="W659" s="19" t="s">
        <v>67</v>
      </c>
      <c r="X659" s="19" t="s">
        <v>68</v>
      </c>
      <c r="Y659" s="21" t="s">
        <v>623</v>
      </c>
      <c r="Z659" s="21" t="s">
        <v>624</v>
      </c>
      <c r="AA659" s="21" t="s">
        <v>625</v>
      </c>
      <c r="AB659" s="21">
        <v>4</v>
      </c>
      <c r="AC659" s="21"/>
      <c r="AD659" s="21"/>
      <c r="AE659" s="21"/>
      <c r="AF659" s="21"/>
      <c r="AG659" s="21" t="s">
        <v>2318</v>
      </c>
      <c r="AH659" s="21"/>
      <c r="AI659" s="21"/>
      <c r="AJ659" s="22"/>
      <c r="AK659" s="22"/>
      <c r="AL659" s="21" t="str">
        <f>_xlfn.XLOOKUP(A:A,[1]TAGS!$A:$A,[1]TAGS!$BG:$BG)</f>
        <v>Não Montado</v>
      </c>
      <c r="AM659" s="21" t="s">
        <v>70</v>
      </c>
      <c r="AN659" s="22"/>
      <c r="AO659" s="21" t="str">
        <f>_xlfn.XLOOKUP(A:A,[1]TAGS!$A:$A,[1]TAGS!$BG:$BG)</f>
        <v>Não Montado</v>
      </c>
      <c r="AP659" s="21"/>
      <c r="AQ659" s="21"/>
      <c r="AR659" s="21"/>
      <c r="AS659" s="21"/>
      <c r="AT659" s="21"/>
      <c r="AU659" s="21"/>
    </row>
    <row r="660" spans="1:47" x14ac:dyDescent="0.35">
      <c r="A660" s="19" t="s">
        <v>2321</v>
      </c>
      <c r="B660" s="19" t="s">
        <v>52</v>
      </c>
      <c r="C660" s="19"/>
      <c r="D660" s="19" t="s">
        <v>53</v>
      </c>
      <c r="E660" s="19" t="s">
        <v>460</v>
      </c>
      <c r="F660" s="20" t="s">
        <v>55</v>
      </c>
      <c r="G660" s="20" t="s">
        <v>56</v>
      </c>
      <c r="H660" s="19" t="s">
        <v>2322</v>
      </c>
      <c r="I660" s="20" t="s">
        <v>58</v>
      </c>
      <c r="J660" s="20" t="s">
        <v>59</v>
      </c>
      <c r="K660" s="20" t="s">
        <v>2323</v>
      </c>
      <c r="L660" s="19" t="s">
        <v>61</v>
      </c>
      <c r="M660" s="19" t="s">
        <v>62</v>
      </c>
      <c r="N660" s="19" t="s">
        <v>63</v>
      </c>
      <c r="O660" s="19">
        <v>21</v>
      </c>
      <c r="P660" s="19">
        <v>3.73</v>
      </c>
      <c r="Q660" s="19">
        <v>1</v>
      </c>
      <c r="R660" s="20">
        <v>8</v>
      </c>
      <c r="S660" s="19">
        <v>6.6000000000000003E-2</v>
      </c>
      <c r="T660" s="19" t="s">
        <v>64</v>
      </c>
      <c r="U660" s="19" t="s">
        <v>65</v>
      </c>
      <c r="V660" s="19" t="s">
        <v>66</v>
      </c>
      <c r="W660" s="19" t="s">
        <v>67</v>
      </c>
      <c r="X660" s="19" t="s">
        <v>68</v>
      </c>
      <c r="Y660" s="21" t="s">
        <v>623</v>
      </c>
      <c r="Z660" s="21" t="s">
        <v>2148</v>
      </c>
      <c r="AA660" s="21" t="s">
        <v>625</v>
      </c>
      <c r="AB660" s="21">
        <v>4</v>
      </c>
      <c r="AC660" s="21"/>
      <c r="AD660" s="21"/>
      <c r="AE660" s="21"/>
      <c r="AF660" s="21"/>
      <c r="AG660" s="21" t="s">
        <v>2321</v>
      </c>
      <c r="AH660" s="21"/>
      <c r="AI660" s="21"/>
      <c r="AJ660" s="22"/>
      <c r="AK660" s="22"/>
      <c r="AL660" s="21" t="str">
        <f>_xlfn.XLOOKUP(A:A,[1]TAGS!$A:$A,[1]TAGS!$BG:$BG)</f>
        <v>Não Montado</v>
      </c>
      <c r="AM660" s="21" t="s">
        <v>70</v>
      </c>
      <c r="AN660" s="22"/>
      <c r="AO660" s="21" t="str">
        <f>_xlfn.XLOOKUP(A:A,[1]TAGS!$A:$A,[1]TAGS!$BG:$BG)</f>
        <v>Não Montado</v>
      </c>
      <c r="AP660" s="21"/>
      <c r="AQ660" s="21"/>
      <c r="AR660" s="21"/>
      <c r="AS660" s="21"/>
      <c r="AT660" s="21"/>
      <c r="AU660" s="21"/>
    </row>
    <row r="661" spans="1:47" x14ac:dyDescent="0.35">
      <c r="A661" s="19" t="s">
        <v>2324</v>
      </c>
      <c r="B661" s="19" t="s">
        <v>52</v>
      </c>
      <c r="C661" s="19"/>
      <c r="D661" s="19" t="s">
        <v>53</v>
      </c>
      <c r="E661" s="19" t="s">
        <v>460</v>
      </c>
      <c r="F661" s="20" t="s">
        <v>55</v>
      </c>
      <c r="G661" s="20" t="s">
        <v>56</v>
      </c>
      <c r="H661" s="19" t="s">
        <v>2325</v>
      </c>
      <c r="I661" s="20" t="s">
        <v>58</v>
      </c>
      <c r="J661" s="20" t="s">
        <v>59</v>
      </c>
      <c r="K661" s="20" t="s">
        <v>2326</v>
      </c>
      <c r="L661" s="19" t="s">
        <v>61</v>
      </c>
      <c r="M661" s="19" t="s">
        <v>62</v>
      </c>
      <c r="N661" s="19" t="s">
        <v>63</v>
      </c>
      <c r="O661" s="19">
        <v>21</v>
      </c>
      <c r="P661" s="19">
        <v>3.73</v>
      </c>
      <c r="Q661" s="19">
        <v>1</v>
      </c>
      <c r="R661" s="20">
        <v>8</v>
      </c>
      <c r="S661" s="19">
        <v>6.6000000000000003E-2</v>
      </c>
      <c r="T661" s="19" t="s">
        <v>64</v>
      </c>
      <c r="U661" s="19" t="s">
        <v>65</v>
      </c>
      <c r="V661" s="19" t="s">
        <v>66</v>
      </c>
      <c r="W661" s="19" t="s">
        <v>67</v>
      </c>
      <c r="X661" s="19" t="s">
        <v>68</v>
      </c>
      <c r="Y661" s="21" t="s">
        <v>623</v>
      </c>
      <c r="Z661" s="21" t="s">
        <v>624</v>
      </c>
      <c r="AA661" s="21" t="s">
        <v>692</v>
      </c>
      <c r="AB661" s="21">
        <v>4</v>
      </c>
      <c r="AC661" s="21"/>
      <c r="AD661" s="21"/>
      <c r="AE661" s="21"/>
      <c r="AF661" s="21"/>
      <c r="AG661" s="21" t="s">
        <v>2324</v>
      </c>
      <c r="AH661" s="21"/>
      <c r="AI661" s="21"/>
      <c r="AJ661" s="22"/>
      <c r="AK661" s="22"/>
      <c r="AL661" s="21" t="str">
        <f>_xlfn.XLOOKUP(A:A,[1]TAGS!$A:$A,[1]TAGS!$BG:$BG)</f>
        <v>Não Montado</v>
      </c>
      <c r="AM661" s="21" t="s">
        <v>70</v>
      </c>
      <c r="AN661" s="22"/>
      <c r="AO661" s="21" t="str">
        <f>_xlfn.XLOOKUP(A:A,[1]TAGS!$A:$A,[1]TAGS!$BG:$BG)</f>
        <v>Não Montado</v>
      </c>
      <c r="AP661" s="21"/>
      <c r="AQ661" s="21"/>
      <c r="AR661" s="21"/>
      <c r="AS661" s="21"/>
      <c r="AT661" s="21"/>
      <c r="AU661" s="21"/>
    </row>
    <row r="662" spans="1:47" x14ac:dyDescent="0.35">
      <c r="A662" s="19" t="s">
        <v>2327</v>
      </c>
      <c r="B662" s="19" t="s">
        <v>52</v>
      </c>
      <c r="C662" s="19"/>
      <c r="D662" s="19" t="s">
        <v>53</v>
      </c>
      <c r="E662" s="19" t="s">
        <v>460</v>
      </c>
      <c r="F662" s="20" t="s">
        <v>397</v>
      </c>
      <c r="G662" s="20" t="s">
        <v>398</v>
      </c>
      <c r="H662" s="19" t="s">
        <v>2328</v>
      </c>
      <c r="I662" s="20" t="s">
        <v>58</v>
      </c>
      <c r="J662" s="20" t="s">
        <v>400</v>
      </c>
      <c r="K662" s="20" t="s">
        <v>2329</v>
      </c>
      <c r="L662" s="19" t="s">
        <v>61</v>
      </c>
      <c r="M662" s="19" t="s">
        <v>62</v>
      </c>
      <c r="N662" s="19" t="s">
        <v>683</v>
      </c>
      <c r="O662" s="19">
        <v>21</v>
      </c>
      <c r="P662" s="19">
        <v>3.73</v>
      </c>
      <c r="Q662" s="19">
        <v>1</v>
      </c>
      <c r="R662" s="20">
        <v>8</v>
      </c>
      <c r="S662" s="19">
        <v>6.6000000000000003E-2</v>
      </c>
      <c r="T662" s="19" t="s">
        <v>64</v>
      </c>
      <c r="U662" s="19" t="s">
        <v>65</v>
      </c>
      <c r="V662" s="19" t="s">
        <v>66</v>
      </c>
      <c r="W662" s="19" t="s">
        <v>67</v>
      </c>
      <c r="X662" s="19" t="s">
        <v>68</v>
      </c>
      <c r="Y662" s="21" t="s">
        <v>623</v>
      </c>
      <c r="Z662" s="21" t="s">
        <v>624</v>
      </c>
      <c r="AA662" s="21" t="s">
        <v>625</v>
      </c>
      <c r="AB662" s="21">
        <v>2</v>
      </c>
      <c r="AC662" s="21"/>
      <c r="AD662" s="21"/>
      <c r="AE662" s="21"/>
      <c r="AF662" s="21"/>
      <c r="AG662" s="21" t="s">
        <v>2327</v>
      </c>
      <c r="AH662" s="21"/>
      <c r="AI662" s="21"/>
      <c r="AJ662" s="22"/>
      <c r="AK662" s="22"/>
      <c r="AL662" s="21" t="str">
        <f>_xlfn.XLOOKUP(A:A,[1]TAGS!$A:$A,[1]TAGS!$BG:$BG)</f>
        <v>Não Montado</v>
      </c>
      <c r="AM662" s="21" t="s">
        <v>70</v>
      </c>
      <c r="AN662" s="22"/>
      <c r="AO662" s="21" t="str">
        <f>_xlfn.XLOOKUP(A:A,[1]TAGS!$A:$A,[1]TAGS!$BG:$BG)</f>
        <v>Não Montado</v>
      </c>
      <c r="AP662" s="21"/>
      <c r="AQ662" s="21"/>
      <c r="AR662" s="21"/>
      <c r="AS662" s="21"/>
      <c r="AT662" s="21"/>
      <c r="AU662" s="21"/>
    </row>
    <row r="663" spans="1:47" x14ac:dyDescent="0.35">
      <c r="A663" s="19" t="s">
        <v>2330</v>
      </c>
      <c r="B663" s="19" t="s">
        <v>52</v>
      </c>
      <c r="C663" s="19"/>
      <c r="D663" s="19" t="s">
        <v>53</v>
      </c>
      <c r="E663" s="19" t="s">
        <v>460</v>
      </c>
      <c r="F663" s="20" t="s">
        <v>370</v>
      </c>
      <c r="G663" s="20" t="s">
        <v>371</v>
      </c>
      <c r="H663" s="19" t="s">
        <v>2331</v>
      </c>
      <c r="I663" s="20" t="s">
        <v>58</v>
      </c>
      <c r="J663" s="20" t="s">
        <v>373</v>
      </c>
      <c r="K663" s="20" t="s">
        <v>2332</v>
      </c>
      <c r="L663" s="19" t="s">
        <v>61</v>
      </c>
      <c r="M663" s="19" t="s">
        <v>62</v>
      </c>
      <c r="N663" s="19" t="s">
        <v>683</v>
      </c>
      <c r="O663" s="19">
        <v>21</v>
      </c>
      <c r="P663" s="19">
        <v>3.73</v>
      </c>
      <c r="Q663" s="19">
        <v>1</v>
      </c>
      <c r="R663" s="20">
        <v>8</v>
      </c>
      <c r="S663" s="19">
        <v>6.6000000000000003E-2</v>
      </c>
      <c r="T663" s="19" t="s">
        <v>64</v>
      </c>
      <c r="U663" s="19" t="s">
        <v>65</v>
      </c>
      <c r="V663" s="19" t="s">
        <v>66</v>
      </c>
      <c r="W663" s="19" t="s">
        <v>67</v>
      </c>
      <c r="X663" s="19" t="s">
        <v>68</v>
      </c>
      <c r="Y663" s="21" t="s">
        <v>623</v>
      </c>
      <c r="Z663" s="21" t="s">
        <v>2333</v>
      </c>
      <c r="AA663" s="21" t="s">
        <v>625</v>
      </c>
      <c r="AB663" s="21">
        <v>1</v>
      </c>
      <c r="AC663" s="21"/>
      <c r="AD663" s="21"/>
      <c r="AE663" s="21"/>
      <c r="AF663" s="21"/>
      <c r="AG663" s="21" t="s">
        <v>2330</v>
      </c>
      <c r="AH663" s="21"/>
      <c r="AI663" s="21"/>
      <c r="AJ663" s="22"/>
      <c r="AK663" s="22"/>
      <c r="AL663" s="21" t="str">
        <f>_xlfn.XLOOKUP(A:A,[1]TAGS!$A:$A,[1]TAGS!$BG:$BG)</f>
        <v>Não Montado</v>
      </c>
      <c r="AM663" s="21" t="s">
        <v>70</v>
      </c>
      <c r="AN663" s="22"/>
      <c r="AO663" s="21" t="str">
        <f>_xlfn.XLOOKUP(A:A,[1]TAGS!$A:$A,[1]TAGS!$BG:$BG)</f>
        <v>Não Montado</v>
      </c>
      <c r="AP663" s="21"/>
      <c r="AQ663" s="21"/>
      <c r="AR663" s="21"/>
      <c r="AS663" s="21"/>
      <c r="AT663" s="21"/>
      <c r="AU663" s="21"/>
    </row>
    <row r="664" spans="1:47" x14ac:dyDescent="0.35">
      <c r="A664" s="19" t="s">
        <v>2334</v>
      </c>
      <c r="B664" s="19" t="s">
        <v>52</v>
      </c>
      <c r="C664" s="19"/>
      <c r="D664" s="19" t="s">
        <v>53</v>
      </c>
      <c r="E664" s="19" t="s">
        <v>460</v>
      </c>
      <c r="F664" s="20" t="s">
        <v>370</v>
      </c>
      <c r="G664" s="20" t="s">
        <v>371</v>
      </c>
      <c r="H664" s="19" t="s">
        <v>2335</v>
      </c>
      <c r="I664" s="20" t="s">
        <v>58</v>
      </c>
      <c r="J664" s="20" t="s">
        <v>373</v>
      </c>
      <c r="K664" s="20" t="s">
        <v>2336</v>
      </c>
      <c r="L664" s="19" t="s">
        <v>61</v>
      </c>
      <c r="M664" s="19" t="s">
        <v>62</v>
      </c>
      <c r="N664" s="20" t="s">
        <v>63</v>
      </c>
      <c r="O664" s="19">
        <v>21</v>
      </c>
      <c r="P664" s="19">
        <v>3.73</v>
      </c>
      <c r="Q664" s="19">
        <v>1</v>
      </c>
      <c r="R664" s="20">
        <v>8</v>
      </c>
      <c r="S664" s="19">
        <v>6.6000000000000003E-2</v>
      </c>
      <c r="T664" s="19" t="s">
        <v>64</v>
      </c>
      <c r="U664" s="19" t="s">
        <v>65</v>
      </c>
      <c r="V664" s="19" t="s">
        <v>66</v>
      </c>
      <c r="W664" s="19" t="s">
        <v>67</v>
      </c>
      <c r="X664" s="19" t="s">
        <v>68</v>
      </c>
      <c r="Y664" s="21" t="s">
        <v>623</v>
      </c>
      <c r="Z664" s="21" t="s">
        <v>2333</v>
      </c>
      <c r="AA664" s="21" t="s">
        <v>625</v>
      </c>
      <c r="AB664" s="21">
        <v>2</v>
      </c>
      <c r="AC664" s="21"/>
      <c r="AD664" s="21"/>
      <c r="AE664" s="21"/>
      <c r="AF664" s="21"/>
      <c r="AG664" s="21" t="s">
        <v>2334</v>
      </c>
      <c r="AH664" s="21"/>
      <c r="AI664" s="21"/>
      <c r="AJ664" s="22"/>
      <c r="AK664" s="22"/>
      <c r="AL664" s="21" t="str">
        <f>_xlfn.XLOOKUP(A:A,[1]TAGS!$A:$A,[1]TAGS!$BG:$BG)</f>
        <v>Não Montado</v>
      </c>
      <c r="AM664" s="21" t="s">
        <v>70</v>
      </c>
      <c r="AN664" s="22"/>
      <c r="AO664" s="21" t="str">
        <f>_xlfn.XLOOKUP(A:A,[1]TAGS!$A:$A,[1]TAGS!$BG:$BG)</f>
        <v>Não Montado</v>
      </c>
      <c r="AP664" s="21"/>
      <c r="AQ664" s="21"/>
      <c r="AR664" s="21"/>
      <c r="AS664" s="21"/>
      <c r="AT664" s="21"/>
      <c r="AU664" s="21"/>
    </row>
    <row r="665" spans="1:47" x14ac:dyDescent="0.35">
      <c r="A665" s="19" t="s">
        <v>2337</v>
      </c>
      <c r="B665" s="19" t="s">
        <v>52</v>
      </c>
      <c r="C665" s="19"/>
      <c r="D665" s="19" t="s">
        <v>53</v>
      </c>
      <c r="E665" s="19" t="s">
        <v>460</v>
      </c>
      <c r="F665" s="20" t="s">
        <v>370</v>
      </c>
      <c r="G665" s="20" t="s">
        <v>371</v>
      </c>
      <c r="H665" s="19" t="s">
        <v>2338</v>
      </c>
      <c r="I665" s="20" t="s">
        <v>58</v>
      </c>
      <c r="J665" s="20" t="s">
        <v>373</v>
      </c>
      <c r="K665" s="20" t="s">
        <v>2339</v>
      </c>
      <c r="L665" s="19" t="s">
        <v>61</v>
      </c>
      <c r="M665" s="19" t="s">
        <v>62</v>
      </c>
      <c r="N665" s="19" t="s">
        <v>683</v>
      </c>
      <c r="O665" s="19">
        <v>21</v>
      </c>
      <c r="P665" s="19">
        <v>3.73</v>
      </c>
      <c r="Q665" s="19">
        <v>1</v>
      </c>
      <c r="R665" s="20">
        <v>8</v>
      </c>
      <c r="S665" s="19">
        <v>6.6000000000000003E-2</v>
      </c>
      <c r="T665" s="19" t="s">
        <v>64</v>
      </c>
      <c r="U665" s="19" t="s">
        <v>65</v>
      </c>
      <c r="V665" s="19" t="s">
        <v>66</v>
      </c>
      <c r="W665" s="19" t="s">
        <v>67</v>
      </c>
      <c r="X665" s="19" t="s">
        <v>68</v>
      </c>
      <c r="Y665" s="21" t="s">
        <v>623</v>
      </c>
      <c r="Z665" s="21" t="s">
        <v>2333</v>
      </c>
      <c r="AA665" s="21" t="s">
        <v>625</v>
      </c>
      <c r="AB665" s="21">
        <v>3</v>
      </c>
      <c r="AC665" s="21"/>
      <c r="AD665" s="21"/>
      <c r="AE665" s="21"/>
      <c r="AF665" s="21"/>
      <c r="AG665" s="21" t="s">
        <v>2337</v>
      </c>
      <c r="AH665" s="21"/>
      <c r="AI665" s="21"/>
      <c r="AJ665" s="22"/>
      <c r="AK665" s="22"/>
      <c r="AL665" s="21" t="str">
        <f>_xlfn.XLOOKUP(A:A,[1]TAGS!$A:$A,[1]TAGS!$BG:$BG)</f>
        <v>Não Montado</v>
      </c>
      <c r="AM665" s="21" t="s">
        <v>70</v>
      </c>
      <c r="AN665" s="22"/>
      <c r="AO665" s="21" t="str">
        <f>_xlfn.XLOOKUP(A:A,[1]TAGS!$A:$A,[1]TAGS!$BG:$BG)</f>
        <v>Não Montado</v>
      </c>
      <c r="AP665" s="21"/>
      <c r="AQ665" s="21"/>
      <c r="AR665" s="21"/>
      <c r="AS665" s="21"/>
      <c r="AT665" s="21"/>
      <c r="AU665" s="21"/>
    </row>
    <row r="666" spans="1:47" x14ac:dyDescent="0.35">
      <c r="A666" s="19" t="s">
        <v>2340</v>
      </c>
      <c r="B666" s="19" t="s">
        <v>52</v>
      </c>
      <c r="C666" s="19"/>
      <c r="D666" s="19" t="s">
        <v>53</v>
      </c>
      <c r="E666" s="19" t="s">
        <v>460</v>
      </c>
      <c r="F666" s="20" t="s">
        <v>370</v>
      </c>
      <c r="G666" s="20" t="s">
        <v>371</v>
      </c>
      <c r="H666" s="19" t="s">
        <v>2341</v>
      </c>
      <c r="I666" s="20" t="s">
        <v>58</v>
      </c>
      <c r="J666" s="20" t="s">
        <v>373</v>
      </c>
      <c r="K666" s="20" t="s">
        <v>2342</v>
      </c>
      <c r="L666" s="19" t="s">
        <v>61</v>
      </c>
      <c r="M666" s="19" t="s">
        <v>62</v>
      </c>
      <c r="N666" s="19" t="s">
        <v>683</v>
      </c>
      <c r="O666" s="19">
        <v>21</v>
      </c>
      <c r="P666" s="19">
        <v>3.73</v>
      </c>
      <c r="Q666" s="19">
        <v>1</v>
      </c>
      <c r="R666" s="20">
        <v>8</v>
      </c>
      <c r="S666" s="19">
        <v>6.6000000000000003E-2</v>
      </c>
      <c r="T666" s="19" t="s">
        <v>64</v>
      </c>
      <c r="U666" s="19" t="s">
        <v>65</v>
      </c>
      <c r="V666" s="19" t="s">
        <v>66</v>
      </c>
      <c r="W666" s="19" t="s">
        <v>67</v>
      </c>
      <c r="X666" s="19" t="s">
        <v>68</v>
      </c>
      <c r="Y666" s="21" t="s">
        <v>623</v>
      </c>
      <c r="Z666" s="21" t="s">
        <v>2343</v>
      </c>
      <c r="AA666" s="21" t="s">
        <v>692</v>
      </c>
      <c r="AB666" s="21">
        <v>1</v>
      </c>
      <c r="AC666" s="21"/>
      <c r="AD666" s="21"/>
      <c r="AE666" s="21"/>
      <c r="AF666" s="21"/>
      <c r="AG666" s="21" t="s">
        <v>2340</v>
      </c>
      <c r="AH666" s="21"/>
      <c r="AI666" s="21"/>
      <c r="AJ666" s="22"/>
      <c r="AK666" s="22"/>
      <c r="AL666" s="21" t="str">
        <f>_xlfn.XLOOKUP(A:A,[1]TAGS!$A:$A,[1]TAGS!$BG:$BG)</f>
        <v>Não Montado</v>
      </c>
      <c r="AM666" s="21" t="s">
        <v>70</v>
      </c>
      <c r="AN666" s="22"/>
      <c r="AO666" s="21" t="str">
        <f>_xlfn.XLOOKUP(A:A,[1]TAGS!$A:$A,[1]TAGS!$BG:$BG)</f>
        <v>Não Montado</v>
      </c>
      <c r="AP666" s="21"/>
      <c r="AQ666" s="21"/>
      <c r="AR666" s="21"/>
      <c r="AS666" s="21"/>
      <c r="AT666" s="21"/>
      <c r="AU666" s="21"/>
    </row>
    <row r="667" spans="1:47" x14ac:dyDescent="0.35">
      <c r="A667" s="19" t="s">
        <v>2344</v>
      </c>
      <c r="B667" s="19" t="s">
        <v>52</v>
      </c>
      <c r="C667" s="19"/>
      <c r="D667" s="19" t="s">
        <v>53</v>
      </c>
      <c r="E667" s="19" t="s">
        <v>460</v>
      </c>
      <c r="F667" s="20" t="s">
        <v>370</v>
      </c>
      <c r="G667" s="20" t="s">
        <v>371</v>
      </c>
      <c r="H667" s="19" t="s">
        <v>2345</v>
      </c>
      <c r="I667" s="20" t="s">
        <v>58</v>
      </c>
      <c r="J667" s="20" t="s">
        <v>373</v>
      </c>
      <c r="K667" s="20" t="s">
        <v>2346</v>
      </c>
      <c r="L667" s="19" t="s">
        <v>61</v>
      </c>
      <c r="M667" s="19" t="s">
        <v>62</v>
      </c>
      <c r="N667" s="19" t="s">
        <v>683</v>
      </c>
      <c r="O667" s="19">
        <v>21</v>
      </c>
      <c r="P667" s="19">
        <v>3.73</v>
      </c>
      <c r="Q667" s="19">
        <v>1</v>
      </c>
      <c r="R667" s="20">
        <v>8</v>
      </c>
      <c r="S667" s="19">
        <v>6.6000000000000003E-2</v>
      </c>
      <c r="T667" s="19" t="s">
        <v>64</v>
      </c>
      <c r="U667" s="19" t="s">
        <v>65</v>
      </c>
      <c r="V667" s="19" t="s">
        <v>66</v>
      </c>
      <c r="W667" s="19" t="s">
        <v>67</v>
      </c>
      <c r="X667" s="19" t="s">
        <v>68</v>
      </c>
      <c r="Y667" s="21" t="s">
        <v>623</v>
      </c>
      <c r="Z667" s="21" t="s">
        <v>2343</v>
      </c>
      <c r="AA667" s="21" t="s">
        <v>625</v>
      </c>
      <c r="AB667" s="21">
        <v>1</v>
      </c>
      <c r="AC667" s="21"/>
      <c r="AD667" s="21"/>
      <c r="AE667" s="21"/>
      <c r="AF667" s="21"/>
      <c r="AG667" s="21" t="s">
        <v>2344</v>
      </c>
      <c r="AH667" s="21"/>
      <c r="AI667" s="21"/>
      <c r="AJ667" s="22"/>
      <c r="AK667" s="22"/>
      <c r="AL667" s="21" t="str">
        <f>_xlfn.XLOOKUP(A:A,[1]TAGS!$A:$A,[1]TAGS!$BG:$BG)</f>
        <v>Não Montado</v>
      </c>
      <c r="AM667" s="21" t="s">
        <v>70</v>
      </c>
      <c r="AN667" s="22"/>
      <c r="AO667" s="21" t="str">
        <f>_xlfn.XLOOKUP(A:A,[1]TAGS!$A:$A,[1]TAGS!$BG:$BG)</f>
        <v>Não Montado</v>
      </c>
      <c r="AP667" s="21"/>
      <c r="AQ667" s="21"/>
      <c r="AR667" s="21"/>
      <c r="AS667" s="21"/>
      <c r="AT667" s="21"/>
      <c r="AU667" s="21"/>
    </row>
    <row r="668" spans="1:47" x14ac:dyDescent="0.35">
      <c r="A668" s="19" t="s">
        <v>2347</v>
      </c>
      <c r="B668" s="19" t="s">
        <v>52</v>
      </c>
      <c r="C668" s="19"/>
      <c r="D668" s="19" t="s">
        <v>53</v>
      </c>
      <c r="E668" s="19" t="s">
        <v>460</v>
      </c>
      <c r="F668" s="20" t="s">
        <v>370</v>
      </c>
      <c r="G668" s="20" t="s">
        <v>371</v>
      </c>
      <c r="H668" s="19" t="s">
        <v>2348</v>
      </c>
      <c r="I668" s="20" t="s">
        <v>58</v>
      </c>
      <c r="J668" s="20" t="s">
        <v>373</v>
      </c>
      <c r="K668" s="20" t="s">
        <v>2349</v>
      </c>
      <c r="L668" s="19" t="s">
        <v>61</v>
      </c>
      <c r="M668" s="19" t="s">
        <v>62</v>
      </c>
      <c r="N668" s="19" t="s">
        <v>683</v>
      </c>
      <c r="O668" s="19">
        <v>21</v>
      </c>
      <c r="P668" s="19">
        <v>3.73</v>
      </c>
      <c r="Q668" s="19">
        <v>1</v>
      </c>
      <c r="R668" s="20">
        <v>8</v>
      </c>
      <c r="S668" s="19">
        <v>6.6000000000000003E-2</v>
      </c>
      <c r="T668" s="19" t="s">
        <v>64</v>
      </c>
      <c r="U668" s="19" t="s">
        <v>65</v>
      </c>
      <c r="V668" s="19" t="s">
        <v>66</v>
      </c>
      <c r="W668" s="19" t="s">
        <v>67</v>
      </c>
      <c r="X668" s="19" t="s">
        <v>68</v>
      </c>
      <c r="Y668" s="21" t="s">
        <v>623</v>
      </c>
      <c r="Z668" s="21" t="s">
        <v>2350</v>
      </c>
      <c r="AA668" s="21" t="s">
        <v>692</v>
      </c>
      <c r="AB668" s="21">
        <v>1</v>
      </c>
      <c r="AC668" s="21"/>
      <c r="AD668" s="21"/>
      <c r="AE668" s="21"/>
      <c r="AF668" s="21"/>
      <c r="AG668" s="21" t="s">
        <v>2347</v>
      </c>
      <c r="AH668" s="21"/>
      <c r="AI668" s="21"/>
      <c r="AJ668" s="22"/>
      <c r="AK668" s="22"/>
      <c r="AL668" s="21" t="str">
        <f>_xlfn.XLOOKUP(A:A,[1]TAGS!$A:$A,[1]TAGS!$BG:$BG)</f>
        <v>Não Montado</v>
      </c>
      <c r="AM668" s="21" t="s">
        <v>70</v>
      </c>
      <c r="AN668" s="22"/>
      <c r="AO668" s="21" t="str">
        <f>_xlfn.XLOOKUP(A:A,[1]TAGS!$A:$A,[1]TAGS!$BG:$BG)</f>
        <v>Não Montado</v>
      </c>
      <c r="AP668" s="21"/>
      <c r="AQ668" s="21"/>
      <c r="AR668" s="21"/>
      <c r="AS668" s="21"/>
      <c r="AT668" s="21"/>
      <c r="AU668" s="21"/>
    </row>
    <row r="669" spans="1:47" x14ac:dyDescent="0.35">
      <c r="A669" s="19" t="s">
        <v>2351</v>
      </c>
      <c r="B669" s="19" t="s">
        <v>52</v>
      </c>
      <c r="C669" s="19"/>
      <c r="D669" s="19" t="s">
        <v>53</v>
      </c>
      <c r="E669" s="19" t="s">
        <v>460</v>
      </c>
      <c r="F669" s="20" t="s">
        <v>370</v>
      </c>
      <c r="G669" s="20" t="s">
        <v>371</v>
      </c>
      <c r="H669" s="19" t="s">
        <v>2352</v>
      </c>
      <c r="I669" s="20" t="s">
        <v>58</v>
      </c>
      <c r="J669" s="20" t="s">
        <v>373</v>
      </c>
      <c r="K669" s="20" t="s">
        <v>2353</v>
      </c>
      <c r="L669" s="19" t="s">
        <v>61</v>
      </c>
      <c r="M669" s="19" t="s">
        <v>62</v>
      </c>
      <c r="N669" s="19" t="s">
        <v>683</v>
      </c>
      <c r="O669" s="19">
        <v>21</v>
      </c>
      <c r="P669" s="19">
        <v>3.73</v>
      </c>
      <c r="Q669" s="19">
        <v>1</v>
      </c>
      <c r="R669" s="20">
        <v>8</v>
      </c>
      <c r="S669" s="19">
        <v>6.6000000000000003E-2</v>
      </c>
      <c r="T669" s="19" t="s">
        <v>64</v>
      </c>
      <c r="U669" s="19" t="s">
        <v>65</v>
      </c>
      <c r="V669" s="19" t="s">
        <v>66</v>
      </c>
      <c r="W669" s="19" t="s">
        <v>67</v>
      </c>
      <c r="X669" s="19" t="s">
        <v>68</v>
      </c>
      <c r="Y669" s="21" t="s">
        <v>623</v>
      </c>
      <c r="Z669" s="21" t="s">
        <v>2350</v>
      </c>
      <c r="AA669" s="21" t="s">
        <v>625</v>
      </c>
      <c r="AB669" s="21">
        <v>1</v>
      </c>
      <c r="AC669" s="21"/>
      <c r="AD669" s="21"/>
      <c r="AE669" s="21"/>
      <c r="AF669" s="21"/>
      <c r="AG669" s="21" t="s">
        <v>2351</v>
      </c>
      <c r="AH669" s="21"/>
      <c r="AI669" s="21"/>
      <c r="AJ669" s="22"/>
      <c r="AK669" s="22"/>
      <c r="AL669" s="21" t="str">
        <f>_xlfn.XLOOKUP(A:A,[1]TAGS!$A:$A,[1]TAGS!$BG:$BG)</f>
        <v>Não Montado</v>
      </c>
      <c r="AM669" s="21" t="s">
        <v>70</v>
      </c>
      <c r="AN669" s="22"/>
      <c r="AO669" s="21" t="str">
        <f>_xlfn.XLOOKUP(A:A,[1]TAGS!$A:$A,[1]TAGS!$BG:$BG)</f>
        <v>Não Montado</v>
      </c>
      <c r="AP669" s="21"/>
      <c r="AQ669" s="21"/>
      <c r="AR669" s="21"/>
      <c r="AS669" s="21"/>
      <c r="AT669" s="21"/>
      <c r="AU669" s="21"/>
    </row>
    <row r="670" spans="1:47" x14ac:dyDescent="0.35">
      <c r="A670" s="19" t="s">
        <v>2354</v>
      </c>
      <c r="B670" s="19" t="s">
        <v>52</v>
      </c>
      <c r="C670" s="19"/>
      <c r="D670" s="19" t="s">
        <v>53</v>
      </c>
      <c r="E670" s="19" t="s">
        <v>460</v>
      </c>
      <c r="F670" s="20" t="s">
        <v>370</v>
      </c>
      <c r="G670" s="20" t="s">
        <v>371</v>
      </c>
      <c r="H670" s="19" t="s">
        <v>2355</v>
      </c>
      <c r="I670" s="20" t="s">
        <v>58</v>
      </c>
      <c r="J670" s="20" t="s">
        <v>373</v>
      </c>
      <c r="K670" s="20" t="s">
        <v>2356</v>
      </c>
      <c r="L670" s="19" t="s">
        <v>61</v>
      </c>
      <c r="M670" s="19" t="s">
        <v>62</v>
      </c>
      <c r="N670" s="19" t="s">
        <v>683</v>
      </c>
      <c r="O670" s="19">
        <v>21</v>
      </c>
      <c r="P670" s="19">
        <v>3.73</v>
      </c>
      <c r="Q670" s="19">
        <v>1</v>
      </c>
      <c r="R670" s="20">
        <v>8</v>
      </c>
      <c r="S670" s="19">
        <v>6.6000000000000003E-2</v>
      </c>
      <c r="T670" s="19" t="s">
        <v>64</v>
      </c>
      <c r="U670" s="19" t="s">
        <v>65</v>
      </c>
      <c r="V670" s="19" t="s">
        <v>66</v>
      </c>
      <c r="W670" s="19" t="s">
        <v>67</v>
      </c>
      <c r="X670" s="19" t="s">
        <v>68</v>
      </c>
      <c r="Y670" s="21" t="s">
        <v>623</v>
      </c>
      <c r="Z670" s="21" t="s">
        <v>2357</v>
      </c>
      <c r="AA670" s="21" t="s">
        <v>692</v>
      </c>
      <c r="AB670" s="21">
        <v>1</v>
      </c>
      <c r="AC670" s="21"/>
      <c r="AD670" s="21"/>
      <c r="AE670" s="21"/>
      <c r="AF670" s="21"/>
      <c r="AG670" s="21" t="s">
        <v>2354</v>
      </c>
      <c r="AH670" s="21"/>
      <c r="AI670" s="21"/>
      <c r="AJ670" s="22"/>
      <c r="AK670" s="22"/>
      <c r="AL670" s="21" t="str">
        <f>_xlfn.XLOOKUP(A:A,[1]TAGS!$A:$A,[1]TAGS!$BG:$BG)</f>
        <v>Não Montado</v>
      </c>
      <c r="AM670" s="21" t="s">
        <v>70</v>
      </c>
      <c r="AN670" s="22"/>
      <c r="AO670" s="21" t="str">
        <f>_xlfn.XLOOKUP(A:A,[1]TAGS!$A:$A,[1]TAGS!$BG:$BG)</f>
        <v>Não Montado</v>
      </c>
      <c r="AP670" s="21"/>
      <c r="AQ670" s="21"/>
      <c r="AR670" s="21"/>
      <c r="AS670" s="21"/>
      <c r="AT670" s="21"/>
      <c r="AU670" s="21"/>
    </row>
    <row r="671" spans="1:47" x14ac:dyDescent="0.35">
      <c r="A671" s="19" t="s">
        <v>2358</v>
      </c>
      <c r="B671" s="19" t="s">
        <v>52</v>
      </c>
      <c r="C671" s="19"/>
      <c r="D671" s="19" t="s">
        <v>53</v>
      </c>
      <c r="E671" s="19" t="s">
        <v>460</v>
      </c>
      <c r="F671" s="20" t="s">
        <v>370</v>
      </c>
      <c r="G671" s="20" t="s">
        <v>371</v>
      </c>
      <c r="H671" s="19" t="s">
        <v>2359</v>
      </c>
      <c r="I671" s="20" t="s">
        <v>58</v>
      </c>
      <c r="J671" s="20" t="s">
        <v>373</v>
      </c>
      <c r="K671" s="20" t="s">
        <v>2360</v>
      </c>
      <c r="L671" s="19" t="s">
        <v>61</v>
      </c>
      <c r="M671" s="19" t="s">
        <v>62</v>
      </c>
      <c r="N671" s="19" t="s">
        <v>683</v>
      </c>
      <c r="O671" s="19">
        <v>21</v>
      </c>
      <c r="P671" s="19">
        <v>3.73</v>
      </c>
      <c r="Q671" s="19">
        <v>1</v>
      </c>
      <c r="R671" s="20">
        <v>8</v>
      </c>
      <c r="S671" s="19">
        <v>6.6000000000000003E-2</v>
      </c>
      <c r="T671" s="19" t="s">
        <v>64</v>
      </c>
      <c r="U671" s="19" t="s">
        <v>65</v>
      </c>
      <c r="V671" s="19" t="s">
        <v>66</v>
      </c>
      <c r="W671" s="19" t="s">
        <v>67</v>
      </c>
      <c r="X671" s="19" t="s">
        <v>68</v>
      </c>
      <c r="Y671" s="21" t="s">
        <v>623</v>
      </c>
      <c r="Z671" s="21" t="s">
        <v>2357</v>
      </c>
      <c r="AA671" s="21" t="s">
        <v>625</v>
      </c>
      <c r="AB671" s="21">
        <v>1</v>
      </c>
      <c r="AC671" s="21"/>
      <c r="AD671" s="21"/>
      <c r="AE671" s="21"/>
      <c r="AF671" s="21"/>
      <c r="AG671" s="21" t="s">
        <v>2358</v>
      </c>
      <c r="AH671" s="21"/>
      <c r="AI671" s="21"/>
      <c r="AJ671" s="22"/>
      <c r="AK671" s="22"/>
      <c r="AL671" s="21" t="str">
        <f>_xlfn.XLOOKUP(A:A,[1]TAGS!$A:$A,[1]TAGS!$BG:$BG)</f>
        <v>Não Montado</v>
      </c>
      <c r="AM671" s="21" t="s">
        <v>70</v>
      </c>
      <c r="AN671" s="22"/>
      <c r="AO671" s="21" t="str">
        <f>_xlfn.XLOOKUP(A:A,[1]TAGS!$A:$A,[1]TAGS!$BG:$BG)</f>
        <v>Não Montado</v>
      </c>
      <c r="AP671" s="21"/>
      <c r="AQ671" s="21"/>
      <c r="AR671" s="21"/>
      <c r="AS671" s="21"/>
      <c r="AT671" s="21"/>
      <c r="AU671" s="21"/>
    </row>
    <row r="672" spans="1:47" x14ac:dyDescent="0.35">
      <c r="A672" s="19" t="s">
        <v>2361</v>
      </c>
      <c r="B672" s="19" t="s">
        <v>52</v>
      </c>
      <c r="C672" s="19"/>
      <c r="D672" s="19" t="s">
        <v>53</v>
      </c>
      <c r="E672" s="19" t="s">
        <v>460</v>
      </c>
      <c r="F672" s="20" t="s">
        <v>370</v>
      </c>
      <c r="G672" s="20" t="s">
        <v>371</v>
      </c>
      <c r="H672" s="19" t="s">
        <v>2362</v>
      </c>
      <c r="I672" s="20" t="s">
        <v>58</v>
      </c>
      <c r="J672" s="20" t="s">
        <v>373</v>
      </c>
      <c r="K672" s="20" t="s">
        <v>2363</v>
      </c>
      <c r="L672" s="19" t="s">
        <v>61</v>
      </c>
      <c r="M672" s="19" t="s">
        <v>62</v>
      </c>
      <c r="N672" s="19" t="s">
        <v>683</v>
      </c>
      <c r="O672" s="19">
        <v>21</v>
      </c>
      <c r="P672" s="19">
        <v>3.73</v>
      </c>
      <c r="Q672" s="19">
        <v>1</v>
      </c>
      <c r="R672" s="20">
        <v>8</v>
      </c>
      <c r="S672" s="19">
        <v>6.6000000000000003E-2</v>
      </c>
      <c r="T672" s="19" t="s">
        <v>64</v>
      </c>
      <c r="U672" s="19" t="s">
        <v>65</v>
      </c>
      <c r="V672" s="19" t="s">
        <v>66</v>
      </c>
      <c r="W672" s="19" t="s">
        <v>67</v>
      </c>
      <c r="X672" s="19" t="s">
        <v>68</v>
      </c>
      <c r="Y672" s="21" t="s">
        <v>623</v>
      </c>
      <c r="Z672" s="21" t="s">
        <v>2364</v>
      </c>
      <c r="AA672" s="21" t="s">
        <v>692</v>
      </c>
      <c r="AB672" s="21">
        <v>1</v>
      </c>
      <c r="AC672" s="21"/>
      <c r="AD672" s="21"/>
      <c r="AE672" s="21"/>
      <c r="AF672" s="21"/>
      <c r="AG672" s="21" t="s">
        <v>2361</v>
      </c>
      <c r="AH672" s="21"/>
      <c r="AI672" s="21"/>
      <c r="AJ672" s="22"/>
      <c r="AK672" s="22"/>
      <c r="AL672" s="21" t="str">
        <f>_xlfn.XLOOKUP(A:A,[1]TAGS!$A:$A,[1]TAGS!$BG:$BG)</f>
        <v>Não Montado</v>
      </c>
      <c r="AM672" s="21" t="s">
        <v>70</v>
      </c>
      <c r="AN672" s="22"/>
      <c r="AO672" s="21" t="str">
        <f>_xlfn.XLOOKUP(A:A,[1]TAGS!$A:$A,[1]TAGS!$BG:$BG)</f>
        <v>Não Montado</v>
      </c>
      <c r="AP672" s="21"/>
      <c r="AQ672" s="21"/>
      <c r="AR672" s="21"/>
      <c r="AS672" s="21"/>
      <c r="AT672" s="21"/>
      <c r="AU672" s="21"/>
    </row>
    <row r="673" spans="1:47" x14ac:dyDescent="0.35">
      <c r="A673" s="19" t="s">
        <v>2365</v>
      </c>
      <c r="B673" s="19" t="s">
        <v>52</v>
      </c>
      <c r="C673" s="19"/>
      <c r="D673" s="19" t="s">
        <v>53</v>
      </c>
      <c r="E673" s="19" t="s">
        <v>460</v>
      </c>
      <c r="F673" s="20" t="s">
        <v>370</v>
      </c>
      <c r="G673" s="20" t="s">
        <v>371</v>
      </c>
      <c r="H673" s="19" t="s">
        <v>2366</v>
      </c>
      <c r="I673" s="20" t="s">
        <v>58</v>
      </c>
      <c r="J673" s="20" t="s">
        <v>373</v>
      </c>
      <c r="K673" s="20" t="s">
        <v>2367</v>
      </c>
      <c r="L673" s="19" t="s">
        <v>61</v>
      </c>
      <c r="M673" s="19" t="s">
        <v>62</v>
      </c>
      <c r="N673" s="19" t="s">
        <v>683</v>
      </c>
      <c r="O673" s="19">
        <v>21</v>
      </c>
      <c r="P673" s="19">
        <v>3.73</v>
      </c>
      <c r="Q673" s="19">
        <v>1</v>
      </c>
      <c r="R673" s="20">
        <v>8</v>
      </c>
      <c r="S673" s="19">
        <v>6.6000000000000003E-2</v>
      </c>
      <c r="T673" s="19" t="s">
        <v>64</v>
      </c>
      <c r="U673" s="19" t="s">
        <v>65</v>
      </c>
      <c r="V673" s="19" t="s">
        <v>66</v>
      </c>
      <c r="W673" s="19" t="s">
        <v>67</v>
      </c>
      <c r="X673" s="19" t="s">
        <v>68</v>
      </c>
      <c r="Y673" s="21" t="s">
        <v>623</v>
      </c>
      <c r="Z673" s="21" t="s">
        <v>2364</v>
      </c>
      <c r="AA673" s="21" t="s">
        <v>625</v>
      </c>
      <c r="AB673" s="21">
        <v>1</v>
      </c>
      <c r="AC673" s="21"/>
      <c r="AD673" s="21"/>
      <c r="AE673" s="21"/>
      <c r="AF673" s="21"/>
      <c r="AG673" s="21" t="s">
        <v>2365</v>
      </c>
      <c r="AH673" s="21"/>
      <c r="AI673" s="21"/>
      <c r="AJ673" s="22"/>
      <c r="AK673" s="22"/>
      <c r="AL673" s="21" t="str">
        <f>_xlfn.XLOOKUP(A:A,[1]TAGS!$A:$A,[1]TAGS!$BG:$BG)</f>
        <v>Não Montado</v>
      </c>
      <c r="AM673" s="21" t="s">
        <v>70</v>
      </c>
      <c r="AN673" s="22"/>
      <c r="AO673" s="21" t="str">
        <f>_xlfn.XLOOKUP(A:A,[1]TAGS!$A:$A,[1]TAGS!$BG:$BG)</f>
        <v>Não Montado</v>
      </c>
      <c r="AP673" s="21"/>
      <c r="AQ673" s="21"/>
      <c r="AR673" s="21"/>
      <c r="AS673" s="21"/>
      <c r="AT673" s="21"/>
      <c r="AU673" s="21"/>
    </row>
    <row r="674" spans="1:47" x14ac:dyDescent="0.35">
      <c r="A674" s="19" t="s">
        <v>2368</v>
      </c>
      <c r="B674" s="19" t="s">
        <v>52</v>
      </c>
      <c r="C674" s="19"/>
      <c r="D674" s="19" t="s">
        <v>53</v>
      </c>
      <c r="E674" s="19" t="s">
        <v>460</v>
      </c>
      <c r="F674" s="20" t="s">
        <v>370</v>
      </c>
      <c r="G674" s="20" t="s">
        <v>371</v>
      </c>
      <c r="H674" s="19" t="s">
        <v>2369</v>
      </c>
      <c r="I674" s="20" t="s">
        <v>58</v>
      </c>
      <c r="J674" s="20" t="s">
        <v>373</v>
      </c>
      <c r="K674" s="20" t="s">
        <v>2370</v>
      </c>
      <c r="L674" s="19" t="s">
        <v>61</v>
      </c>
      <c r="M674" s="19" t="s">
        <v>62</v>
      </c>
      <c r="N674" s="19" t="s">
        <v>683</v>
      </c>
      <c r="O674" s="19">
        <v>21</v>
      </c>
      <c r="P674" s="19">
        <v>3.73</v>
      </c>
      <c r="Q674" s="19">
        <v>1</v>
      </c>
      <c r="R674" s="20">
        <v>8</v>
      </c>
      <c r="S674" s="19">
        <v>6.6000000000000003E-2</v>
      </c>
      <c r="T674" s="19" t="s">
        <v>64</v>
      </c>
      <c r="U674" s="19" t="s">
        <v>65</v>
      </c>
      <c r="V674" s="19" t="s">
        <v>66</v>
      </c>
      <c r="W674" s="19" t="s">
        <v>67</v>
      </c>
      <c r="X674" s="19" t="s">
        <v>68</v>
      </c>
      <c r="Y674" s="21" t="s">
        <v>623</v>
      </c>
      <c r="Z674" s="21" t="s">
        <v>2371</v>
      </c>
      <c r="AA674" s="21" t="s">
        <v>692</v>
      </c>
      <c r="AB674" s="21">
        <v>1</v>
      </c>
      <c r="AC674" s="21"/>
      <c r="AD674" s="21"/>
      <c r="AE674" s="21"/>
      <c r="AF674" s="21"/>
      <c r="AG674" s="21" t="s">
        <v>2368</v>
      </c>
      <c r="AH674" s="21"/>
      <c r="AI674" s="21"/>
      <c r="AJ674" s="22"/>
      <c r="AK674" s="22"/>
      <c r="AL674" s="21" t="str">
        <f>_xlfn.XLOOKUP(A:A,[1]TAGS!$A:$A,[1]TAGS!$BG:$BG)</f>
        <v>Não Montado</v>
      </c>
      <c r="AM674" s="21" t="s">
        <v>70</v>
      </c>
      <c r="AN674" s="22"/>
      <c r="AO674" s="21" t="str">
        <f>_xlfn.XLOOKUP(A:A,[1]TAGS!$A:$A,[1]TAGS!$BG:$BG)</f>
        <v>Não Montado</v>
      </c>
      <c r="AP674" s="21"/>
      <c r="AQ674" s="21"/>
      <c r="AR674" s="21"/>
      <c r="AS674" s="21"/>
      <c r="AT674" s="21"/>
      <c r="AU674" s="21"/>
    </row>
    <row r="675" spans="1:47" x14ac:dyDescent="0.35">
      <c r="A675" s="19" t="s">
        <v>2372</v>
      </c>
      <c r="B675" s="19" t="s">
        <v>52</v>
      </c>
      <c r="C675" s="19"/>
      <c r="D675" s="19" t="s">
        <v>53</v>
      </c>
      <c r="E675" s="19" t="s">
        <v>460</v>
      </c>
      <c r="F675" s="20" t="s">
        <v>370</v>
      </c>
      <c r="G675" s="20" t="s">
        <v>371</v>
      </c>
      <c r="H675" s="19" t="s">
        <v>2373</v>
      </c>
      <c r="I675" s="20" t="s">
        <v>58</v>
      </c>
      <c r="J675" s="20" t="s">
        <v>373</v>
      </c>
      <c r="K675" s="20" t="s">
        <v>2374</v>
      </c>
      <c r="L675" s="19" t="s">
        <v>61</v>
      </c>
      <c r="M675" s="19" t="s">
        <v>62</v>
      </c>
      <c r="N675" s="19" t="s">
        <v>683</v>
      </c>
      <c r="O675" s="19">
        <v>21</v>
      </c>
      <c r="P675" s="19">
        <v>3.73</v>
      </c>
      <c r="Q675" s="19">
        <v>1</v>
      </c>
      <c r="R675" s="20">
        <v>8</v>
      </c>
      <c r="S675" s="19">
        <v>6.6000000000000003E-2</v>
      </c>
      <c r="T675" s="19" t="s">
        <v>64</v>
      </c>
      <c r="U675" s="19" t="s">
        <v>65</v>
      </c>
      <c r="V675" s="19" t="s">
        <v>66</v>
      </c>
      <c r="W675" s="19" t="s">
        <v>67</v>
      </c>
      <c r="X675" s="19" t="s">
        <v>68</v>
      </c>
      <c r="Y675" s="21" t="s">
        <v>623</v>
      </c>
      <c r="Z675" s="21" t="s">
        <v>2371</v>
      </c>
      <c r="AA675" s="21" t="s">
        <v>625</v>
      </c>
      <c r="AB675" s="21">
        <v>1</v>
      </c>
      <c r="AC675" s="21"/>
      <c r="AD675" s="21"/>
      <c r="AE675" s="21"/>
      <c r="AF675" s="21"/>
      <c r="AG675" s="21" t="s">
        <v>2372</v>
      </c>
      <c r="AH675" s="21"/>
      <c r="AI675" s="21"/>
      <c r="AJ675" s="22"/>
      <c r="AK675" s="22"/>
      <c r="AL675" s="21" t="str">
        <f>_xlfn.XLOOKUP(A:A,[1]TAGS!$A:$A,[1]TAGS!$BG:$BG)</f>
        <v>Não Montado</v>
      </c>
      <c r="AM675" s="21" t="s">
        <v>70</v>
      </c>
      <c r="AN675" s="22"/>
      <c r="AO675" s="21" t="str">
        <f>_xlfn.XLOOKUP(A:A,[1]TAGS!$A:$A,[1]TAGS!$BG:$BG)</f>
        <v>Não Montado</v>
      </c>
      <c r="AP675" s="21"/>
      <c r="AQ675" s="21"/>
      <c r="AR675" s="21"/>
      <c r="AS675" s="21"/>
      <c r="AT675" s="21"/>
      <c r="AU675" s="21"/>
    </row>
    <row r="676" spans="1:47" x14ac:dyDescent="0.35">
      <c r="A676" s="19" t="s">
        <v>2375</v>
      </c>
      <c r="B676" s="19" t="s">
        <v>52</v>
      </c>
      <c r="C676" s="19"/>
      <c r="D676" s="19" t="s">
        <v>53</v>
      </c>
      <c r="E676" s="19" t="s">
        <v>460</v>
      </c>
      <c r="F676" s="20" t="s">
        <v>370</v>
      </c>
      <c r="G676" s="20" t="s">
        <v>371</v>
      </c>
      <c r="H676" s="19" t="s">
        <v>2376</v>
      </c>
      <c r="I676" s="20" t="s">
        <v>58</v>
      </c>
      <c r="J676" s="20" t="s">
        <v>373</v>
      </c>
      <c r="K676" s="20" t="s">
        <v>2377</v>
      </c>
      <c r="L676" s="19" t="s">
        <v>61</v>
      </c>
      <c r="M676" s="19" t="s">
        <v>62</v>
      </c>
      <c r="N676" s="19" t="s">
        <v>683</v>
      </c>
      <c r="O676" s="19">
        <v>21</v>
      </c>
      <c r="P676" s="19">
        <v>3.73</v>
      </c>
      <c r="Q676" s="19">
        <v>1</v>
      </c>
      <c r="R676" s="20">
        <v>8</v>
      </c>
      <c r="S676" s="19">
        <v>6.6000000000000003E-2</v>
      </c>
      <c r="T676" s="19" t="s">
        <v>64</v>
      </c>
      <c r="U676" s="19" t="s">
        <v>65</v>
      </c>
      <c r="V676" s="19" t="s">
        <v>66</v>
      </c>
      <c r="W676" s="19" t="s">
        <v>67</v>
      </c>
      <c r="X676" s="19" t="s">
        <v>68</v>
      </c>
      <c r="Y676" s="21" t="s">
        <v>623</v>
      </c>
      <c r="Z676" s="21" t="s">
        <v>2378</v>
      </c>
      <c r="AA676" s="21" t="s">
        <v>692</v>
      </c>
      <c r="AB676" s="21">
        <v>1</v>
      </c>
      <c r="AC676" s="21"/>
      <c r="AD676" s="21"/>
      <c r="AE676" s="21"/>
      <c r="AF676" s="21"/>
      <c r="AG676" s="21" t="s">
        <v>2375</v>
      </c>
      <c r="AH676" s="21"/>
      <c r="AI676" s="21"/>
      <c r="AJ676" s="22"/>
      <c r="AK676" s="22"/>
      <c r="AL676" s="21" t="str">
        <f>_xlfn.XLOOKUP(A:A,[1]TAGS!$A:$A,[1]TAGS!$BG:$BG)</f>
        <v>Não Montado</v>
      </c>
      <c r="AM676" s="21" t="s">
        <v>70</v>
      </c>
      <c r="AN676" s="22"/>
      <c r="AO676" s="21" t="str">
        <f>_xlfn.XLOOKUP(A:A,[1]TAGS!$A:$A,[1]TAGS!$BG:$BG)</f>
        <v>Não Montado</v>
      </c>
      <c r="AP676" s="21"/>
      <c r="AQ676" s="21"/>
      <c r="AR676" s="21"/>
      <c r="AS676" s="21"/>
      <c r="AT676" s="21"/>
      <c r="AU676" s="21"/>
    </row>
    <row r="677" spans="1:47" x14ac:dyDescent="0.35">
      <c r="A677" s="19" t="s">
        <v>2379</v>
      </c>
      <c r="B677" s="19" t="s">
        <v>52</v>
      </c>
      <c r="C677" s="19"/>
      <c r="D677" s="19" t="s">
        <v>53</v>
      </c>
      <c r="E677" s="19" t="s">
        <v>460</v>
      </c>
      <c r="F677" s="20" t="s">
        <v>370</v>
      </c>
      <c r="G677" s="20" t="s">
        <v>371</v>
      </c>
      <c r="H677" s="19" t="s">
        <v>2380</v>
      </c>
      <c r="I677" s="20" t="s">
        <v>58</v>
      </c>
      <c r="J677" s="20" t="s">
        <v>373</v>
      </c>
      <c r="K677" s="20" t="s">
        <v>2381</v>
      </c>
      <c r="L677" s="19" t="s">
        <v>61</v>
      </c>
      <c r="M677" s="19" t="s">
        <v>62</v>
      </c>
      <c r="N677" s="19" t="s">
        <v>683</v>
      </c>
      <c r="O677" s="19">
        <v>21</v>
      </c>
      <c r="P677" s="19">
        <v>3.73</v>
      </c>
      <c r="Q677" s="19">
        <v>1</v>
      </c>
      <c r="R677" s="20">
        <v>8</v>
      </c>
      <c r="S677" s="19">
        <v>6.6000000000000003E-2</v>
      </c>
      <c r="T677" s="19" t="s">
        <v>64</v>
      </c>
      <c r="U677" s="19" t="s">
        <v>65</v>
      </c>
      <c r="V677" s="19" t="s">
        <v>66</v>
      </c>
      <c r="W677" s="19" t="s">
        <v>67</v>
      </c>
      <c r="X677" s="19" t="s">
        <v>68</v>
      </c>
      <c r="Y677" s="21" t="s">
        <v>623</v>
      </c>
      <c r="Z677" s="21" t="s">
        <v>2378</v>
      </c>
      <c r="AA677" s="21" t="s">
        <v>625</v>
      </c>
      <c r="AB677" s="21">
        <v>1</v>
      </c>
      <c r="AC677" s="21"/>
      <c r="AD677" s="21"/>
      <c r="AE677" s="21"/>
      <c r="AF677" s="21"/>
      <c r="AG677" s="21" t="s">
        <v>2379</v>
      </c>
      <c r="AH677" s="21"/>
      <c r="AI677" s="21"/>
      <c r="AJ677" s="22"/>
      <c r="AK677" s="22"/>
      <c r="AL677" s="21" t="str">
        <f>_xlfn.XLOOKUP(A:A,[1]TAGS!$A:$A,[1]TAGS!$BG:$BG)</f>
        <v>Não Montado</v>
      </c>
      <c r="AM677" s="21" t="s">
        <v>70</v>
      </c>
      <c r="AN677" s="22"/>
      <c r="AO677" s="21" t="str">
        <f>_xlfn.XLOOKUP(A:A,[1]TAGS!$A:$A,[1]TAGS!$BG:$BG)</f>
        <v>Não Montado</v>
      </c>
      <c r="AP677" s="21"/>
      <c r="AQ677" s="21"/>
      <c r="AR677" s="21"/>
      <c r="AS677" s="21"/>
      <c r="AT677" s="21"/>
      <c r="AU677" s="21"/>
    </row>
    <row r="678" spans="1:47" x14ac:dyDescent="0.35">
      <c r="A678" s="19" t="s">
        <v>2382</v>
      </c>
      <c r="B678" s="19" t="s">
        <v>52</v>
      </c>
      <c r="C678" s="19"/>
      <c r="D678" s="19" t="s">
        <v>53</v>
      </c>
      <c r="E678" s="19" t="s">
        <v>460</v>
      </c>
      <c r="F678" s="20" t="s">
        <v>370</v>
      </c>
      <c r="G678" s="20" t="s">
        <v>371</v>
      </c>
      <c r="H678" s="19" t="s">
        <v>2383</v>
      </c>
      <c r="I678" s="20" t="s">
        <v>58</v>
      </c>
      <c r="J678" s="20" t="s">
        <v>373</v>
      </c>
      <c r="K678" s="20" t="s">
        <v>2384</v>
      </c>
      <c r="L678" s="19" t="s">
        <v>61</v>
      </c>
      <c r="M678" s="19" t="s">
        <v>62</v>
      </c>
      <c r="N678" s="19" t="s">
        <v>683</v>
      </c>
      <c r="O678" s="19">
        <v>21</v>
      </c>
      <c r="P678" s="19">
        <v>3.73</v>
      </c>
      <c r="Q678" s="19">
        <v>1</v>
      </c>
      <c r="R678" s="20">
        <v>8</v>
      </c>
      <c r="S678" s="19">
        <v>6.6000000000000003E-2</v>
      </c>
      <c r="T678" s="19" t="s">
        <v>64</v>
      </c>
      <c r="U678" s="19" t="s">
        <v>65</v>
      </c>
      <c r="V678" s="19" t="s">
        <v>66</v>
      </c>
      <c r="W678" s="19" t="s">
        <v>67</v>
      </c>
      <c r="X678" s="19" t="s">
        <v>68</v>
      </c>
      <c r="Y678" s="21" t="s">
        <v>623</v>
      </c>
      <c r="Z678" s="21" t="s">
        <v>2385</v>
      </c>
      <c r="AA678" s="21" t="s">
        <v>692</v>
      </c>
      <c r="AB678" s="21">
        <v>1</v>
      </c>
      <c r="AC678" s="21"/>
      <c r="AD678" s="21"/>
      <c r="AE678" s="21"/>
      <c r="AF678" s="21"/>
      <c r="AG678" s="21" t="s">
        <v>2382</v>
      </c>
      <c r="AH678" s="21"/>
      <c r="AI678" s="21"/>
      <c r="AJ678" s="22"/>
      <c r="AK678" s="22"/>
      <c r="AL678" s="21" t="str">
        <f>_xlfn.XLOOKUP(A:A,[1]TAGS!$A:$A,[1]TAGS!$BG:$BG)</f>
        <v>Não Montado</v>
      </c>
      <c r="AM678" s="21" t="s">
        <v>70</v>
      </c>
      <c r="AN678" s="22"/>
      <c r="AO678" s="21" t="str">
        <f>_xlfn.XLOOKUP(A:A,[1]TAGS!$A:$A,[1]TAGS!$BG:$BG)</f>
        <v>Não Montado</v>
      </c>
      <c r="AP678" s="21"/>
      <c r="AQ678" s="21"/>
      <c r="AR678" s="21"/>
      <c r="AS678" s="21"/>
      <c r="AT678" s="21"/>
      <c r="AU678" s="21"/>
    </row>
    <row r="679" spans="1:47" x14ac:dyDescent="0.35">
      <c r="A679" s="19" t="s">
        <v>2386</v>
      </c>
      <c r="B679" s="19" t="s">
        <v>52</v>
      </c>
      <c r="C679" s="19"/>
      <c r="D679" s="19" t="s">
        <v>53</v>
      </c>
      <c r="E679" s="19" t="s">
        <v>460</v>
      </c>
      <c r="F679" s="20" t="s">
        <v>370</v>
      </c>
      <c r="G679" s="20" t="s">
        <v>371</v>
      </c>
      <c r="H679" s="19" t="s">
        <v>2387</v>
      </c>
      <c r="I679" s="20" t="s">
        <v>58</v>
      </c>
      <c r="J679" s="20" t="s">
        <v>373</v>
      </c>
      <c r="K679" s="20" t="s">
        <v>2388</v>
      </c>
      <c r="L679" s="19" t="s">
        <v>61</v>
      </c>
      <c r="M679" s="19" t="s">
        <v>62</v>
      </c>
      <c r="N679" s="19" t="s">
        <v>683</v>
      </c>
      <c r="O679" s="19">
        <v>21</v>
      </c>
      <c r="P679" s="19">
        <v>3.73</v>
      </c>
      <c r="Q679" s="19">
        <v>1</v>
      </c>
      <c r="R679" s="20">
        <v>8</v>
      </c>
      <c r="S679" s="19">
        <v>6.6000000000000003E-2</v>
      </c>
      <c r="T679" s="19" t="s">
        <v>64</v>
      </c>
      <c r="U679" s="19" t="s">
        <v>65</v>
      </c>
      <c r="V679" s="19" t="s">
        <v>66</v>
      </c>
      <c r="W679" s="19" t="s">
        <v>67</v>
      </c>
      <c r="X679" s="19" t="s">
        <v>68</v>
      </c>
      <c r="Y679" s="21" t="s">
        <v>623</v>
      </c>
      <c r="Z679" s="21" t="s">
        <v>2385</v>
      </c>
      <c r="AA679" s="21" t="s">
        <v>625</v>
      </c>
      <c r="AB679" s="21">
        <v>1</v>
      </c>
      <c r="AC679" s="21"/>
      <c r="AD679" s="21"/>
      <c r="AE679" s="21"/>
      <c r="AF679" s="21"/>
      <c r="AG679" s="21" t="s">
        <v>2386</v>
      </c>
      <c r="AH679" s="21"/>
      <c r="AI679" s="21"/>
      <c r="AJ679" s="22"/>
      <c r="AK679" s="22"/>
      <c r="AL679" s="21" t="str">
        <f>_xlfn.XLOOKUP(A:A,[1]TAGS!$A:$A,[1]TAGS!$BG:$BG)</f>
        <v>Não Montado</v>
      </c>
      <c r="AM679" s="21" t="s">
        <v>70</v>
      </c>
      <c r="AN679" s="22"/>
      <c r="AO679" s="21" t="str">
        <f>_xlfn.XLOOKUP(A:A,[1]TAGS!$A:$A,[1]TAGS!$BG:$BG)</f>
        <v>Não Montado</v>
      </c>
      <c r="AP679" s="21"/>
      <c r="AQ679" s="21"/>
      <c r="AR679" s="21"/>
      <c r="AS679" s="21"/>
      <c r="AT679" s="21"/>
      <c r="AU679" s="21"/>
    </row>
    <row r="680" spans="1:47" x14ac:dyDescent="0.35">
      <c r="A680" s="19" t="s">
        <v>2389</v>
      </c>
      <c r="B680" s="19" t="s">
        <v>52</v>
      </c>
      <c r="C680" s="19"/>
      <c r="D680" s="19" t="s">
        <v>53</v>
      </c>
      <c r="E680" s="19" t="s">
        <v>460</v>
      </c>
      <c r="F680" s="20" t="s">
        <v>370</v>
      </c>
      <c r="G680" s="20" t="s">
        <v>371</v>
      </c>
      <c r="H680" s="19" t="s">
        <v>2390</v>
      </c>
      <c r="I680" s="20" t="s">
        <v>58</v>
      </c>
      <c r="J680" s="20" t="s">
        <v>373</v>
      </c>
      <c r="K680" s="20" t="s">
        <v>2391</v>
      </c>
      <c r="L680" s="19" t="s">
        <v>61</v>
      </c>
      <c r="M680" s="19" t="s">
        <v>62</v>
      </c>
      <c r="N680" s="19" t="s">
        <v>683</v>
      </c>
      <c r="O680" s="19">
        <v>21</v>
      </c>
      <c r="P680" s="19">
        <v>3.73</v>
      </c>
      <c r="Q680" s="19">
        <v>1</v>
      </c>
      <c r="R680" s="20">
        <v>8</v>
      </c>
      <c r="S680" s="19">
        <v>6.6000000000000003E-2</v>
      </c>
      <c r="T680" s="19" t="s">
        <v>64</v>
      </c>
      <c r="U680" s="19" t="s">
        <v>65</v>
      </c>
      <c r="V680" s="19" t="s">
        <v>66</v>
      </c>
      <c r="W680" s="19" t="s">
        <v>67</v>
      </c>
      <c r="X680" s="19" t="s">
        <v>68</v>
      </c>
      <c r="Y680" s="21" t="s">
        <v>623</v>
      </c>
      <c r="Z680" s="21" t="s">
        <v>688</v>
      </c>
      <c r="AA680" s="21" t="s">
        <v>692</v>
      </c>
      <c r="AB680" s="21">
        <v>1</v>
      </c>
      <c r="AC680" s="21"/>
      <c r="AD680" s="21"/>
      <c r="AE680" s="21"/>
      <c r="AF680" s="21"/>
      <c r="AG680" s="21" t="s">
        <v>2389</v>
      </c>
      <c r="AH680" s="21"/>
      <c r="AI680" s="21"/>
      <c r="AJ680" s="22"/>
      <c r="AK680" s="22"/>
      <c r="AL680" s="21" t="str">
        <f>_xlfn.XLOOKUP(A:A,[1]TAGS!$A:$A,[1]TAGS!$BG:$BG)</f>
        <v>Não Montado</v>
      </c>
      <c r="AM680" s="21" t="s">
        <v>70</v>
      </c>
      <c r="AN680" s="22"/>
      <c r="AO680" s="21" t="str">
        <f>_xlfn.XLOOKUP(A:A,[1]TAGS!$A:$A,[1]TAGS!$BG:$BG)</f>
        <v>Não Montado</v>
      </c>
      <c r="AP680" s="21"/>
      <c r="AQ680" s="21"/>
      <c r="AR680" s="21"/>
      <c r="AS680" s="21"/>
      <c r="AT680" s="21"/>
      <c r="AU680" s="21"/>
    </row>
    <row r="681" spans="1:47" x14ac:dyDescent="0.35">
      <c r="A681" s="19" t="s">
        <v>2392</v>
      </c>
      <c r="B681" s="19" t="s">
        <v>52</v>
      </c>
      <c r="C681" s="19"/>
      <c r="D681" s="19" t="s">
        <v>53</v>
      </c>
      <c r="E681" s="19" t="s">
        <v>460</v>
      </c>
      <c r="F681" s="20" t="s">
        <v>370</v>
      </c>
      <c r="G681" s="20" t="s">
        <v>371</v>
      </c>
      <c r="H681" s="19" t="s">
        <v>2393</v>
      </c>
      <c r="I681" s="20" t="s">
        <v>58</v>
      </c>
      <c r="J681" s="20" t="s">
        <v>373</v>
      </c>
      <c r="K681" s="20" t="s">
        <v>2394</v>
      </c>
      <c r="L681" s="19" t="s">
        <v>61</v>
      </c>
      <c r="M681" s="19" t="s">
        <v>62</v>
      </c>
      <c r="N681" s="19" t="s">
        <v>683</v>
      </c>
      <c r="O681" s="19">
        <v>21</v>
      </c>
      <c r="P681" s="19">
        <v>3.73</v>
      </c>
      <c r="Q681" s="19">
        <v>1</v>
      </c>
      <c r="R681" s="20">
        <v>8</v>
      </c>
      <c r="S681" s="19">
        <v>6.6000000000000003E-2</v>
      </c>
      <c r="T681" s="19" t="s">
        <v>64</v>
      </c>
      <c r="U681" s="19" t="s">
        <v>65</v>
      </c>
      <c r="V681" s="19" t="s">
        <v>66</v>
      </c>
      <c r="W681" s="19" t="s">
        <v>67</v>
      </c>
      <c r="X681" s="19" t="s">
        <v>68</v>
      </c>
      <c r="Y681" s="21" t="s">
        <v>623</v>
      </c>
      <c r="Z681" s="21" t="s">
        <v>2333</v>
      </c>
      <c r="AA681" s="21" t="s">
        <v>692</v>
      </c>
      <c r="AB681" s="21">
        <v>1</v>
      </c>
      <c r="AC681" s="21"/>
      <c r="AD681" s="21"/>
      <c r="AE681" s="21"/>
      <c r="AF681" s="21"/>
      <c r="AG681" s="21" t="s">
        <v>2392</v>
      </c>
      <c r="AH681" s="21"/>
      <c r="AI681" s="21"/>
      <c r="AJ681" s="22"/>
      <c r="AK681" s="22"/>
      <c r="AL681" s="21" t="str">
        <f>_xlfn.XLOOKUP(A:A,[1]TAGS!$A:$A,[1]TAGS!$BG:$BG)</f>
        <v>Não Montado</v>
      </c>
      <c r="AM681" s="21" t="s">
        <v>70</v>
      </c>
      <c r="AN681" s="22"/>
      <c r="AO681" s="21" t="str">
        <f>_xlfn.XLOOKUP(A:A,[1]TAGS!$A:$A,[1]TAGS!$BG:$BG)</f>
        <v>Não Montado</v>
      </c>
      <c r="AP681" s="21"/>
      <c r="AQ681" s="21"/>
      <c r="AR681" s="21"/>
      <c r="AS681" s="21"/>
      <c r="AT681" s="21"/>
      <c r="AU681" s="21"/>
    </row>
    <row r="682" spans="1:47" x14ac:dyDescent="0.35">
      <c r="A682" s="19" t="s">
        <v>2395</v>
      </c>
      <c r="B682" s="19" t="s">
        <v>52</v>
      </c>
      <c r="C682" s="19"/>
      <c r="D682" s="19" t="s">
        <v>53</v>
      </c>
      <c r="E682" s="19" t="s">
        <v>460</v>
      </c>
      <c r="F682" s="20" t="s">
        <v>370</v>
      </c>
      <c r="G682" s="20" t="s">
        <v>371</v>
      </c>
      <c r="H682" s="19" t="s">
        <v>2396</v>
      </c>
      <c r="I682" s="20" t="s">
        <v>58</v>
      </c>
      <c r="J682" s="20" t="s">
        <v>373</v>
      </c>
      <c r="K682" s="20" t="s">
        <v>2397</v>
      </c>
      <c r="L682" s="19" t="s">
        <v>61</v>
      </c>
      <c r="M682" s="19" t="s">
        <v>62</v>
      </c>
      <c r="N682" s="19" t="s">
        <v>683</v>
      </c>
      <c r="O682" s="19">
        <v>21</v>
      </c>
      <c r="P682" s="19">
        <v>3.73</v>
      </c>
      <c r="Q682" s="19">
        <v>1</v>
      </c>
      <c r="R682" s="20">
        <v>8</v>
      </c>
      <c r="S682" s="19">
        <v>6.6000000000000003E-2</v>
      </c>
      <c r="T682" s="19" t="s">
        <v>64</v>
      </c>
      <c r="U682" s="19" t="s">
        <v>65</v>
      </c>
      <c r="V682" s="19" t="s">
        <v>66</v>
      </c>
      <c r="W682" s="19" t="s">
        <v>67</v>
      </c>
      <c r="X682" s="19" t="s">
        <v>68</v>
      </c>
      <c r="Y682" s="21" t="s">
        <v>623</v>
      </c>
      <c r="Z682" s="21" t="s">
        <v>2333</v>
      </c>
      <c r="AA682" s="21" t="s">
        <v>692</v>
      </c>
      <c r="AB682" s="21">
        <v>2</v>
      </c>
      <c r="AC682" s="21"/>
      <c r="AD682" s="21"/>
      <c r="AE682" s="21"/>
      <c r="AF682" s="21"/>
      <c r="AG682" s="21" t="s">
        <v>2395</v>
      </c>
      <c r="AH682" s="21"/>
      <c r="AI682" s="21"/>
      <c r="AJ682" s="22"/>
      <c r="AK682" s="22"/>
      <c r="AL682" s="21" t="str">
        <f>_xlfn.XLOOKUP(A:A,[1]TAGS!$A:$A,[1]TAGS!$BG:$BG)</f>
        <v>Não Montado</v>
      </c>
      <c r="AM682" s="21" t="s">
        <v>70</v>
      </c>
      <c r="AN682" s="22"/>
      <c r="AO682" s="21" t="str">
        <f>_xlfn.XLOOKUP(A:A,[1]TAGS!$A:$A,[1]TAGS!$BG:$BG)</f>
        <v>Não Montado</v>
      </c>
      <c r="AP682" s="21"/>
      <c r="AQ682" s="21"/>
      <c r="AR682" s="21"/>
      <c r="AS682" s="21"/>
      <c r="AT682" s="21"/>
      <c r="AU682" s="21"/>
    </row>
    <row r="683" spans="1:47" x14ac:dyDescent="0.35">
      <c r="A683" s="19" t="s">
        <v>2398</v>
      </c>
      <c r="B683" s="19" t="s">
        <v>52</v>
      </c>
      <c r="C683" s="19"/>
      <c r="D683" s="19" t="s">
        <v>53</v>
      </c>
      <c r="E683" s="19" t="s">
        <v>460</v>
      </c>
      <c r="F683" s="20" t="s">
        <v>370</v>
      </c>
      <c r="G683" s="20" t="s">
        <v>371</v>
      </c>
      <c r="H683" s="19" t="s">
        <v>2399</v>
      </c>
      <c r="I683" s="20" t="s">
        <v>58</v>
      </c>
      <c r="J683" s="20" t="s">
        <v>373</v>
      </c>
      <c r="K683" s="20" t="s">
        <v>2400</v>
      </c>
      <c r="L683" s="19" t="s">
        <v>61</v>
      </c>
      <c r="M683" s="19" t="s">
        <v>62</v>
      </c>
      <c r="N683" s="19" t="s">
        <v>683</v>
      </c>
      <c r="O683" s="19">
        <v>21</v>
      </c>
      <c r="P683" s="19">
        <v>3.73</v>
      </c>
      <c r="Q683" s="19">
        <v>1</v>
      </c>
      <c r="R683" s="20">
        <v>8</v>
      </c>
      <c r="S683" s="19">
        <v>6.6000000000000003E-2</v>
      </c>
      <c r="T683" s="19" t="s">
        <v>64</v>
      </c>
      <c r="U683" s="19" t="s">
        <v>65</v>
      </c>
      <c r="V683" s="19" t="s">
        <v>66</v>
      </c>
      <c r="W683" s="19" t="s">
        <v>67</v>
      </c>
      <c r="X683" s="19" t="s">
        <v>68</v>
      </c>
      <c r="Y683" s="21" t="s">
        <v>623</v>
      </c>
      <c r="Z683" s="21" t="s">
        <v>2333</v>
      </c>
      <c r="AA683" s="21" t="s">
        <v>692</v>
      </c>
      <c r="AB683" s="21">
        <v>3</v>
      </c>
      <c r="AC683" s="21"/>
      <c r="AD683" s="21"/>
      <c r="AE683" s="21"/>
      <c r="AF683" s="21"/>
      <c r="AG683" s="21" t="s">
        <v>2398</v>
      </c>
      <c r="AH683" s="21"/>
      <c r="AI683" s="21"/>
      <c r="AJ683" s="22"/>
      <c r="AK683" s="22"/>
      <c r="AL683" s="21" t="str">
        <f>_xlfn.XLOOKUP(A:A,[1]TAGS!$A:$A,[1]TAGS!$BG:$BG)</f>
        <v>Não Montado</v>
      </c>
      <c r="AM683" s="21" t="s">
        <v>70</v>
      </c>
      <c r="AN683" s="22"/>
      <c r="AO683" s="21" t="str">
        <f>_xlfn.XLOOKUP(A:A,[1]TAGS!$A:$A,[1]TAGS!$BG:$BG)</f>
        <v>Não Montado</v>
      </c>
      <c r="AP683" s="21"/>
      <c r="AQ683" s="21"/>
      <c r="AR683" s="21"/>
      <c r="AS683" s="21"/>
      <c r="AT683" s="21"/>
      <c r="AU683" s="21"/>
    </row>
    <row r="684" spans="1:47" x14ac:dyDescent="0.35">
      <c r="A684" s="19" t="s">
        <v>2401</v>
      </c>
      <c r="B684" s="19" t="s">
        <v>52</v>
      </c>
      <c r="C684" s="19"/>
      <c r="D684" s="19" t="s">
        <v>53</v>
      </c>
      <c r="E684" s="19" t="s">
        <v>460</v>
      </c>
      <c r="F684" s="20" t="s">
        <v>370</v>
      </c>
      <c r="G684" s="20" t="s">
        <v>371</v>
      </c>
      <c r="H684" s="19" t="s">
        <v>2402</v>
      </c>
      <c r="I684" s="20" t="s">
        <v>58</v>
      </c>
      <c r="J684" s="20" t="s">
        <v>373</v>
      </c>
      <c r="K684" s="20" t="s">
        <v>2403</v>
      </c>
      <c r="L684" s="19" t="s">
        <v>61</v>
      </c>
      <c r="M684" s="19" t="s">
        <v>62</v>
      </c>
      <c r="N684" s="20" t="s">
        <v>63</v>
      </c>
      <c r="O684" s="19">
        <v>21</v>
      </c>
      <c r="P684" s="19">
        <v>3.73</v>
      </c>
      <c r="Q684" s="19">
        <v>1</v>
      </c>
      <c r="R684" s="20">
        <v>8</v>
      </c>
      <c r="S684" s="19">
        <v>6.6000000000000003E-2</v>
      </c>
      <c r="T684" s="19" t="s">
        <v>64</v>
      </c>
      <c r="U684" s="19" t="s">
        <v>65</v>
      </c>
      <c r="V684" s="19" t="s">
        <v>66</v>
      </c>
      <c r="W684" s="19" t="s">
        <v>67</v>
      </c>
      <c r="X684" s="19" t="s">
        <v>68</v>
      </c>
      <c r="Y684" s="21" t="s">
        <v>623</v>
      </c>
      <c r="Z684" s="21" t="s">
        <v>2343</v>
      </c>
      <c r="AA684" s="21" t="s">
        <v>692</v>
      </c>
      <c r="AB684" s="21">
        <v>2</v>
      </c>
      <c r="AC684" s="21"/>
      <c r="AD684" s="21"/>
      <c r="AE684" s="21"/>
      <c r="AF684" s="21"/>
      <c r="AG684" s="21" t="s">
        <v>2401</v>
      </c>
      <c r="AH684" s="21"/>
      <c r="AI684" s="21"/>
      <c r="AJ684" s="22"/>
      <c r="AK684" s="22"/>
      <c r="AL684" s="21" t="str">
        <f>_xlfn.XLOOKUP(A:A,[1]TAGS!$A:$A,[1]TAGS!$BG:$BG)</f>
        <v>Não Montado</v>
      </c>
      <c r="AM684" s="21" t="s">
        <v>70</v>
      </c>
      <c r="AN684" s="22"/>
      <c r="AO684" s="21" t="str">
        <f>_xlfn.XLOOKUP(A:A,[1]TAGS!$A:$A,[1]TAGS!$BG:$BG)</f>
        <v>Não Montado</v>
      </c>
      <c r="AP684" s="21"/>
      <c r="AQ684" s="21"/>
      <c r="AR684" s="21"/>
      <c r="AS684" s="21"/>
      <c r="AT684" s="21"/>
      <c r="AU684" s="21"/>
    </row>
    <row r="685" spans="1:47" x14ac:dyDescent="0.35">
      <c r="A685" s="19" t="s">
        <v>2404</v>
      </c>
      <c r="B685" s="19" t="s">
        <v>52</v>
      </c>
      <c r="C685" s="19"/>
      <c r="D685" s="19" t="s">
        <v>53</v>
      </c>
      <c r="E685" s="19" t="s">
        <v>460</v>
      </c>
      <c r="F685" s="20" t="s">
        <v>370</v>
      </c>
      <c r="G685" s="20" t="s">
        <v>371</v>
      </c>
      <c r="H685" s="19" t="s">
        <v>2405</v>
      </c>
      <c r="I685" s="20" t="s">
        <v>58</v>
      </c>
      <c r="J685" s="20" t="s">
        <v>373</v>
      </c>
      <c r="K685" s="20" t="s">
        <v>2406</v>
      </c>
      <c r="L685" s="19" t="s">
        <v>61</v>
      </c>
      <c r="M685" s="19" t="s">
        <v>62</v>
      </c>
      <c r="N685" s="20" t="s">
        <v>63</v>
      </c>
      <c r="O685" s="19">
        <v>21</v>
      </c>
      <c r="P685" s="19">
        <v>3.73</v>
      </c>
      <c r="Q685" s="19">
        <v>1</v>
      </c>
      <c r="R685" s="20">
        <v>8</v>
      </c>
      <c r="S685" s="19">
        <v>6.6000000000000003E-2</v>
      </c>
      <c r="T685" s="19" t="s">
        <v>64</v>
      </c>
      <c r="U685" s="19" t="s">
        <v>65</v>
      </c>
      <c r="V685" s="19" t="s">
        <v>66</v>
      </c>
      <c r="W685" s="19" t="s">
        <v>67</v>
      </c>
      <c r="X685" s="19" t="s">
        <v>68</v>
      </c>
      <c r="Y685" s="21" t="s">
        <v>623</v>
      </c>
      <c r="Z685" s="21" t="s">
        <v>2343</v>
      </c>
      <c r="AA685" s="21" t="s">
        <v>625</v>
      </c>
      <c r="AB685" s="21">
        <v>2</v>
      </c>
      <c r="AC685" s="21"/>
      <c r="AD685" s="21"/>
      <c r="AE685" s="21"/>
      <c r="AF685" s="21"/>
      <c r="AG685" s="21" t="s">
        <v>2404</v>
      </c>
      <c r="AH685" s="21"/>
      <c r="AI685" s="21"/>
      <c r="AJ685" s="22"/>
      <c r="AK685" s="22"/>
      <c r="AL685" s="21" t="str">
        <f>_xlfn.XLOOKUP(A:A,[1]TAGS!$A:$A,[1]TAGS!$BG:$BG)</f>
        <v>Não Montado</v>
      </c>
      <c r="AM685" s="21" t="s">
        <v>70</v>
      </c>
      <c r="AN685" s="22"/>
      <c r="AO685" s="21" t="str">
        <f>_xlfn.XLOOKUP(A:A,[1]TAGS!$A:$A,[1]TAGS!$BG:$BG)</f>
        <v>Não Montado</v>
      </c>
      <c r="AP685" s="21"/>
      <c r="AQ685" s="21"/>
      <c r="AR685" s="21"/>
      <c r="AS685" s="21"/>
      <c r="AT685" s="21"/>
      <c r="AU685" s="21"/>
    </row>
    <row r="686" spans="1:47" x14ac:dyDescent="0.35">
      <c r="A686" s="19" t="s">
        <v>2407</v>
      </c>
      <c r="B686" s="19" t="s">
        <v>52</v>
      </c>
      <c r="C686" s="19"/>
      <c r="D686" s="19" t="s">
        <v>53</v>
      </c>
      <c r="E686" s="19" t="s">
        <v>460</v>
      </c>
      <c r="F686" s="20" t="s">
        <v>370</v>
      </c>
      <c r="G686" s="20" t="s">
        <v>371</v>
      </c>
      <c r="H686" s="19" t="s">
        <v>2408</v>
      </c>
      <c r="I686" s="20" t="s">
        <v>58</v>
      </c>
      <c r="J686" s="20" t="s">
        <v>373</v>
      </c>
      <c r="K686" s="20" t="s">
        <v>2409</v>
      </c>
      <c r="L686" s="19" t="s">
        <v>61</v>
      </c>
      <c r="M686" s="19" t="s">
        <v>62</v>
      </c>
      <c r="N686" s="19" t="s">
        <v>683</v>
      </c>
      <c r="O686" s="19">
        <v>21</v>
      </c>
      <c r="P686" s="19">
        <v>3.73</v>
      </c>
      <c r="Q686" s="19">
        <v>1</v>
      </c>
      <c r="R686" s="20">
        <v>8</v>
      </c>
      <c r="S686" s="19">
        <v>6.6000000000000003E-2</v>
      </c>
      <c r="T686" s="19" t="s">
        <v>64</v>
      </c>
      <c r="U686" s="19" t="s">
        <v>65</v>
      </c>
      <c r="V686" s="19" t="s">
        <v>66</v>
      </c>
      <c r="W686" s="19" t="s">
        <v>67</v>
      </c>
      <c r="X686" s="19" t="s">
        <v>68</v>
      </c>
      <c r="Y686" s="21" t="s">
        <v>623</v>
      </c>
      <c r="Z686" s="21" t="s">
        <v>2350</v>
      </c>
      <c r="AA686" s="21" t="s">
        <v>692</v>
      </c>
      <c r="AB686" s="21">
        <v>2</v>
      </c>
      <c r="AC686" s="21"/>
      <c r="AD686" s="21"/>
      <c r="AE686" s="21"/>
      <c r="AF686" s="21"/>
      <c r="AG686" s="21" t="s">
        <v>2407</v>
      </c>
      <c r="AH686" s="21"/>
      <c r="AI686" s="21"/>
      <c r="AJ686" s="22"/>
      <c r="AK686" s="22"/>
      <c r="AL686" s="21" t="str">
        <f>_xlfn.XLOOKUP(A:A,[1]TAGS!$A:$A,[1]TAGS!$BG:$BG)</f>
        <v>Não Montado</v>
      </c>
      <c r="AM686" s="21" t="s">
        <v>70</v>
      </c>
      <c r="AN686" s="22"/>
      <c r="AO686" s="21" t="str">
        <f>_xlfn.XLOOKUP(A:A,[1]TAGS!$A:$A,[1]TAGS!$BG:$BG)</f>
        <v>Não Montado</v>
      </c>
      <c r="AP686" s="21"/>
      <c r="AQ686" s="21"/>
      <c r="AR686" s="21"/>
      <c r="AS686" s="21"/>
      <c r="AT686" s="21"/>
      <c r="AU686" s="21"/>
    </row>
    <row r="687" spans="1:47" x14ac:dyDescent="0.35">
      <c r="A687" s="19" t="s">
        <v>2410</v>
      </c>
      <c r="B687" s="19" t="s">
        <v>52</v>
      </c>
      <c r="C687" s="19"/>
      <c r="D687" s="19" t="s">
        <v>53</v>
      </c>
      <c r="E687" s="19" t="s">
        <v>460</v>
      </c>
      <c r="F687" s="20" t="s">
        <v>370</v>
      </c>
      <c r="G687" s="20" t="s">
        <v>371</v>
      </c>
      <c r="H687" s="19" t="s">
        <v>2411</v>
      </c>
      <c r="I687" s="20" t="s">
        <v>58</v>
      </c>
      <c r="J687" s="20" t="s">
        <v>373</v>
      </c>
      <c r="K687" s="20" t="s">
        <v>2412</v>
      </c>
      <c r="L687" s="19" t="s">
        <v>61</v>
      </c>
      <c r="M687" s="19" t="s">
        <v>62</v>
      </c>
      <c r="N687" s="19" t="s">
        <v>683</v>
      </c>
      <c r="O687" s="19">
        <v>21</v>
      </c>
      <c r="P687" s="19">
        <v>3.73</v>
      </c>
      <c r="Q687" s="19">
        <v>1</v>
      </c>
      <c r="R687" s="20">
        <v>8</v>
      </c>
      <c r="S687" s="19">
        <v>6.6000000000000003E-2</v>
      </c>
      <c r="T687" s="19" t="s">
        <v>64</v>
      </c>
      <c r="U687" s="19" t="s">
        <v>65</v>
      </c>
      <c r="V687" s="19" t="s">
        <v>66</v>
      </c>
      <c r="W687" s="19" t="s">
        <v>67</v>
      </c>
      <c r="X687" s="19" t="s">
        <v>68</v>
      </c>
      <c r="Y687" s="21" t="s">
        <v>623</v>
      </c>
      <c r="Z687" s="21" t="s">
        <v>2350</v>
      </c>
      <c r="AA687" s="21" t="s">
        <v>625</v>
      </c>
      <c r="AB687" s="21">
        <v>2</v>
      </c>
      <c r="AC687" s="21"/>
      <c r="AD687" s="21"/>
      <c r="AE687" s="21"/>
      <c r="AF687" s="21"/>
      <c r="AG687" s="21" t="s">
        <v>2410</v>
      </c>
      <c r="AH687" s="21"/>
      <c r="AI687" s="21"/>
      <c r="AJ687" s="22"/>
      <c r="AK687" s="22"/>
      <c r="AL687" s="21" t="str">
        <f>_xlfn.XLOOKUP(A:A,[1]TAGS!$A:$A,[1]TAGS!$BG:$BG)</f>
        <v>Não Montado</v>
      </c>
      <c r="AM687" s="21" t="s">
        <v>70</v>
      </c>
      <c r="AN687" s="22"/>
      <c r="AO687" s="21" t="str">
        <f>_xlfn.XLOOKUP(A:A,[1]TAGS!$A:$A,[1]TAGS!$BG:$BG)</f>
        <v>Não Montado</v>
      </c>
      <c r="AP687" s="21"/>
      <c r="AQ687" s="21"/>
      <c r="AR687" s="21"/>
      <c r="AS687" s="21"/>
      <c r="AT687" s="21"/>
      <c r="AU687" s="21"/>
    </row>
    <row r="688" spans="1:47" x14ac:dyDescent="0.35">
      <c r="A688" s="19" t="s">
        <v>2413</v>
      </c>
      <c r="B688" s="19" t="s">
        <v>52</v>
      </c>
      <c r="C688" s="19"/>
      <c r="D688" s="19" t="s">
        <v>53</v>
      </c>
      <c r="E688" s="19" t="s">
        <v>460</v>
      </c>
      <c r="F688" s="20" t="s">
        <v>370</v>
      </c>
      <c r="G688" s="20" t="s">
        <v>371</v>
      </c>
      <c r="H688" s="19" t="s">
        <v>2414</v>
      </c>
      <c r="I688" s="20" t="s">
        <v>58</v>
      </c>
      <c r="J688" s="20" t="s">
        <v>373</v>
      </c>
      <c r="K688" s="20" t="s">
        <v>2415</v>
      </c>
      <c r="L688" s="19" t="s">
        <v>61</v>
      </c>
      <c r="M688" s="19" t="s">
        <v>62</v>
      </c>
      <c r="N688" s="19" t="s">
        <v>683</v>
      </c>
      <c r="O688" s="19">
        <v>21</v>
      </c>
      <c r="P688" s="19">
        <v>3.73</v>
      </c>
      <c r="Q688" s="19">
        <v>1</v>
      </c>
      <c r="R688" s="20">
        <v>8</v>
      </c>
      <c r="S688" s="19">
        <v>6.6000000000000003E-2</v>
      </c>
      <c r="T688" s="19" t="s">
        <v>64</v>
      </c>
      <c r="U688" s="19" t="s">
        <v>65</v>
      </c>
      <c r="V688" s="19" t="s">
        <v>66</v>
      </c>
      <c r="W688" s="19" t="s">
        <v>67</v>
      </c>
      <c r="X688" s="19" t="s">
        <v>68</v>
      </c>
      <c r="Y688" s="21" t="s">
        <v>623</v>
      </c>
      <c r="Z688" s="21" t="s">
        <v>2357</v>
      </c>
      <c r="AA688" s="21" t="s">
        <v>692</v>
      </c>
      <c r="AB688" s="21">
        <v>2</v>
      </c>
      <c r="AC688" s="21"/>
      <c r="AD688" s="21"/>
      <c r="AE688" s="21"/>
      <c r="AF688" s="21"/>
      <c r="AG688" s="21" t="s">
        <v>2413</v>
      </c>
      <c r="AH688" s="21"/>
      <c r="AI688" s="21"/>
      <c r="AJ688" s="22"/>
      <c r="AK688" s="22"/>
      <c r="AL688" s="21" t="str">
        <f>_xlfn.XLOOKUP(A:A,[1]TAGS!$A:$A,[1]TAGS!$BG:$BG)</f>
        <v>Não Montado</v>
      </c>
      <c r="AM688" s="21" t="s">
        <v>70</v>
      </c>
      <c r="AN688" s="22"/>
      <c r="AO688" s="21" t="str">
        <f>_xlfn.XLOOKUP(A:A,[1]TAGS!$A:$A,[1]TAGS!$BG:$BG)</f>
        <v>Não Montado</v>
      </c>
      <c r="AP688" s="21"/>
      <c r="AQ688" s="21"/>
      <c r="AR688" s="21"/>
      <c r="AS688" s="21"/>
      <c r="AT688" s="21"/>
      <c r="AU688" s="21"/>
    </row>
    <row r="689" spans="1:47" x14ac:dyDescent="0.35">
      <c r="A689" s="19" t="s">
        <v>2416</v>
      </c>
      <c r="B689" s="19" t="s">
        <v>52</v>
      </c>
      <c r="C689" s="19"/>
      <c r="D689" s="19" t="s">
        <v>53</v>
      </c>
      <c r="E689" s="19" t="s">
        <v>460</v>
      </c>
      <c r="F689" s="20" t="s">
        <v>370</v>
      </c>
      <c r="G689" s="20" t="s">
        <v>371</v>
      </c>
      <c r="H689" s="19" t="s">
        <v>2417</v>
      </c>
      <c r="I689" s="20" t="s">
        <v>58</v>
      </c>
      <c r="J689" s="20" t="s">
        <v>373</v>
      </c>
      <c r="K689" s="20" t="s">
        <v>2418</v>
      </c>
      <c r="L689" s="19" t="s">
        <v>61</v>
      </c>
      <c r="M689" s="19" t="s">
        <v>62</v>
      </c>
      <c r="N689" s="19" t="s">
        <v>683</v>
      </c>
      <c r="O689" s="19">
        <v>21</v>
      </c>
      <c r="P689" s="19">
        <v>3.73</v>
      </c>
      <c r="Q689" s="19">
        <v>1</v>
      </c>
      <c r="R689" s="20">
        <v>8</v>
      </c>
      <c r="S689" s="19">
        <v>6.6000000000000003E-2</v>
      </c>
      <c r="T689" s="19" t="s">
        <v>64</v>
      </c>
      <c r="U689" s="19" t="s">
        <v>65</v>
      </c>
      <c r="V689" s="19" t="s">
        <v>66</v>
      </c>
      <c r="W689" s="19" t="s">
        <v>67</v>
      </c>
      <c r="X689" s="19" t="s">
        <v>68</v>
      </c>
      <c r="Y689" s="21" t="s">
        <v>623</v>
      </c>
      <c r="Z689" s="21" t="s">
        <v>2357</v>
      </c>
      <c r="AA689" s="21" t="s">
        <v>625</v>
      </c>
      <c r="AB689" s="21">
        <v>2</v>
      </c>
      <c r="AC689" s="21"/>
      <c r="AD689" s="21"/>
      <c r="AE689" s="21"/>
      <c r="AF689" s="21"/>
      <c r="AG689" s="21" t="s">
        <v>2416</v>
      </c>
      <c r="AH689" s="21"/>
      <c r="AI689" s="21"/>
      <c r="AJ689" s="22"/>
      <c r="AK689" s="22"/>
      <c r="AL689" s="21" t="str">
        <f>_xlfn.XLOOKUP(A:A,[1]TAGS!$A:$A,[1]TAGS!$BG:$BG)</f>
        <v>Não Montado</v>
      </c>
      <c r="AM689" s="21" t="s">
        <v>70</v>
      </c>
      <c r="AN689" s="22"/>
      <c r="AO689" s="21" t="str">
        <f>_xlfn.XLOOKUP(A:A,[1]TAGS!$A:$A,[1]TAGS!$BG:$BG)</f>
        <v>Não Montado</v>
      </c>
      <c r="AP689" s="21"/>
      <c r="AQ689" s="21"/>
      <c r="AR689" s="21"/>
      <c r="AS689" s="21"/>
      <c r="AT689" s="21"/>
      <c r="AU689" s="21"/>
    </row>
    <row r="690" spans="1:47" x14ac:dyDescent="0.35">
      <c r="A690" s="19" t="s">
        <v>2419</v>
      </c>
      <c r="B690" s="19" t="s">
        <v>52</v>
      </c>
      <c r="C690" s="19"/>
      <c r="D690" s="19" t="s">
        <v>53</v>
      </c>
      <c r="E690" s="19" t="s">
        <v>460</v>
      </c>
      <c r="F690" s="20" t="s">
        <v>370</v>
      </c>
      <c r="G690" s="20" t="s">
        <v>371</v>
      </c>
      <c r="H690" s="19" t="s">
        <v>2420</v>
      </c>
      <c r="I690" s="20" t="s">
        <v>58</v>
      </c>
      <c r="J690" s="20" t="s">
        <v>373</v>
      </c>
      <c r="K690" s="20" t="s">
        <v>2421</v>
      </c>
      <c r="L690" s="19" t="s">
        <v>61</v>
      </c>
      <c r="M690" s="19" t="s">
        <v>62</v>
      </c>
      <c r="N690" s="19" t="s">
        <v>683</v>
      </c>
      <c r="O690" s="19">
        <v>21</v>
      </c>
      <c r="P690" s="19">
        <v>3.73</v>
      </c>
      <c r="Q690" s="19">
        <v>1</v>
      </c>
      <c r="R690" s="20">
        <v>8</v>
      </c>
      <c r="S690" s="19">
        <v>6.6000000000000003E-2</v>
      </c>
      <c r="T690" s="19" t="s">
        <v>64</v>
      </c>
      <c r="U690" s="19" t="s">
        <v>65</v>
      </c>
      <c r="V690" s="19" t="s">
        <v>66</v>
      </c>
      <c r="W690" s="19" t="s">
        <v>67</v>
      </c>
      <c r="X690" s="19" t="s">
        <v>68</v>
      </c>
      <c r="Y690" s="21" t="s">
        <v>623</v>
      </c>
      <c r="Z690" s="21" t="s">
        <v>2364</v>
      </c>
      <c r="AA690" s="21" t="s">
        <v>692</v>
      </c>
      <c r="AB690" s="21">
        <v>2</v>
      </c>
      <c r="AC690" s="21"/>
      <c r="AD690" s="21"/>
      <c r="AE690" s="21"/>
      <c r="AF690" s="21"/>
      <c r="AG690" s="21" t="s">
        <v>2419</v>
      </c>
      <c r="AH690" s="21"/>
      <c r="AI690" s="21"/>
      <c r="AJ690" s="22"/>
      <c r="AK690" s="22"/>
      <c r="AL690" s="21" t="str">
        <f>_xlfn.XLOOKUP(A:A,[1]TAGS!$A:$A,[1]TAGS!$BG:$BG)</f>
        <v>Não Montado</v>
      </c>
      <c r="AM690" s="21" t="s">
        <v>70</v>
      </c>
      <c r="AN690" s="22"/>
      <c r="AO690" s="21" t="str">
        <f>_xlfn.XLOOKUP(A:A,[1]TAGS!$A:$A,[1]TAGS!$BG:$BG)</f>
        <v>Não Montado</v>
      </c>
      <c r="AP690" s="21"/>
      <c r="AQ690" s="21"/>
      <c r="AR690" s="21"/>
      <c r="AS690" s="21"/>
      <c r="AT690" s="21"/>
      <c r="AU690" s="21"/>
    </row>
    <row r="691" spans="1:47" x14ac:dyDescent="0.35">
      <c r="A691" s="19" t="s">
        <v>2422</v>
      </c>
      <c r="B691" s="19" t="s">
        <v>52</v>
      </c>
      <c r="C691" s="19"/>
      <c r="D691" s="19" t="s">
        <v>53</v>
      </c>
      <c r="E691" s="19" t="s">
        <v>460</v>
      </c>
      <c r="F691" s="20" t="s">
        <v>370</v>
      </c>
      <c r="G691" s="20" t="s">
        <v>371</v>
      </c>
      <c r="H691" s="19" t="s">
        <v>2423</v>
      </c>
      <c r="I691" s="20" t="s">
        <v>58</v>
      </c>
      <c r="J691" s="20" t="s">
        <v>373</v>
      </c>
      <c r="K691" s="20" t="s">
        <v>2424</v>
      </c>
      <c r="L691" s="19" t="s">
        <v>61</v>
      </c>
      <c r="M691" s="19" t="s">
        <v>62</v>
      </c>
      <c r="N691" s="19" t="s">
        <v>683</v>
      </c>
      <c r="O691" s="19">
        <v>21</v>
      </c>
      <c r="P691" s="19">
        <v>3.73</v>
      </c>
      <c r="Q691" s="19">
        <v>1</v>
      </c>
      <c r="R691" s="20">
        <v>8</v>
      </c>
      <c r="S691" s="19">
        <v>6.6000000000000003E-2</v>
      </c>
      <c r="T691" s="19" t="s">
        <v>64</v>
      </c>
      <c r="U691" s="19" t="s">
        <v>65</v>
      </c>
      <c r="V691" s="19" t="s">
        <v>66</v>
      </c>
      <c r="W691" s="19" t="s">
        <v>67</v>
      </c>
      <c r="X691" s="19" t="s">
        <v>68</v>
      </c>
      <c r="Y691" s="21" t="s">
        <v>623</v>
      </c>
      <c r="Z691" s="21" t="s">
        <v>2364</v>
      </c>
      <c r="AA691" s="21" t="s">
        <v>625</v>
      </c>
      <c r="AB691" s="21">
        <v>2</v>
      </c>
      <c r="AC691" s="21"/>
      <c r="AD691" s="21"/>
      <c r="AE691" s="21"/>
      <c r="AF691" s="21"/>
      <c r="AG691" s="21" t="s">
        <v>2422</v>
      </c>
      <c r="AH691" s="21"/>
      <c r="AI691" s="21"/>
      <c r="AJ691" s="22"/>
      <c r="AK691" s="22"/>
      <c r="AL691" s="21" t="str">
        <f>_xlfn.XLOOKUP(A:A,[1]TAGS!$A:$A,[1]TAGS!$BG:$BG)</f>
        <v>Não Montado</v>
      </c>
      <c r="AM691" s="21" t="s">
        <v>70</v>
      </c>
      <c r="AN691" s="22"/>
      <c r="AO691" s="21" t="str">
        <f>_xlfn.XLOOKUP(A:A,[1]TAGS!$A:$A,[1]TAGS!$BG:$BG)</f>
        <v>Não Montado</v>
      </c>
      <c r="AP691" s="21"/>
      <c r="AQ691" s="21"/>
      <c r="AR691" s="21"/>
      <c r="AS691" s="21"/>
      <c r="AT691" s="21"/>
      <c r="AU691" s="21"/>
    </row>
    <row r="692" spans="1:47" x14ac:dyDescent="0.35">
      <c r="A692" s="19" t="s">
        <v>2425</v>
      </c>
      <c r="B692" s="19" t="s">
        <v>52</v>
      </c>
      <c r="C692" s="19"/>
      <c r="D692" s="19" t="s">
        <v>53</v>
      </c>
      <c r="E692" s="19" t="s">
        <v>460</v>
      </c>
      <c r="F692" s="20" t="s">
        <v>370</v>
      </c>
      <c r="G692" s="20" t="s">
        <v>371</v>
      </c>
      <c r="H692" s="19" t="s">
        <v>2426</v>
      </c>
      <c r="I692" s="20" t="s">
        <v>58</v>
      </c>
      <c r="J692" s="20" t="s">
        <v>373</v>
      </c>
      <c r="K692" s="20" t="s">
        <v>2427</v>
      </c>
      <c r="L692" s="19" t="s">
        <v>61</v>
      </c>
      <c r="M692" s="19" t="s">
        <v>62</v>
      </c>
      <c r="N692" s="19" t="s">
        <v>683</v>
      </c>
      <c r="O692" s="19">
        <v>21</v>
      </c>
      <c r="P692" s="19">
        <v>3.73</v>
      </c>
      <c r="Q692" s="19">
        <v>1</v>
      </c>
      <c r="R692" s="20">
        <v>8</v>
      </c>
      <c r="S692" s="19">
        <v>6.6000000000000003E-2</v>
      </c>
      <c r="T692" s="19" t="s">
        <v>64</v>
      </c>
      <c r="U692" s="19" t="s">
        <v>65</v>
      </c>
      <c r="V692" s="19" t="s">
        <v>66</v>
      </c>
      <c r="W692" s="19" t="s">
        <v>67</v>
      </c>
      <c r="X692" s="19" t="s">
        <v>68</v>
      </c>
      <c r="Y692" s="21" t="s">
        <v>623</v>
      </c>
      <c r="Z692" s="21" t="s">
        <v>2371</v>
      </c>
      <c r="AA692" s="21" t="s">
        <v>692</v>
      </c>
      <c r="AB692" s="21">
        <v>2</v>
      </c>
      <c r="AC692" s="21"/>
      <c r="AD692" s="21"/>
      <c r="AE692" s="21"/>
      <c r="AF692" s="21"/>
      <c r="AG692" s="21" t="s">
        <v>2425</v>
      </c>
      <c r="AH692" s="21"/>
      <c r="AI692" s="21"/>
      <c r="AJ692" s="22"/>
      <c r="AK692" s="22"/>
      <c r="AL692" s="21" t="str">
        <f>_xlfn.XLOOKUP(A:A,[1]TAGS!$A:$A,[1]TAGS!$BG:$BG)</f>
        <v>Não Montado</v>
      </c>
      <c r="AM692" s="21" t="s">
        <v>70</v>
      </c>
      <c r="AN692" s="22"/>
      <c r="AO692" s="21" t="str">
        <f>_xlfn.XLOOKUP(A:A,[1]TAGS!$A:$A,[1]TAGS!$BG:$BG)</f>
        <v>Não Montado</v>
      </c>
      <c r="AP692" s="21"/>
      <c r="AQ692" s="21"/>
      <c r="AR692" s="21"/>
      <c r="AS692" s="21"/>
      <c r="AT692" s="21"/>
      <c r="AU692" s="21"/>
    </row>
    <row r="693" spans="1:47" x14ac:dyDescent="0.35">
      <c r="A693" s="19" t="s">
        <v>2428</v>
      </c>
      <c r="B693" s="19" t="s">
        <v>52</v>
      </c>
      <c r="C693" s="19"/>
      <c r="D693" s="19" t="s">
        <v>53</v>
      </c>
      <c r="E693" s="19" t="s">
        <v>460</v>
      </c>
      <c r="F693" s="20" t="s">
        <v>370</v>
      </c>
      <c r="G693" s="20" t="s">
        <v>371</v>
      </c>
      <c r="H693" s="19" t="s">
        <v>2429</v>
      </c>
      <c r="I693" s="20" t="s">
        <v>58</v>
      </c>
      <c r="J693" s="20" t="s">
        <v>373</v>
      </c>
      <c r="K693" s="20" t="s">
        <v>2430</v>
      </c>
      <c r="L693" s="19" t="s">
        <v>61</v>
      </c>
      <c r="M693" s="19" t="s">
        <v>62</v>
      </c>
      <c r="N693" s="19" t="s">
        <v>683</v>
      </c>
      <c r="O693" s="19">
        <v>21</v>
      </c>
      <c r="P693" s="19">
        <v>3.73</v>
      </c>
      <c r="Q693" s="19">
        <v>1</v>
      </c>
      <c r="R693" s="20">
        <v>8</v>
      </c>
      <c r="S693" s="19">
        <v>6.6000000000000003E-2</v>
      </c>
      <c r="T693" s="19" t="s">
        <v>64</v>
      </c>
      <c r="U693" s="19" t="s">
        <v>65</v>
      </c>
      <c r="V693" s="19" t="s">
        <v>66</v>
      </c>
      <c r="W693" s="19" t="s">
        <v>67</v>
      </c>
      <c r="X693" s="19" t="s">
        <v>68</v>
      </c>
      <c r="Y693" s="21" t="s">
        <v>623</v>
      </c>
      <c r="Z693" s="21" t="s">
        <v>2371</v>
      </c>
      <c r="AA693" s="21" t="s">
        <v>625</v>
      </c>
      <c r="AB693" s="21">
        <v>2</v>
      </c>
      <c r="AC693" s="21"/>
      <c r="AD693" s="21"/>
      <c r="AE693" s="21"/>
      <c r="AF693" s="21"/>
      <c r="AG693" s="21" t="s">
        <v>2428</v>
      </c>
      <c r="AH693" s="21"/>
      <c r="AI693" s="21"/>
      <c r="AJ693" s="22"/>
      <c r="AK693" s="22"/>
      <c r="AL693" s="21" t="str">
        <f>_xlfn.XLOOKUP(A:A,[1]TAGS!$A:$A,[1]TAGS!$BG:$BG)</f>
        <v>Não Montado</v>
      </c>
      <c r="AM693" s="21" t="s">
        <v>70</v>
      </c>
      <c r="AN693" s="22"/>
      <c r="AO693" s="21" t="str">
        <f>_xlfn.XLOOKUP(A:A,[1]TAGS!$A:$A,[1]TAGS!$BG:$BG)</f>
        <v>Não Montado</v>
      </c>
      <c r="AP693" s="21"/>
      <c r="AQ693" s="21"/>
      <c r="AR693" s="21"/>
      <c r="AS693" s="21"/>
      <c r="AT693" s="21"/>
      <c r="AU693" s="21"/>
    </row>
    <row r="694" spans="1:47" x14ac:dyDescent="0.35">
      <c r="A694" s="19" t="s">
        <v>2431</v>
      </c>
      <c r="B694" s="19" t="s">
        <v>52</v>
      </c>
      <c r="C694" s="19"/>
      <c r="D694" s="19" t="s">
        <v>53</v>
      </c>
      <c r="E694" s="19" t="s">
        <v>460</v>
      </c>
      <c r="F694" s="20" t="s">
        <v>370</v>
      </c>
      <c r="G694" s="20" t="s">
        <v>371</v>
      </c>
      <c r="H694" s="19" t="s">
        <v>2432</v>
      </c>
      <c r="I694" s="20" t="s">
        <v>58</v>
      </c>
      <c r="J694" s="20" t="s">
        <v>373</v>
      </c>
      <c r="K694" s="20" t="s">
        <v>2433</v>
      </c>
      <c r="L694" s="19" t="s">
        <v>61</v>
      </c>
      <c r="M694" s="19" t="s">
        <v>62</v>
      </c>
      <c r="N694" s="19" t="s">
        <v>683</v>
      </c>
      <c r="O694" s="19">
        <v>21</v>
      </c>
      <c r="P694" s="19">
        <v>3.73</v>
      </c>
      <c r="Q694" s="19">
        <v>1</v>
      </c>
      <c r="R694" s="20">
        <v>8</v>
      </c>
      <c r="S694" s="19">
        <v>6.6000000000000003E-2</v>
      </c>
      <c r="T694" s="19" t="s">
        <v>64</v>
      </c>
      <c r="U694" s="19" t="s">
        <v>65</v>
      </c>
      <c r="V694" s="19" t="s">
        <v>66</v>
      </c>
      <c r="W694" s="19" t="s">
        <v>67</v>
      </c>
      <c r="X694" s="19" t="s">
        <v>68</v>
      </c>
      <c r="Y694" s="21" t="s">
        <v>623</v>
      </c>
      <c r="Z694" s="21" t="s">
        <v>2378</v>
      </c>
      <c r="AA694" s="21" t="s">
        <v>692</v>
      </c>
      <c r="AB694" s="21">
        <v>2</v>
      </c>
      <c r="AC694" s="21"/>
      <c r="AD694" s="21"/>
      <c r="AE694" s="21"/>
      <c r="AF694" s="21"/>
      <c r="AG694" s="21" t="s">
        <v>2431</v>
      </c>
      <c r="AH694" s="21"/>
      <c r="AI694" s="21"/>
      <c r="AJ694" s="22"/>
      <c r="AK694" s="22"/>
      <c r="AL694" s="21" t="str">
        <f>_xlfn.XLOOKUP(A:A,[1]TAGS!$A:$A,[1]TAGS!$BG:$BG)</f>
        <v>Não Montado</v>
      </c>
      <c r="AM694" s="21" t="s">
        <v>70</v>
      </c>
      <c r="AN694" s="22"/>
      <c r="AO694" s="21" t="str">
        <f>_xlfn.XLOOKUP(A:A,[1]TAGS!$A:$A,[1]TAGS!$BG:$BG)</f>
        <v>Não Montado</v>
      </c>
      <c r="AP694" s="21"/>
      <c r="AQ694" s="21"/>
      <c r="AR694" s="21"/>
      <c r="AS694" s="21"/>
      <c r="AT694" s="21"/>
      <c r="AU694" s="21"/>
    </row>
    <row r="695" spans="1:47" x14ac:dyDescent="0.35">
      <c r="A695" s="19" t="s">
        <v>2434</v>
      </c>
      <c r="B695" s="19" t="s">
        <v>52</v>
      </c>
      <c r="C695" s="19"/>
      <c r="D695" s="19" t="s">
        <v>53</v>
      </c>
      <c r="E695" s="19" t="s">
        <v>460</v>
      </c>
      <c r="F695" s="20" t="s">
        <v>370</v>
      </c>
      <c r="G695" s="20" t="s">
        <v>371</v>
      </c>
      <c r="H695" s="19" t="s">
        <v>2435</v>
      </c>
      <c r="I695" s="20" t="s">
        <v>58</v>
      </c>
      <c r="J695" s="20" t="s">
        <v>373</v>
      </c>
      <c r="K695" s="20" t="s">
        <v>2436</v>
      </c>
      <c r="L695" s="19" t="s">
        <v>61</v>
      </c>
      <c r="M695" s="19" t="s">
        <v>62</v>
      </c>
      <c r="N695" s="19" t="s">
        <v>683</v>
      </c>
      <c r="O695" s="19">
        <v>21</v>
      </c>
      <c r="P695" s="19">
        <v>3.73</v>
      </c>
      <c r="Q695" s="19">
        <v>1</v>
      </c>
      <c r="R695" s="20">
        <v>8</v>
      </c>
      <c r="S695" s="19">
        <v>6.6000000000000003E-2</v>
      </c>
      <c r="T695" s="19" t="s">
        <v>64</v>
      </c>
      <c r="U695" s="19" t="s">
        <v>65</v>
      </c>
      <c r="V695" s="19" t="s">
        <v>66</v>
      </c>
      <c r="W695" s="19" t="s">
        <v>67</v>
      </c>
      <c r="X695" s="19" t="s">
        <v>68</v>
      </c>
      <c r="Y695" s="21" t="s">
        <v>623</v>
      </c>
      <c r="Z695" s="21" t="s">
        <v>2378</v>
      </c>
      <c r="AA695" s="21" t="s">
        <v>625</v>
      </c>
      <c r="AB695" s="21">
        <v>2</v>
      </c>
      <c r="AC695" s="21"/>
      <c r="AD695" s="21"/>
      <c r="AE695" s="21"/>
      <c r="AF695" s="21"/>
      <c r="AG695" s="21" t="s">
        <v>2434</v>
      </c>
      <c r="AH695" s="21"/>
      <c r="AI695" s="21"/>
      <c r="AJ695" s="22"/>
      <c r="AK695" s="22"/>
      <c r="AL695" s="21" t="str">
        <f>_xlfn.XLOOKUP(A:A,[1]TAGS!$A:$A,[1]TAGS!$BG:$BG)</f>
        <v>Não Montado</v>
      </c>
      <c r="AM695" s="21" t="s">
        <v>70</v>
      </c>
      <c r="AN695" s="22"/>
      <c r="AO695" s="21" t="str">
        <f>_xlfn.XLOOKUP(A:A,[1]TAGS!$A:$A,[1]TAGS!$BG:$BG)</f>
        <v>Não Montado</v>
      </c>
      <c r="AP695" s="21"/>
      <c r="AQ695" s="21"/>
      <c r="AR695" s="21"/>
      <c r="AS695" s="21"/>
      <c r="AT695" s="21"/>
      <c r="AU695" s="21"/>
    </row>
    <row r="696" spans="1:47" x14ac:dyDescent="0.35">
      <c r="A696" s="19" t="s">
        <v>2437</v>
      </c>
      <c r="B696" s="19" t="s">
        <v>52</v>
      </c>
      <c r="C696" s="19"/>
      <c r="D696" s="19" t="s">
        <v>53</v>
      </c>
      <c r="E696" s="19" t="s">
        <v>460</v>
      </c>
      <c r="F696" s="20" t="s">
        <v>370</v>
      </c>
      <c r="G696" s="20" t="s">
        <v>371</v>
      </c>
      <c r="H696" s="19" t="s">
        <v>2438</v>
      </c>
      <c r="I696" s="20" t="s">
        <v>58</v>
      </c>
      <c r="J696" s="20" t="s">
        <v>373</v>
      </c>
      <c r="K696" s="20" t="s">
        <v>2439</v>
      </c>
      <c r="L696" s="19" t="s">
        <v>61</v>
      </c>
      <c r="M696" s="19" t="s">
        <v>62</v>
      </c>
      <c r="N696" s="19" t="s">
        <v>683</v>
      </c>
      <c r="O696" s="19">
        <v>21</v>
      </c>
      <c r="P696" s="19">
        <v>3.73</v>
      </c>
      <c r="Q696" s="19">
        <v>1</v>
      </c>
      <c r="R696" s="20">
        <v>8</v>
      </c>
      <c r="S696" s="19">
        <v>6.6000000000000003E-2</v>
      </c>
      <c r="T696" s="19" t="s">
        <v>64</v>
      </c>
      <c r="U696" s="19" t="s">
        <v>65</v>
      </c>
      <c r="V696" s="19" t="s">
        <v>66</v>
      </c>
      <c r="W696" s="19" t="s">
        <v>67</v>
      </c>
      <c r="X696" s="19" t="s">
        <v>68</v>
      </c>
      <c r="Y696" s="21" t="s">
        <v>623</v>
      </c>
      <c r="Z696" s="21" t="s">
        <v>2385</v>
      </c>
      <c r="AA696" s="21" t="s">
        <v>692</v>
      </c>
      <c r="AB696" s="21">
        <v>2</v>
      </c>
      <c r="AC696" s="21"/>
      <c r="AD696" s="21"/>
      <c r="AE696" s="21"/>
      <c r="AF696" s="21"/>
      <c r="AG696" s="21" t="s">
        <v>2437</v>
      </c>
      <c r="AH696" s="21"/>
      <c r="AI696" s="21"/>
      <c r="AJ696" s="22"/>
      <c r="AK696" s="22"/>
      <c r="AL696" s="21" t="str">
        <f>_xlfn.XLOOKUP(A:A,[1]TAGS!$A:$A,[1]TAGS!$BG:$BG)</f>
        <v>Não Montado</v>
      </c>
      <c r="AM696" s="21" t="s">
        <v>70</v>
      </c>
      <c r="AN696" s="22"/>
      <c r="AO696" s="21" t="str">
        <f>_xlfn.XLOOKUP(A:A,[1]TAGS!$A:$A,[1]TAGS!$BG:$BG)</f>
        <v>Não Montado</v>
      </c>
      <c r="AP696" s="21"/>
      <c r="AQ696" s="21"/>
      <c r="AR696" s="21"/>
      <c r="AS696" s="21"/>
      <c r="AT696" s="21"/>
      <c r="AU696" s="21"/>
    </row>
    <row r="697" spans="1:47" x14ac:dyDescent="0.35">
      <c r="A697" s="19" t="s">
        <v>2440</v>
      </c>
      <c r="B697" s="19" t="s">
        <v>52</v>
      </c>
      <c r="C697" s="19"/>
      <c r="D697" s="19" t="s">
        <v>53</v>
      </c>
      <c r="E697" s="19" t="s">
        <v>460</v>
      </c>
      <c r="F697" s="20" t="s">
        <v>370</v>
      </c>
      <c r="G697" s="20" t="s">
        <v>371</v>
      </c>
      <c r="H697" s="19" t="s">
        <v>2441</v>
      </c>
      <c r="I697" s="20" t="s">
        <v>58</v>
      </c>
      <c r="J697" s="20" t="s">
        <v>373</v>
      </c>
      <c r="K697" s="20" t="s">
        <v>2442</v>
      </c>
      <c r="L697" s="19" t="s">
        <v>61</v>
      </c>
      <c r="M697" s="19" t="s">
        <v>62</v>
      </c>
      <c r="N697" s="19" t="s">
        <v>683</v>
      </c>
      <c r="O697" s="19">
        <v>21</v>
      </c>
      <c r="P697" s="19">
        <v>3.73</v>
      </c>
      <c r="Q697" s="19">
        <v>1</v>
      </c>
      <c r="R697" s="20">
        <v>8</v>
      </c>
      <c r="S697" s="19">
        <v>6.6000000000000003E-2</v>
      </c>
      <c r="T697" s="19" t="s">
        <v>64</v>
      </c>
      <c r="U697" s="19" t="s">
        <v>65</v>
      </c>
      <c r="V697" s="19" t="s">
        <v>66</v>
      </c>
      <c r="W697" s="19" t="s">
        <v>67</v>
      </c>
      <c r="X697" s="19" t="s">
        <v>68</v>
      </c>
      <c r="Y697" s="21" t="s">
        <v>623</v>
      </c>
      <c r="Z697" s="21" t="s">
        <v>2385</v>
      </c>
      <c r="AA697" s="21" t="s">
        <v>625</v>
      </c>
      <c r="AB697" s="21">
        <v>2</v>
      </c>
      <c r="AC697" s="21"/>
      <c r="AD697" s="21"/>
      <c r="AE697" s="21"/>
      <c r="AF697" s="21"/>
      <c r="AG697" s="21" t="s">
        <v>2440</v>
      </c>
      <c r="AH697" s="21"/>
      <c r="AI697" s="21"/>
      <c r="AJ697" s="22"/>
      <c r="AK697" s="22"/>
      <c r="AL697" s="21" t="str">
        <f>_xlfn.XLOOKUP(A:A,[1]TAGS!$A:$A,[1]TAGS!$BG:$BG)</f>
        <v>Não Montado</v>
      </c>
      <c r="AM697" s="21" t="s">
        <v>70</v>
      </c>
      <c r="AN697" s="22"/>
      <c r="AO697" s="21" t="str">
        <f>_xlfn.XLOOKUP(A:A,[1]TAGS!$A:$A,[1]TAGS!$BG:$BG)</f>
        <v>Não Montado</v>
      </c>
      <c r="AP697" s="21"/>
      <c r="AQ697" s="21"/>
      <c r="AR697" s="21"/>
      <c r="AS697" s="21"/>
      <c r="AT697" s="21"/>
      <c r="AU697" s="21"/>
    </row>
    <row r="698" spans="1:47" x14ac:dyDescent="0.35">
      <c r="A698" s="19" t="s">
        <v>2443</v>
      </c>
      <c r="B698" s="19" t="s">
        <v>52</v>
      </c>
      <c r="C698" s="19"/>
      <c r="D698" s="19" t="s">
        <v>53</v>
      </c>
      <c r="E698" s="19" t="s">
        <v>460</v>
      </c>
      <c r="F698" s="20" t="s">
        <v>370</v>
      </c>
      <c r="G698" s="20" t="s">
        <v>371</v>
      </c>
      <c r="H698" s="19" t="s">
        <v>2444</v>
      </c>
      <c r="I698" s="20" t="s">
        <v>58</v>
      </c>
      <c r="J698" s="20" t="s">
        <v>373</v>
      </c>
      <c r="K698" s="20" t="s">
        <v>2445</v>
      </c>
      <c r="L698" s="19" t="s">
        <v>61</v>
      </c>
      <c r="M698" s="19" t="s">
        <v>62</v>
      </c>
      <c r="N698" s="19" t="s">
        <v>683</v>
      </c>
      <c r="O698" s="19">
        <v>21</v>
      </c>
      <c r="P698" s="19">
        <v>3.73</v>
      </c>
      <c r="Q698" s="19">
        <v>1</v>
      </c>
      <c r="R698" s="20">
        <v>8</v>
      </c>
      <c r="S698" s="19">
        <v>6.6000000000000003E-2</v>
      </c>
      <c r="T698" s="19" t="s">
        <v>64</v>
      </c>
      <c r="U698" s="19" t="s">
        <v>65</v>
      </c>
      <c r="V698" s="19" t="s">
        <v>66</v>
      </c>
      <c r="W698" s="19" t="s">
        <v>67</v>
      </c>
      <c r="X698" s="19" t="s">
        <v>68</v>
      </c>
      <c r="Y698" s="21" t="s">
        <v>623</v>
      </c>
      <c r="Z698" s="21" t="s">
        <v>688</v>
      </c>
      <c r="AA698" s="21" t="s">
        <v>692</v>
      </c>
      <c r="AB698" s="21">
        <v>2</v>
      </c>
      <c r="AC698" s="21"/>
      <c r="AD698" s="21"/>
      <c r="AE698" s="21"/>
      <c r="AF698" s="21"/>
      <c r="AG698" s="21" t="s">
        <v>2443</v>
      </c>
      <c r="AH698" s="21"/>
      <c r="AI698" s="21"/>
      <c r="AJ698" s="22"/>
      <c r="AK698" s="22"/>
      <c r="AL698" s="21" t="str">
        <f>_xlfn.XLOOKUP(A:A,[1]TAGS!$A:$A,[1]TAGS!$BG:$BG)</f>
        <v>Não Montado</v>
      </c>
      <c r="AM698" s="21" t="s">
        <v>70</v>
      </c>
      <c r="AN698" s="22"/>
      <c r="AO698" s="21" t="str">
        <f>_xlfn.XLOOKUP(A:A,[1]TAGS!$A:$A,[1]TAGS!$BG:$BG)</f>
        <v>Não Montado</v>
      </c>
      <c r="AP698" s="21"/>
      <c r="AQ698" s="21"/>
      <c r="AR698" s="21"/>
      <c r="AS698" s="21"/>
      <c r="AT698" s="21"/>
      <c r="AU698" s="21"/>
    </row>
    <row r="699" spans="1:47" x14ac:dyDescent="0.35">
      <c r="A699" s="19" t="s">
        <v>2446</v>
      </c>
      <c r="B699" s="19" t="s">
        <v>52</v>
      </c>
      <c r="C699" s="19"/>
      <c r="D699" s="19" t="s">
        <v>53</v>
      </c>
      <c r="E699" s="19" t="s">
        <v>460</v>
      </c>
      <c r="F699" s="20" t="s">
        <v>706</v>
      </c>
      <c r="G699" s="20" t="s">
        <v>707</v>
      </c>
      <c r="H699" s="19" t="s">
        <v>2447</v>
      </c>
      <c r="I699" s="20" t="s">
        <v>124</v>
      </c>
      <c r="J699" s="20" t="s">
        <v>709</v>
      </c>
      <c r="K699" s="20" t="s">
        <v>2448</v>
      </c>
      <c r="L699" s="19" t="s">
        <v>61</v>
      </c>
      <c r="M699" s="19" t="s">
        <v>62</v>
      </c>
      <c r="N699" s="19" t="s">
        <v>683</v>
      </c>
      <c r="O699" s="19">
        <v>21</v>
      </c>
      <c r="P699" s="19">
        <v>3.73</v>
      </c>
      <c r="Q699" s="19">
        <v>1</v>
      </c>
      <c r="R699" s="20">
        <v>8</v>
      </c>
      <c r="S699" s="19">
        <v>6.6000000000000003E-2</v>
      </c>
      <c r="T699" s="19" t="s">
        <v>64</v>
      </c>
      <c r="U699" s="19" t="s">
        <v>65</v>
      </c>
      <c r="V699" s="19" t="s">
        <v>66</v>
      </c>
      <c r="W699" s="19" t="s">
        <v>67</v>
      </c>
      <c r="X699" s="19" t="s">
        <v>68</v>
      </c>
      <c r="Y699" s="21" t="s">
        <v>623</v>
      </c>
      <c r="Z699" s="21" t="s">
        <v>688</v>
      </c>
      <c r="AA699" s="21" t="s">
        <v>625</v>
      </c>
      <c r="AB699" s="21">
        <v>2</v>
      </c>
      <c r="AC699" s="21"/>
      <c r="AD699" s="21"/>
      <c r="AE699" s="21"/>
      <c r="AF699" s="21"/>
      <c r="AG699" s="21" t="s">
        <v>2446</v>
      </c>
      <c r="AH699" s="21"/>
      <c r="AI699" s="21"/>
      <c r="AJ699" s="22"/>
      <c r="AK699" s="22"/>
      <c r="AL699" s="21" t="str">
        <f>_xlfn.XLOOKUP(A:A,[1]TAGS!$A:$A,[1]TAGS!$BG:$BG)</f>
        <v>Não Montado</v>
      </c>
      <c r="AM699" s="21" t="s">
        <v>70</v>
      </c>
      <c r="AN699" s="22"/>
      <c r="AO699" s="21" t="str">
        <f>_xlfn.XLOOKUP(A:A,[1]TAGS!$A:$A,[1]TAGS!$BG:$BG)</f>
        <v>Não Montado</v>
      </c>
      <c r="AP699" s="21"/>
      <c r="AQ699" s="21"/>
      <c r="AR699" s="21"/>
      <c r="AS699" s="21"/>
      <c r="AT699" s="21"/>
      <c r="AU699" s="21"/>
    </row>
    <row r="700" spans="1:47" x14ac:dyDescent="0.35">
      <c r="A700" s="19" t="s">
        <v>2449</v>
      </c>
      <c r="B700" s="19" t="s">
        <v>52</v>
      </c>
      <c r="C700" s="19"/>
      <c r="D700" s="19" t="s">
        <v>53</v>
      </c>
      <c r="E700" s="19" t="s">
        <v>460</v>
      </c>
      <c r="F700" s="20" t="s">
        <v>397</v>
      </c>
      <c r="G700" s="20" t="s">
        <v>398</v>
      </c>
      <c r="H700" s="19" t="s">
        <v>2450</v>
      </c>
      <c r="I700" s="20" t="s">
        <v>58</v>
      </c>
      <c r="J700" s="20" t="s">
        <v>400</v>
      </c>
      <c r="K700" s="20" t="s">
        <v>2451</v>
      </c>
      <c r="L700" s="19" t="s">
        <v>61</v>
      </c>
      <c r="M700" s="19" t="s">
        <v>62</v>
      </c>
      <c r="N700" s="20" t="s">
        <v>63</v>
      </c>
      <c r="O700" s="19">
        <v>21</v>
      </c>
      <c r="P700" s="19">
        <v>3.73</v>
      </c>
      <c r="Q700" s="19">
        <v>1</v>
      </c>
      <c r="R700" s="20">
        <v>8</v>
      </c>
      <c r="S700" s="19">
        <v>6.6000000000000003E-2</v>
      </c>
      <c r="T700" s="19" t="s">
        <v>64</v>
      </c>
      <c r="U700" s="19" t="s">
        <v>65</v>
      </c>
      <c r="V700" s="19" t="s">
        <v>66</v>
      </c>
      <c r="W700" s="19" t="s">
        <v>67</v>
      </c>
      <c r="X700" s="19" t="s">
        <v>68</v>
      </c>
      <c r="Y700" s="21" t="s">
        <v>623</v>
      </c>
      <c r="Z700" s="21" t="s">
        <v>2343</v>
      </c>
      <c r="AA700" s="21" t="s">
        <v>692</v>
      </c>
      <c r="AB700" s="21">
        <v>3</v>
      </c>
      <c r="AC700" s="21"/>
      <c r="AD700" s="21"/>
      <c r="AE700" s="21"/>
      <c r="AF700" s="21"/>
      <c r="AG700" s="21" t="s">
        <v>2449</v>
      </c>
      <c r="AH700" s="21"/>
      <c r="AI700" s="21"/>
      <c r="AJ700" s="22"/>
      <c r="AK700" s="22"/>
      <c r="AL700" s="21" t="str">
        <f>_xlfn.XLOOKUP(A:A,[1]TAGS!$A:$A,[1]TAGS!$BG:$BG)</f>
        <v>Não Montado</v>
      </c>
      <c r="AM700" s="21" t="s">
        <v>70</v>
      </c>
      <c r="AN700" s="22"/>
      <c r="AO700" s="21" t="str">
        <f>_xlfn.XLOOKUP(A:A,[1]TAGS!$A:$A,[1]TAGS!$BG:$BG)</f>
        <v>Não Montado</v>
      </c>
      <c r="AP700" s="21"/>
      <c r="AQ700" s="21"/>
      <c r="AR700" s="21"/>
      <c r="AS700" s="21"/>
      <c r="AT700" s="21"/>
      <c r="AU700" s="21"/>
    </row>
    <row r="701" spans="1:47" x14ac:dyDescent="0.35">
      <c r="A701" s="19" t="s">
        <v>2452</v>
      </c>
      <c r="B701" s="19" t="s">
        <v>52</v>
      </c>
      <c r="C701" s="19"/>
      <c r="D701" s="19" t="s">
        <v>53</v>
      </c>
      <c r="E701" s="19" t="s">
        <v>460</v>
      </c>
      <c r="F701" s="20" t="s">
        <v>397</v>
      </c>
      <c r="G701" s="20" t="s">
        <v>398</v>
      </c>
      <c r="H701" s="19" t="s">
        <v>2453</v>
      </c>
      <c r="I701" s="20" t="s">
        <v>58</v>
      </c>
      <c r="J701" s="20" t="s">
        <v>400</v>
      </c>
      <c r="K701" s="20" t="s">
        <v>2454</v>
      </c>
      <c r="L701" s="19" t="s">
        <v>61</v>
      </c>
      <c r="M701" s="19" t="s">
        <v>62</v>
      </c>
      <c r="N701" s="20" t="s">
        <v>63</v>
      </c>
      <c r="O701" s="19">
        <v>21</v>
      </c>
      <c r="P701" s="19">
        <v>3.73</v>
      </c>
      <c r="Q701" s="19">
        <v>1</v>
      </c>
      <c r="R701" s="20">
        <v>8</v>
      </c>
      <c r="S701" s="19">
        <v>6.6000000000000003E-2</v>
      </c>
      <c r="T701" s="19" t="s">
        <v>64</v>
      </c>
      <c r="U701" s="19" t="s">
        <v>65</v>
      </c>
      <c r="V701" s="19" t="s">
        <v>66</v>
      </c>
      <c r="W701" s="19" t="s">
        <v>67</v>
      </c>
      <c r="X701" s="19" t="s">
        <v>68</v>
      </c>
      <c r="Y701" s="21" t="s">
        <v>623</v>
      </c>
      <c r="Z701" s="21" t="s">
        <v>2343</v>
      </c>
      <c r="AA701" s="21" t="s">
        <v>625</v>
      </c>
      <c r="AB701" s="21">
        <v>3</v>
      </c>
      <c r="AC701" s="21"/>
      <c r="AD701" s="21"/>
      <c r="AE701" s="21"/>
      <c r="AF701" s="21"/>
      <c r="AG701" s="21" t="s">
        <v>2452</v>
      </c>
      <c r="AH701" s="21"/>
      <c r="AI701" s="21"/>
      <c r="AJ701" s="22"/>
      <c r="AK701" s="22"/>
      <c r="AL701" s="21" t="str">
        <f>_xlfn.XLOOKUP(A:A,[1]TAGS!$A:$A,[1]TAGS!$BG:$BG)</f>
        <v>Não Montado</v>
      </c>
      <c r="AM701" s="21" t="s">
        <v>70</v>
      </c>
      <c r="AN701" s="22"/>
      <c r="AO701" s="21" t="str">
        <f>_xlfn.XLOOKUP(A:A,[1]TAGS!$A:$A,[1]TAGS!$BG:$BG)</f>
        <v>Não Montado</v>
      </c>
      <c r="AP701" s="21"/>
      <c r="AQ701" s="21"/>
      <c r="AR701" s="21"/>
      <c r="AS701" s="21"/>
      <c r="AT701" s="21"/>
      <c r="AU701" s="21"/>
    </row>
    <row r="702" spans="1:47" x14ac:dyDescent="0.35">
      <c r="A702" s="19" t="s">
        <v>2455</v>
      </c>
      <c r="B702" s="19" t="s">
        <v>52</v>
      </c>
      <c r="C702" s="19"/>
      <c r="D702" s="19" t="s">
        <v>53</v>
      </c>
      <c r="E702" s="19" t="s">
        <v>460</v>
      </c>
      <c r="F702" s="20" t="s">
        <v>397</v>
      </c>
      <c r="G702" s="20" t="s">
        <v>398</v>
      </c>
      <c r="H702" s="19" t="s">
        <v>2456</v>
      </c>
      <c r="I702" s="20" t="s">
        <v>58</v>
      </c>
      <c r="J702" s="20" t="s">
        <v>400</v>
      </c>
      <c r="K702" s="20" t="s">
        <v>2457</v>
      </c>
      <c r="L702" s="19" t="s">
        <v>61</v>
      </c>
      <c r="M702" s="19" t="s">
        <v>62</v>
      </c>
      <c r="N702" s="19" t="s">
        <v>683</v>
      </c>
      <c r="O702" s="19">
        <v>21</v>
      </c>
      <c r="P702" s="19">
        <v>3.73</v>
      </c>
      <c r="Q702" s="19">
        <v>1</v>
      </c>
      <c r="R702" s="20">
        <v>8</v>
      </c>
      <c r="S702" s="19">
        <v>6.6000000000000003E-2</v>
      </c>
      <c r="T702" s="19" t="s">
        <v>64</v>
      </c>
      <c r="U702" s="19" t="s">
        <v>65</v>
      </c>
      <c r="V702" s="19" t="s">
        <v>66</v>
      </c>
      <c r="W702" s="19" t="s">
        <v>67</v>
      </c>
      <c r="X702" s="19" t="s">
        <v>68</v>
      </c>
      <c r="Y702" s="21" t="s">
        <v>623</v>
      </c>
      <c r="Z702" s="21" t="s">
        <v>2350</v>
      </c>
      <c r="AA702" s="21" t="s">
        <v>692</v>
      </c>
      <c r="AB702" s="21">
        <v>3</v>
      </c>
      <c r="AC702" s="21"/>
      <c r="AD702" s="21"/>
      <c r="AE702" s="21"/>
      <c r="AF702" s="21"/>
      <c r="AG702" s="21" t="s">
        <v>2455</v>
      </c>
      <c r="AH702" s="21"/>
      <c r="AI702" s="21"/>
      <c r="AJ702" s="22"/>
      <c r="AK702" s="22"/>
      <c r="AL702" s="21" t="str">
        <f>_xlfn.XLOOKUP(A:A,[1]TAGS!$A:$A,[1]TAGS!$BG:$BG)</f>
        <v>Não Montado</v>
      </c>
      <c r="AM702" s="21" t="s">
        <v>70</v>
      </c>
      <c r="AN702" s="22"/>
      <c r="AO702" s="21" t="str">
        <f>_xlfn.XLOOKUP(A:A,[1]TAGS!$A:$A,[1]TAGS!$BG:$BG)</f>
        <v>Não Montado</v>
      </c>
      <c r="AP702" s="21"/>
      <c r="AQ702" s="21"/>
      <c r="AR702" s="21"/>
      <c r="AS702" s="21"/>
      <c r="AT702" s="21"/>
      <c r="AU702" s="21"/>
    </row>
    <row r="703" spans="1:47" x14ac:dyDescent="0.35">
      <c r="A703" s="19" t="s">
        <v>2458</v>
      </c>
      <c r="B703" s="19" t="s">
        <v>52</v>
      </c>
      <c r="C703" s="19"/>
      <c r="D703" s="19" t="s">
        <v>53</v>
      </c>
      <c r="E703" s="19" t="s">
        <v>460</v>
      </c>
      <c r="F703" s="20" t="s">
        <v>397</v>
      </c>
      <c r="G703" s="20" t="s">
        <v>398</v>
      </c>
      <c r="H703" s="19" t="s">
        <v>2459</v>
      </c>
      <c r="I703" s="20" t="s">
        <v>58</v>
      </c>
      <c r="J703" s="20" t="s">
        <v>400</v>
      </c>
      <c r="K703" s="20" t="s">
        <v>2460</v>
      </c>
      <c r="L703" s="19" t="s">
        <v>61</v>
      </c>
      <c r="M703" s="19" t="s">
        <v>62</v>
      </c>
      <c r="N703" s="19" t="s">
        <v>683</v>
      </c>
      <c r="O703" s="19">
        <v>21</v>
      </c>
      <c r="P703" s="19">
        <v>3.73</v>
      </c>
      <c r="Q703" s="19">
        <v>1</v>
      </c>
      <c r="R703" s="20">
        <v>8</v>
      </c>
      <c r="S703" s="19">
        <v>6.6000000000000003E-2</v>
      </c>
      <c r="T703" s="19" t="s">
        <v>64</v>
      </c>
      <c r="U703" s="19" t="s">
        <v>65</v>
      </c>
      <c r="V703" s="19" t="s">
        <v>66</v>
      </c>
      <c r="W703" s="19" t="s">
        <v>67</v>
      </c>
      <c r="X703" s="19" t="s">
        <v>68</v>
      </c>
      <c r="Y703" s="21" t="s">
        <v>623</v>
      </c>
      <c r="Z703" s="21" t="s">
        <v>2350</v>
      </c>
      <c r="AA703" s="21" t="s">
        <v>625</v>
      </c>
      <c r="AB703" s="21">
        <v>3</v>
      </c>
      <c r="AC703" s="21"/>
      <c r="AD703" s="21"/>
      <c r="AE703" s="21"/>
      <c r="AF703" s="21"/>
      <c r="AG703" s="21" t="s">
        <v>2458</v>
      </c>
      <c r="AH703" s="21"/>
      <c r="AI703" s="21"/>
      <c r="AJ703" s="22"/>
      <c r="AK703" s="22"/>
      <c r="AL703" s="21" t="str">
        <f>_xlfn.XLOOKUP(A:A,[1]TAGS!$A:$A,[1]TAGS!$BG:$BG)</f>
        <v>Não Montado</v>
      </c>
      <c r="AM703" s="21" t="s">
        <v>70</v>
      </c>
      <c r="AN703" s="22"/>
      <c r="AO703" s="21" t="str">
        <f>_xlfn.XLOOKUP(A:A,[1]TAGS!$A:$A,[1]TAGS!$BG:$BG)</f>
        <v>Não Montado</v>
      </c>
      <c r="AP703" s="21"/>
      <c r="AQ703" s="21"/>
      <c r="AR703" s="21"/>
      <c r="AS703" s="21"/>
      <c r="AT703" s="21"/>
      <c r="AU703" s="21"/>
    </row>
    <row r="704" spans="1:47" x14ac:dyDescent="0.35">
      <c r="A704" s="19" t="s">
        <v>2461</v>
      </c>
      <c r="B704" s="19" t="s">
        <v>52</v>
      </c>
      <c r="C704" s="19"/>
      <c r="D704" s="19" t="s">
        <v>53</v>
      </c>
      <c r="E704" s="19" t="s">
        <v>460</v>
      </c>
      <c r="F704" s="20" t="s">
        <v>397</v>
      </c>
      <c r="G704" s="20" t="s">
        <v>398</v>
      </c>
      <c r="H704" s="19" t="s">
        <v>2462</v>
      </c>
      <c r="I704" s="20" t="s">
        <v>58</v>
      </c>
      <c r="J704" s="20" t="s">
        <v>400</v>
      </c>
      <c r="K704" s="20" t="s">
        <v>2463</v>
      </c>
      <c r="L704" s="19" t="s">
        <v>61</v>
      </c>
      <c r="M704" s="19" t="s">
        <v>62</v>
      </c>
      <c r="N704" s="19" t="s">
        <v>683</v>
      </c>
      <c r="O704" s="19">
        <v>21</v>
      </c>
      <c r="P704" s="19">
        <v>3.73</v>
      </c>
      <c r="Q704" s="19">
        <v>1</v>
      </c>
      <c r="R704" s="20">
        <v>8</v>
      </c>
      <c r="S704" s="19">
        <v>6.6000000000000003E-2</v>
      </c>
      <c r="T704" s="19" t="s">
        <v>64</v>
      </c>
      <c r="U704" s="19" t="s">
        <v>65</v>
      </c>
      <c r="V704" s="19" t="s">
        <v>66</v>
      </c>
      <c r="W704" s="19" t="s">
        <v>67</v>
      </c>
      <c r="X704" s="19" t="s">
        <v>68</v>
      </c>
      <c r="Y704" s="21" t="s">
        <v>623</v>
      </c>
      <c r="Z704" s="21" t="s">
        <v>2357</v>
      </c>
      <c r="AA704" s="21" t="s">
        <v>692</v>
      </c>
      <c r="AB704" s="21">
        <v>3</v>
      </c>
      <c r="AC704" s="21"/>
      <c r="AD704" s="21"/>
      <c r="AE704" s="21"/>
      <c r="AF704" s="21"/>
      <c r="AG704" s="21" t="s">
        <v>2461</v>
      </c>
      <c r="AH704" s="21"/>
      <c r="AI704" s="21"/>
      <c r="AJ704" s="22"/>
      <c r="AK704" s="22"/>
      <c r="AL704" s="21" t="str">
        <f>_xlfn.XLOOKUP(A:A,[1]TAGS!$A:$A,[1]TAGS!$BG:$BG)</f>
        <v>Não Montado</v>
      </c>
      <c r="AM704" s="21" t="s">
        <v>70</v>
      </c>
      <c r="AN704" s="22"/>
      <c r="AO704" s="21" t="str">
        <f>_xlfn.XLOOKUP(A:A,[1]TAGS!$A:$A,[1]TAGS!$BG:$BG)</f>
        <v>Não Montado</v>
      </c>
      <c r="AP704" s="21"/>
      <c r="AQ704" s="21"/>
      <c r="AR704" s="21"/>
      <c r="AS704" s="21"/>
      <c r="AT704" s="21"/>
      <c r="AU704" s="21"/>
    </row>
    <row r="705" spans="1:47" x14ac:dyDescent="0.35">
      <c r="A705" s="19" t="s">
        <v>2464</v>
      </c>
      <c r="B705" s="19" t="s">
        <v>52</v>
      </c>
      <c r="C705" s="19"/>
      <c r="D705" s="19" t="s">
        <v>53</v>
      </c>
      <c r="E705" s="19" t="s">
        <v>460</v>
      </c>
      <c r="F705" s="20" t="s">
        <v>397</v>
      </c>
      <c r="G705" s="20" t="s">
        <v>398</v>
      </c>
      <c r="H705" s="19" t="s">
        <v>2465</v>
      </c>
      <c r="I705" s="20" t="s">
        <v>58</v>
      </c>
      <c r="J705" s="20" t="s">
        <v>400</v>
      </c>
      <c r="K705" s="20" t="s">
        <v>2466</v>
      </c>
      <c r="L705" s="19" t="s">
        <v>61</v>
      </c>
      <c r="M705" s="19" t="s">
        <v>62</v>
      </c>
      <c r="N705" s="19" t="s">
        <v>683</v>
      </c>
      <c r="O705" s="19">
        <v>21</v>
      </c>
      <c r="P705" s="19">
        <v>3.73</v>
      </c>
      <c r="Q705" s="19">
        <v>1</v>
      </c>
      <c r="R705" s="20">
        <v>8</v>
      </c>
      <c r="S705" s="19">
        <v>6.6000000000000003E-2</v>
      </c>
      <c r="T705" s="19" t="s">
        <v>64</v>
      </c>
      <c r="U705" s="19" t="s">
        <v>65</v>
      </c>
      <c r="V705" s="19" t="s">
        <v>66</v>
      </c>
      <c r="W705" s="19" t="s">
        <v>67</v>
      </c>
      <c r="X705" s="19" t="s">
        <v>68</v>
      </c>
      <c r="Y705" s="21" t="s">
        <v>623</v>
      </c>
      <c r="Z705" s="21" t="s">
        <v>2357</v>
      </c>
      <c r="AA705" s="21" t="s">
        <v>625</v>
      </c>
      <c r="AB705" s="21">
        <v>3</v>
      </c>
      <c r="AC705" s="21"/>
      <c r="AD705" s="21"/>
      <c r="AE705" s="21"/>
      <c r="AF705" s="21"/>
      <c r="AG705" s="21" t="s">
        <v>2464</v>
      </c>
      <c r="AH705" s="21"/>
      <c r="AI705" s="21"/>
      <c r="AJ705" s="22"/>
      <c r="AK705" s="22"/>
      <c r="AL705" s="21" t="str">
        <f>_xlfn.XLOOKUP(A:A,[1]TAGS!$A:$A,[1]TAGS!$BG:$BG)</f>
        <v>Não Montado</v>
      </c>
      <c r="AM705" s="21" t="s">
        <v>70</v>
      </c>
      <c r="AN705" s="22"/>
      <c r="AO705" s="21" t="str">
        <f>_xlfn.XLOOKUP(A:A,[1]TAGS!$A:$A,[1]TAGS!$BG:$BG)</f>
        <v>Não Montado</v>
      </c>
      <c r="AP705" s="21"/>
      <c r="AQ705" s="21"/>
      <c r="AR705" s="21"/>
      <c r="AS705" s="21"/>
      <c r="AT705" s="21"/>
      <c r="AU705" s="21"/>
    </row>
    <row r="706" spans="1:47" x14ac:dyDescent="0.35">
      <c r="A706" s="19" t="s">
        <v>2467</v>
      </c>
      <c r="B706" s="19" t="s">
        <v>52</v>
      </c>
      <c r="C706" s="19"/>
      <c r="D706" s="19" t="s">
        <v>53</v>
      </c>
      <c r="E706" s="19" t="s">
        <v>460</v>
      </c>
      <c r="F706" s="20" t="s">
        <v>397</v>
      </c>
      <c r="G706" s="20" t="s">
        <v>398</v>
      </c>
      <c r="H706" s="19" t="s">
        <v>2468</v>
      </c>
      <c r="I706" s="20" t="s">
        <v>58</v>
      </c>
      <c r="J706" s="20" t="s">
        <v>400</v>
      </c>
      <c r="K706" s="20" t="s">
        <v>2469</v>
      </c>
      <c r="L706" s="19" t="s">
        <v>61</v>
      </c>
      <c r="M706" s="19" t="s">
        <v>62</v>
      </c>
      <c r="N706" s="19" t="s">
        <v>683</v>
      </c>
      <c r="O706" s="19">
        <v>21</v>
      </c>
      <c r="P706" s="19">
        <v>3.73</v>
      </c>
      <c r="Q706" s="19">
        <v>1</v>
      </c>
      <c r="R706" s="20">
        <v>8</v>
      </c>
      <c r="S706" s="19">
        <v>6.6000000000000003E-2</v>
      </c>
      <c r="T706" s="19" t="s">
        <v>64</v>
      </c>
      <c r="U706" s="19" t="s">
        <v>65</v>
      </c>
      <c r="V706" s="19" t="s">
        <v>66</v>
      </c>
      <c r="W706" s="19" t="s">
        <v>67</v>
      </c>
      <c r="X706" s="19" t="s">
        <v>68</v>
      </c>
      <c r="Y706" s="21" t="s">
        <v>623</v>
      </c>
      <c r="Z706" s="21" t="s">
        <v>2364</v>
      </c>
      <c r="AA706" s="21" t="s">
        <v>692</v>
      </c>
      <c r="AB706" s="21">
        <v>3</v>
      </c>
      <c r="AC706" s="21"/>
      <c r="AD706" s="21"/>
      <c r="AE706" s="21"/>
      <c r="AF706" s="21"/>
      <c r="AG706" s="21" t="s">
        <v>2467</v>
      </c>
      <c r="AH706" s="21"/>
      <c r="AI706" s="21"/>
      <c r="AJ706" s="22"/>
      <c r="AK706" s="22"/>
      <c r="AL706" s="21" t="str">
        <f>_xlfn.XLOOKUP(A:A,[1]TAGS!$A:$A,[1]TAGS!$BG:$BG)</f>
        <v>Não Montado</v>
      </c>
      <c r="AM706" s="21" t="s">
        <v>70</v>
      </c>
      <c r="AN706" s="22"/>
      <c r="AO706" s="21" t="str">
        <f>_xlfn.XLOOKUP(A:A,[1]TAGS!$A:$A,[1]TAGS!$BG:$BG)</f>
        <v>Não Montado</v>
      </c>
      <c r="AP706" s="21"/>
      <c r="AQ706" s="21"/>
      <c r="AR706" s="21"/>
      <c r="AS706" s="21"/>
      <c r="AT706" s="21"/>
      <c r="AU706" s="21"/>
    </row>
    <row r="707" spans="1:47" x14ac:dyDescent="0.35">
      <c r="A707" s="19" t="s">
        <v>2470</v>
      </c>
      <c r="B707" s="19" t="s">
        <v>52</v>
      </c>
      <c r="C707" s="19"/>
      <c r="D707" s="19" t="s">
        <v>53</v>
      </c>
      <c r="E707" s="19" t="s">
        <v>460</v>
      </c>
      <c r="F707" s="20" t="s">
        <v>397</v>
      </c>
      <c r="G707" s="20" t="s">
        <v>398</v>
      </c>
      <c r="H707" s="19" t="s">
        <v>2471</v>
      </c>
      <c r="I707" s="20" t="s">
        <v>58</v>
      </c>
      <c r="J707" s="20" t="s">
        <v>400</v>
      </c>
      <c r="K707" s="20" t="s">
        <v>2472</v>
      </c>
      <c r="L707" s="19" t="s">
        <v>61</v>
      </c>
      <c r="M707" s="19" t="s">
        <v>62</v>
      </c>
      <c r="N707" s="19" t="s">
        <v>683</v>
      </c>
      <c r="O707" s="19">
        <v>21</v>
      </c>
      <c r="P707" s="19">
        <v>3.73</v>
      </c>
      <c r="Q707" s="19">
        <v>1</v>
      </c>
      <c r="R707" s="20">
        <v>8</v>
      </c>
      <c r="S707" s="19">
        <v>6.6000000000000003E-2</v>
      </c>
      <c r="T707" s="19" t="s">
        <v>64</v>
      </c>
      <c r="U707" s="19" t="s">
        <v>65</v>
      </c>
      <c r="V707" s="19" t="s">
        <v>66</v>
      </c>
      <c r="W707" s="19" t="s">
        <v>67</v>
      </c>
      <c r="X707" s="19" t="s">
        <v>68</v>
      </c>
      <c r="Y707" s="21" t="s">
        <v>623</v>
      </c>
      <c r="Z707" s="21" t="s">
        <v>2364</v>
      </c>
      <c r="AA707" s="21" t="s">
        <v>625</v>
      </c>
      <c r="AB707" s="21">
        <v>3</v>
      </c>
      <c r="AC707" s="21"/>
      <c r="AD707" s="21"/>
      <c r="AE707" s="21"/>
      <c r="AF707" s="21"/>
      <c r="AG707" s="21" t="s">
        <v>2470</v>
      </c>
      <c r="AH707" s="21"/>
      <c r="AI707" s="21"/>
      <c r="AJ707" s="22"/>
      <c r="AK707" s="22"/>
      <c r="AL707" s="21" t="str">
        <f>_xlfn.XLOOKUP(A:A,[1]TAGS!$A:$A,[1]TAGS!$BG:$BG)</f>
        <v>Não Montado</v>
      </c>
      <c r="AM707" s="21" t="s">
        <v>70</v>
      </c>
      <c r="AN707" s="22"/>
      <c r="AO707" s="21" t="str">
        <f>_xlfn.XLOOKUP(A:A,[1]TAGS!$A:$A,[1]TAGS!$BG:$BG)</f>
        <v>Não Montado</v>
      </c>
      <c r="AP707" s="21"/>
      <c r="AQ707" s="21"/>
      <c r="AR707" s="21"/>
      <c r="AS707" s="21"/>
      <c r="AT707" s="21"/>
      <c r="AU707" s="21"/>
    </row>
    <row r="708" spans="1:47" x14ac:dyDescent="0.35">
      <c r="A708" s="19" t="s">
        <v>2473</v>
      </c>
      <c r="B708" s="19" t="s">
        <v>52</v>
      </c>
      <c r="C708" s="19"/>
      <c r="D708" s="19" t="s">
        <v>53</v>
      </c>
      <c r="E708" s="19" t="s">
        <v>460</v>
      </c>
      <c r="F708" s="20" t="s">
        <v>397</v>
      </c>
      <c r="G708" s="20" t="s">
        <v>398</v>
      </c>
      <c r="H708" s="19" t="s">
        <v>2474</v>
      </c>
      <c r="I708" s="20" t="s">
        <v>58</v>
      </c>
      <c r="J708" s="20" t="s">
        <v>400</v>
      </c>
      <c r="K708" s="20" t="s">
        <v>2475</v>
      </c>
      <c r="L708" s="19" t="s">
        <v>61</v>
      </c>
      <c r="M708" s="19" t="s">
        <v>62</v>
      </c>
      <c r="N708" s="19" t="s">
        <v>683</v>
      </c>
      <c r="O708" s="19">
        <v>21</v>
      </c>
      <c r="P708" s="19">
        <v>3.73</v>
      </c>
      <c r="Q708" s="19">
        <v>1</v>
      </c>
      <c r="R708" s="20">
        <v>8</v>
      </c>
      <c r="S708" s="19">
        <v>6.6000000000000003E-2</v>
      </c>
      <c r="T708" s="19" t="s">
        <v>64</v>
      </c>
      <c r="U708" s="19" t="s">
        <v>65</v>
      </c>
      <c r="V708" s="19" t="s">
        <v>66</v>
      </c>
      <c r="W708" s="19" t="s">
        <v>67</v>
      </c>
      <c r="X708" s="19" t="s">
        <v>68</v>
      </c>
      <c r="Y708" s="21" t="s">
        <v>623</v>
      </c>
      <c r="Z708" s="21" t="s">
        <v>2371</v>
      </c>
      <c r="AA708" s="21" t="s">
        <v>692</v>
      </c>
      <c r="AB708" s="21">
        <v>3</v>
      </c>
      <c r="AC708" s="21"/>
      <c r="AD708" s="21"/>
      <c r="AE708" s="21"/>
      <c r="AF708" s="21"/>
      <c r="AG708" s="21" t="s">
        <v>2473</v>
      </c>
      <c r="AH708" s="21"/>
      <c r="AI708" s="21"/>
      <c r="AJ708" s="22"/>
      <c r="AK708" s="22"/>
      <c r="AL708" s="21" t="str">
        <f>_xlfn.XLOOKUP(A:A,[1]TAGS!$A:$A,[1]TAGS!$BG:$BG)</f>
        <v>Não Montado</v>
      </c>
      <c r="AM708" s="21" t="s">
        <v>70</v>
      </c>
      <c r="AN708" s="22"/>
      <c r="AO708" s="21" t="str">
        <f>_xlfn.XLOOKUP(A:A,[1]TAGS!$A:$A,[1]TAGS!$BG:$BG)</f>
        <v>Não Montado</v>
      </c>
      <c r="AP708" s="21"/>
      <c r="AQ708" s="21"/>
      <c r="AR708" s="21"/>
      <c r="AS708" s="21"/>
      <c r="AT708" s="21"/>
      <c r="AU708" s="21"/>
    </row>
    <row r="709" spans="1:47" x14ac:dyDescent="0.35">
      <c r="A709" s="19" t="s">
        <v>2476</v>
      </c>
      <c r="B709" s="19" t="s">
        <v>52</v>
      </c>
      <c r="C709" s="19"/>
      <c r="D709" s="19" t="s">
        <v>53</v>
      </c>
      <c r="E709" s="19" t="s">
        <v>460</v>
      </c>
      <c r="F709" s="20" t="s">
        <v>397</v>
      </c>
      <c r="G709" s="20" t="s">
        <v>398</v>
      </c>
      <c r="H709" s="19" t="s">
        <v>2477</v>
      </c>
      <c r="I709" s="20" t="s">
        <v>58</v>
      </c>
      <c r="J709" s="20" t="s">
        <v>400</v>
      </c>
      <c r="K709" s="20" t="s">
        <v>2478</v>
      </c>
      <c r="L709" s="19" t="s">
        <v>61</v>
      </c>
      <c r="M709" s="19" t="s">
        <v>62</v>
      </c>
      <c r="N709" s="19" t="s">
        <v>683</v>
      </c>
      <c r="O709" s="19">
        <v>21</v>
      </c>
      <c r="P709" s="19">
        <v>3.73</v>
      </c>
      <c r="Q709" s="19">
        <v>1</v>
      </c>
      <c r="R709" s="20">
        <v>8</v>
      </c>
      <c r="S709" s="19">
        <v>6.6000000000000003E-2</v>
      </c>
      <c r="T709" s="19" t="s">
        <v>64</v>
      </c>
      <c r="U709" s="19" t="s">
        <v>65</v>
      </c>
      <c r="V709" s="19" t="s">
        <v>66</v>
      </c>
      <c r="W709" s="19" t="s">
        <v>67</v>
      </c>
      <c r="X709" s="19" t="s">
        <v>68</v>
      </c>
      <c r="Y709" s="21" t="s">
        <v>623</v>
      </c>
      <c r="Z709" s="21" t="s">
        <v>2371</v>
      </c>
      <c r="AA709" s="21" t="s">
        <v>625</v>
      </c>
      <c r="AB709" s="21">
        <v>3</v>
      </c>
      <c r="AC709" s="21"/>
      <c r="AD709" s="21"/>
      <c r="AE709" s="21"/>
      <c r="AF709" s="21"/>
      <c r="AG709" s="21" t="s">
        <v>2476</v>
      </c>
      <c r="AH709" s="21"/>
      <c r="AI709" s="21"/>
      <c r="AJ709" s="22"/>
      <c r="AK709" s="22"/>
      <c r="AL709" s="21" t="str">
        <f>_xlfn.XLOOKUP(A:A,[1]TAGS!$A:$A,[1]TAGS!$BG:$BG)</f>
        <v>Não Montado</v>
      </c>
      <c r="AM709" s="21" t="s">
        <v>70</v>
      </c>
      <c r="AN709" s="22"/>
      <c r="AO709" s="21" t="str">
        <f>_xlfn.XLOOKUP(A:A,[1]TAGS!$A:$A,[1]TAGS!$BG:$BG)</f>
        <v>Não Montado</v>
      </c>
      <c r="AP709" s="21"/>
      <c r="AQ709" s="21"/>
      <c r="AR709" s="21"/>
      <c r="AS709" s="21"/>
      <c r="AT709" s="21"/>
      <c r="AU709" s="21"/>
    </row>
    <row r="710" spans="1:47" x14ac:dyDescent="0.35">
      <c r="A710" s="19" t="s">
        <v>2479</v>
      </c>
      <c r="B710" s="19" t="s">
        <v>52</v>
      </c>
      <c r="C710" s="19"/>
      <c r="D710" s="19" t="s">
        <v>53</v>
      </c>
      <c r="E710" s="19" t="s">
        <v>460</v>
      </c>
      <c r="F710" s="20" t="s">
        <v>397</v>
      </c>
      <c r="G710" s="20" t="s">
        <v>398</v>
      </c>
      <c r="H710" s="19" t="s">
        <v>2480</v>
      </c>
      <c r="I710" s="20" t="s">
        <v>58</v>
      </c>
      <c r="J710" s="20" t="s">
        <v>400</v>
      </c>
      <c r="K710" s="20" t="s">
        <v>2481</v>
      </c>
      <c r="L710" s="19" t="s">
        <v>61</v>
      </c>
      <c r="M710" s="19" t="s">
        <v>62</v>
      </c>
      <c r="N710" s="19" t="s">
        <v>683</v>
      </c>
      <c r="O710" s="19">
        <v>21</v>
      </c>
      <c r="P710" s="19">
        <v>3.73</v>
      </c>
      <c r="Q710" s="19">
        <v>1</v>
      </c>
      <c r="R710" s="20">
        <v>8</v>
      </c>
      <c r="S710" s="19">
        <v>6.6000000000000003E-2</v>
      </c>
      <c r="T710" s="19" t="s">
        <v>64</v>
      </c>
      <c r="U710" s="19" t="s">
        <v>65</v>
      </c>
      <c r="V710" s="19" t="s">
        <v>66</v>
      </c>
      <c r="W710" s="19" t="s">
        <v>67</v>
      </c>
      <c r="X710" s="19" t="s">
        <v>68</v>
      </c>
      <c r="Y710" s="21" t="s">
        <v>623</v>
      </c>
      <c r="Z710" s="21" t="s">
        <v>2378</v>
      </c>
      <c r="AA710" s="21" t="s">
        <v>692</v>
      </c>
      <c r="AB710" s="21">
        <v>3</v>
      </c>
      <c r="AC710" s="21"/>
      <c r="AD710" s="21"/>
      <c r="AE710" s="21"/>
      <c r="AF710" s="21"/>
      <c r="AG710" s="21" t="s">
        <v>2479</v>
      </c>
      <c r="AH710" s="21"/>
      <c r="AI710" s="21"/>
      <c r="AJ710" s="22"/>
      <c r="AK710" s="22"/>
      <c r="AL710" s="21" t="str">
        <f>_xlfn.XLOOKUP(A:A,[1]TAGS!$A:$A,[1]TAGS!$BG:$BG)</f>
        <v>Não Montado</v>
      </c>
      <c r="AM710" s="21" t="s">
        <v>70</v>
      </c>
      <c r="AN710" s="22"/>
      <c r="AO710" s="21" t="str">
        <f>_xlfn.XLOOKUP(A:A,[1]TAGS!$A:$A,[1]TAGS!$BG:$BG)</f>
        <v>Não Montado</v>
      </c>
      <c r="AP710" s="21"/>
      <c r="AQ710" s="21"/>
      <c r="AR710" s="21"/>
      <c r="AS710" s="21"/>
      <c r="AT710" s="21"/>
      <c r="AU710" s="21"/>
    </row>
    <row r="711" spans="1:47" x14ac:dyDescent="0.35">
      <c r="A711" s="19" t="s">
        <v>2482</v>
      </c>
      <c r="B711" s="19" t="s">
        <v>52</v>
      </c>
      <c r="C711" s="19"/>
      <c r="D711" s="19" t="s">
        <v>53</v>
      </c>
      <c r="E711" s="19" t="s">
        <v>460</v>
      </c>
      <c r="F711" s="20" t="s">
        <v>397</v>
      </c>
      <c r="G711" s="20" t="s">
        <v>398</v>
      </c>
      <c r="H711" s="19" t="s">
        <v>2483</v>
      </c>
      <c r="I711" s="20" t="s">
        <v>58</v>
      </c>
      <c r="J711" s="20" t="s">
        <v>400</v>
      </c>
      <c r="K711" s="20" t="s">
        <v>2484</v>
      </c>
      <c r="L711" s="19" t="s">
        <v>61</v>
      </c>
      <c r="M711" s="19" t="s">
        <v>62</v>
      </c>
      <c r="N711" s="19" t="s">
        <v>683</v>
      </c>
      <c r="O711" s="19">
        <v>21</v>
      </c>
      <c r="P711" s="19">
        <v>3.73</v>
      </c>
      <c r="Q711" s="19">
        <v>1</v>
      </c>
      <c r="R711" s="20">
        <v>8</v>
      </c>
      <c r="S711" s="19">
        <v>6.6000000000000003E-2</v>
      </c>
      <c r="T711" s="19" t="s">
        <v>64</v>
      </c>
      <c r="U711" s="19" t="s">
        <v>65</v>
      </c>
      <c r="V711" s="19" t="s">
        <v>66</v>
      </c>
      <c r="W711" s="19" t="s">
        <v>67</v>
      </c>
      <c r="X711" s="19" t="s">
        <v>68</v>
      </c>
      <c r="Y711" s="21" t="s">
        <v>623</v>
      </c>
      <c r="Z711" s="21" t="s">
        <v>2378</v>
      </c>
      <c r="AA711" s="21" t="s">
        <v>625</v>
      </c>
      <c r="AB711" s="21">
        <v>3</v>
      </c>
      <c r="AC711" s="21"/>
      <c r="AD711" s="21"/>
      <c r="AE711" s="21"/>
      <c r="AF711" s="21"/>
      <c r="AG711" s="21" t="s">
        <v>2482</v>
      </c>
      <c r="AH711" s="21"/>
      <c r="AI711" s="21"/>
      <c r="AJ711" s="22"/>
      <c r="AK711" s="22"/>
      <c r="AL711" s="21" t="str">
        <f>_xlfn.XLOOKUP(A:A,[1]TAGS!$A:$A,[1]TAGS!$BG:$BG)</f>
        <v>Não Montado</v>
      </c>
      <c r="AM711" s="21" t="s">
        <v>70</v>
      </c>
      <c r="AN711" s="22"/>
      <c r="AO711" s="21" t="str">
        <f>_xlfn.XLOOKUP(A:A,[1]TAGS!$A:$A,[1]TAGS!$BG:$BG)</f>
        <v>Não Montado</v>
      </c>
      <c r="AP711" s="21"/>
      <c r="AQ711" s="21"/>
      <c r="AR711" s="21"/>
      <c r="AS711" s="21"/>
      <c r="AT711" s="21"/>
      <c r="AU711" s="21"/>
    </row>
    <row r="712" spans="1:47" x14ac:dyDescent="0.35">
      <c r="A712" s="19" t="s">
        <v>2485</v>
      </c>
      <c r="B712" s="19" t="s">
        <v>52</v>
      </c>
      <c r="C712" s="19"/>
      <c r="D712" s="19" t="s">
        <v>53</v>
      </c>
      <c r="E712" s="19" t="s">
        <v>460</v>
      </c>
      <c r="F712" s="20" t="s">
        <v>397</v>
      </c>
      <c r="G712" s="20" t="s">
        <v>398</v>
      </c>
      <c r="H712" s="19" t="s">
        <v>2486</v>
      </c>
      <c r="I712" s="20" t="s">
        <v>58</v>
      </c>
      <c r="J712" s="20" t="s">
        <v>400</v>
      </c>
      <c r="K712" s="20" t="s">
        <v>2487</v>
      </c>
      <c r="L712" s="19" t="s">
        <v>61</v>
      </c>
      <c r="M712" s="19" t="s">
        <v>62</v>
      </c>
      <c r="N712" s="19" t="s">
        <v>683</v>
      </c>
      <c r="O712" s="19">
        <v>21</v>
      </c>
      <c r="P712" s="19">
        <v>3.73</v>
      </c>
      <c r="Q712" s="19">
        <v>1</v>
      </c>
      <c r="R712" s="20">
        <v>8</v>
      </c>
      <c r="S712" s="19">
        <v>6.6000000000000003E-2</v>
      </c>
      <c r="T712" s="19" t="s">
        <v>64</v>
      </c>
      <c r="U712" s="19" t="s">
        <v>65</v>
      </c>
      <c r="V712" s="19" t="s">
        <v>66</v>
      </c>
      <c r="W712" s="19" t="s">
        <v>67</v>
      </c>
      <c r="X712" s="19" t="s">
        <v>68</v>
      </c>
      <c r="Y712" s="21" t="s">
        <v>623</v>
      </c>
      <c r="Z712" s="21" t="s">
        <v>2385</v>
      </c>
      <c r="AA712" s="21" t="s">
        <v>692</v>
      </c>
      <c r="AB712" s="21">
        <v>3</v>
      </c>
      <c r="AC712" s="21"/>
      <c r="AD712" s="21"/>
      <c r="AE712" s="21"/>
      <c r="AF712" s="21"/>
      <c r="AG712" s="21" t="s">
        <v>2485</v>
      </c>
      <c r="AH712" s="21"/>
      <c r="AI712" s="21"/>
      <c r="AJ712" s="22"/>
      <c r="AK712" s="22"/>
      <c r="AL712" s="21" t="str">
        <f>_xlfn.XLOOKUP(A:A,[1]TAGS!$A:$A,[1]TAGS!$BG:$BG)</f>
        <v>Não Montado</v>
      </c>
      <c r="AM712" s="21" t="s">
        <v>70</v>
      </c>
      <c r="AN712" s="22"/>
      <c r="AO712" s="21" t="str">
        <f>_xlfn.XLOOKUP(A:A,[1]TAGS!$A:$A,[1]TAGS!$BG:$BG)</f>
        <v>Não Montado</v>
      </c>
      <c r="AP712" s="21"/>
      <c r="AQ712" s="21"/>
      <c r="AR712" s="21"/>
      <c r="AS712" s="21"/>
      <c r="AT712" s="21"/>
      <c r="AU712" s="21"/>
    </row>
    <row r="713" spans="1:47" x14ac:dyDescent="0.35">
      <c r="A713" s="19" t="s">
        <v>2488</v>
      </c>
      <c r="B713" s="19" t="s">
        <v>52</v>
      </c>
      <c r="C713" s="19"/>
      <c r="D713" s="19" t="s">
        <v>53</v>
      </c>
      <c r="E713" s="19" t="s">
        <v>460</v>
      </c>
      <c r="F713" s="20" t="s">
        <v>397</v>
      </c>
      <c r="G713" s="20" t="s">
        <v>398</v>
      </c>
      <c r="H713" s="19" t="s">
        <v>2489</v>
      </c>
      <c r="I713" s="20" t="s">
        <v>58</v>
      </c>
      <c r="J713" s="20" t="s">
        <v>400</v>
      </c>
      <c r="K713" s="20" t="s">
        <v>2490</v>
      </c>
      <c r="L713" s="19" t="s">
        <v>61</v>
      </c>
      <c r="M713" s="19" t="s">
        <v>62</v>
      </c>
      <c r="N713" s="19" t="s">
        <v>683</v>
      </c>
      <c r="O713" s="19">
        <v>21</v>
      </c>
      <c r="P713" s="19">
        <v>3.73</v>
      </c>
      <c r="Q713" s="19">
        <v>1</v>
      </c>
      <c r="R713" s="20">
        <v>8</v>
      </c>
      <c r="S713" s="19">
        <v>6.6000000000000003E-2</v>
      </c>
      <c r="T713" s="19" t="s">
        <v>64</v>
      </c>
      <c r="U713" s="19" t="s">
        <v>65</v>
      </c>
      <c r="V713" s="19" t="s">
        <v>66</v>
      </c>
      <c r="W713" s="19" t="s">
        <v>67</v>
      </c>
      <c r="X713" s="19" t="s">
        <v>68</v>
      </c>
      <c r="Y713" s="21" t="s">
        <v>623</v>
      </c>
      <c r="Z713" s="21" t="s">
        <v>2385</v>
      </c>
      <c r="AA713" s="21" t="s">
        <v>625</v>
      </c>
      <c r="AB713" s="21">
        <v>3</v>
      </c>
      <c r="AC713" s="21"/>
      <c r="AD713" s="21"/>
      <c r="AE713" s="21"/>
      <c r="AF713" s="21"/>
      <c r="AG713" s="21" t="s">
        <v>2488</v>
      </c>
      <c r="AH713" s="21"/>
      <c r="AI713" s="21"/>
      <c r="AJ713" s="22"/>
      <c r="AK713" s="22"/>
      <c r="AL713" s="21" t="str">
        <f>_xlfn.XLOOKUP(A:A,[1]TAGS!$A:$A,[1]TAGS!$BG:$BG)</f>
        <v>Não Montado</v>
      </c>
      <c r="AM713" s="21" t="s">
        <v>70</v>
      </c>
      <c r="AN713" s="22"/>
      <c r="AO713" s="21" t="str">
        <f>_xlfn.XLOOKUP(A:A,[1]TAGS!$A:$A,[1]TAGS!$BG:$BG)</f>
        <v>Não Montado</v>
      </c>
      <c r="AP713" s="21"/>
      <c r="AQ713" s="21"/>
      <c r="AR713" s="21"/>
      <c r="AS713" s="21"/>
      <c r="AT713" s="21"/>
      <c r="AU713" s="21"/>
    </row>
    <row r="714" spans="1:47" x14ac:dyDescent="0.35">
      <c r="A714" s="19" t="s">
        <v>2491</v>
      </c>
      <c r="B714" s="19" t="s">
        <v>52</v>
      </c>
      <c r="C714" s="19"/>
      <c r="D714" s="19" t="s">
        <v>53</v>
      </c>
      <c r="E714" s="19" t="s">
        <v>460</v>
      </c>
      <c r="F714" s="20" t="s">
        <v>397</v>
      </c>
      <c r="G714" s="20" t="s">
        <v>398</v>
      </c>
      <c r="H714" s="19" t="s">
        <v>2492</v>
      </c>
      <c r="I714" s="20" t="s">
        <v>58</v>
      </c>
      <c r="J714" s="20" t="s">
        <v>400</v>
      </c>
      <c r="K714" s="20" t="s">
        <v>2493</v>
      </c>
      <c r="L714" s="19" t="s">
        <v>61</v>
      </c>
      <c r="M714" s="19" t="s">
        <v>62</v>
      </c>
      <c r="N714" s="19" t="s">
        <v>683</v>
      </c>
      <c r="O714" s="19">
        <v>21</v>
      </c>
      <c r="P714" s="19">
        <v>3.73</v>
      </c>
      <c r="Q714" s="19">
        <v>1</v>
      </c>
      <c r="R714" s="20">
        <v>8</v>
      </c>
      <c r="S714" s="19">
        <v>6.6000000000000003E-2</v>
      </c>
      <c r="T714" s="19" t="s">
        <v>64</v>
      </c>
      <c r="U714" s="19" t="s">
        <v>65</v>
      </c>
      <c r="V714" s="19" t="s">
        <v>66</v>
      </c>
      <c r="W714" s="19" t="s">
        <v>67</v>
      </c>
      <c r="X714" s="19" t="s">
        <v>68</v>
      </c>
      <c r="Y714" s="21" t="s">
        <v>623</v>
      </c>
      <c r="Z714" s="21" t="s">
        <v>688</v>
      </c>
      <c r="AA714" s="21" t="s">
        <v>692</v>
      </c>
      <c r="AB714" s="21">
        <v>3</v>
      </c>
      <c r="AC714" s="21"/>
      <c r="AD714" s="21"/>
      <c r="AE714" s="21"/>
      <c r="AF714" s="21"/>
      <c r="AG714" s="21" t="s">
        <v>2491</v>
      </c>
      <c r="AH714" s="21"/>
      <c r="AI714" s="21"/>
      <c r="AJ714" s="22"/>
      <c r="AK714" s="22"/>
      <c r="AL714" s="21" t="str">
        <f>_xlfn.XLOOKUP(A:A,[1]TAGS!$A:$A,[1]TAGS!$BG:$BG)</f>
        <v>Não Montado</v>
      </c>
      <c r="AM714" s="21" t="s">
        <v>70</v>
      </c>
      <c r="AN714" s="22"/>
      <c r="AO714" s="21" t="str">
        <f>_xlfn.XLOOKUP(A:A,[1]TAGS!$A:$A,[1]TAGS!$BG:$BG)</f>
        <v>Não Montado</v>
      </c>
      <c r="AP714" s="21"/>
      <c r="AQ714" s="21"/>
      <c r="AR714" s="21"/>
      <c r="AS714" s="21"/>
      <c r="AT714" s="21"/>
      <c r="AU714" s="21"/>
    </row>
    <row r="715" spans="1:47" x14ac:dyDescent="0.35">
      <c r="A715" s="19" t="s">
        <v>2494</v>
      </c>
      <c r="B715" s="19" t="s">
        <v>52</v>
      </c>
      <c r="C715" s="19"/>
      <c r="D715" s="19" t="s">
        <v>53</v>
      </c>
      <c r="E715" s="19" t="s">
        <v>460</v>
      </c>
      <c r="F715" s="20" t="s">
        <v>397</v>
      </c>
      <c r="G715" s="20" t="s">
        <v>398</v>
      </c>
      <c r="H715" s="19" t="s">
        <v>2495</v>
      </c>
      <c r="I715" s="20" t="s">
        <v>58</v>
      </c>
      <c r="J715" s="20" t="s">
        <v>400</v>
      </c>
      <c r="K715" s="20" t="s">
        <v>2496</v>
      </c>
      <c r="L715" s="19" t="s">
        <v>61</v>
      </c>
      <c r="M715" s="19" t="s">
        <v>62</v>
      </c>
      <c r="N715" s="19" t="s">
        <v>683</v>
      </c>
      <c r="O715" s="19">
        <v>21</v>
      </c>
      <c r="P715" s="19">
        <v>3.73</v>
      </c>
      <c r="Q715" s="19">
        <v>1</v>
      </c>
      <c r="R715" s="20">
        <v>8</v>
      </c>
      <c r="S715" s="19">
        <v>6.6000000000000003E-2</v>
      </c>
      <c r="T715" s="19" t="s">
        <v>64</v>
      </c>
      <c r="U715" s="19" t="s">
        <v>65</v>
      </c>
      <c r="V715" s="19" t="s">
        <v>66</v>
      </c>
      <c r="W715" s="19" t="s">
        <v>67</v>
      </c>
      <c r="X715" s="19" t="s">
        <v>68</v>
      </c>
      <c r="Y715" s="21" t="s">
        <v>623</v>
      </c>
      <c r="Z715" s="21" t="s">
        <v>2343</v>
      </c>
      <c r="AA715" s="21" t="s">
        <v>692</v>
      </c>
      <c r="AB715" s="21">
        <v>4</v>
      </c>
      <c r="AC715" s="21"/>
      <c r="AD715" s="21"/>
      <c r="AE715" s="21"/>
      <c r="AF715" s="21"/>
      <c r="AG715" s="21" t="s">
        <v>2494</v>
      </c>
      <c r="AH715" s="21"/>
      <c r="AI715" s="21"/>
      <c r="AJ715" s="22"/>
      <c r="AK715" s="22"/>
      <c r="AL715" s="21" t="str">
        <f>_xlfn.XLOOKUP(A:A,[1]TAGS!$A:$A,[1]TAGS!$BG:$BG)</f>
        <v>Não Montado</v>
      </c>
      <c r="AM715" s="21" t="s">
        <v>70</v>
      </c>
      <c r="AN715" s="22"/>
      <c r="AO715" s="21" t="str">
        <f>_xlfn.XLOOKUP(A:A,[1]TAGS!$A:$A,[1]TAGS!$BG:$BG)</f>
        <v>Não Montado</v>
      </c>
      <c r="AP715" s="21"/>
      <c r="AQ715" s="21"/>
      <c r="AR715" s="21"/>
      <c r="AS715" s="21"/>
      <c r="AT715" s="21"/>
      <c r="AU715" s="21"/>
    </row>
    <row r="716" spans="1:47" x14ac:dyDescent="0.35">
      <c r="A716" s="19" t="s">
        <v>2497</v>
      </c>
      <c r="B716" s="19" t="s">
        <v>52</v>
      </c>
      <c r="C716" s="19"/>
      <c r="D716" s="19" t="s">
        <v>53</v>
      </c>
      <c r="E716" s="19" t="s">
        <v>460</v>
      </c>
      <c r="F716" s="20" t="s">
        <v>397</v>
      </c>
      <c r="G716" s="20" t="s">
        <v>398</v>
      </c>
      <c r="H716" s="19" t="s">
        <v>2498</v>
      </c>
      <c r="I716" s="20" t="s">
        <v>58</v>
      </c>
      <c r="J716" s="20" t="s">
        <v>400</v>
      </c>
      <c r="K716" s="20" t="s">
        <v>2499</v>
      </c>
      <c r="L716" s="19" t="s">
        <v>61</v>
      </c>
      <c r="M716" s="19" t="s">
        <v>62</v>
      </c>
      <c r="N716" s="19" t="s">
        <v>683</v>
      </c>
      <c r="O716" s="19">
        <v>21</v>
      </c>
      <c r="P716" s="19">
        <v>3.73</v>
      </c>
      <c r="Q716" s="19">
        <v>1</v>
      </c>
      <c r="R716" s="20">
        <v>8</v>
      </c>
      <c r="S716" s="19">
        <v>6.6000000000000003E-2</v>
      </c>
      <c r="T716" s="19" t="s">
        <v>64</v>
      </c>
      <c r="U716" s="19" t="s">
        <v>65</v>
      </c>
      <c r="V716" s="19" t="s">
        <v>66</v>
      </c>
      <c r="W716" s="19" t="s">
        <v>67</v>
      </c>
      <c r="X716" s="19" t="s">
        <v>68</v>
      </c>
      <c r="Y716" s="21" t="s">
        <v>623</v>
      </c>
      <c r="Z716" s="21" t="s">
        <v>2343</v>
      </c>
      <c r="AA716" s="21" t="s">
        <v>625</v>
      </c>
      <c r="AB716" s="21">
        <v>4</v>
      </c>
      <c r="AC716" s="21"/>
      <c r="AD716" s="21"/>
      <c r="AE716" s="21"/>
      <c r="AF716" s="21"/>
      <c r="AG716" s="21" t="s">
        <v>2497</v>
      </c>
      <c r="AH716" s="21"/>
      <c r="AI716" s="21"/>
      <c r="AJ716" s="22"/>
      <c r="AK716" s="22"/>
      <c r="AL716" s="21" t="str">
        <f>_xlfn.XLOOKUP(A:A,[1]TAGS!$A:$A,[1]TAGS!$BG:$BG)</f>
        <v>Não Montado</v>
      </c>
      <c r="AM716" s="21" t="s">
        <v>70</v>
      </c>
      <c r="AN716" s="22"/>
      <c r="AO716" s="21" t="str">
        <f>_xlfn.XLOOKUP(A:A,[1]TAGS!$A:$A,[1]TAGS!$BG:$BG)</f>
        <v>Não Montado</v>
      </c>
      <c r="AP716" s="21"/>
      <c r="AQ716" s="21"/>
      <c r="AR716" s="21"/>
      <c r="AS716" s="21"/>
      <c r="AT716" s="21"/>
      <c r="AU716" s="21"/>
    </row>
    <row r="717" spans="1:47" x14ac:dyDescent="0.35">
      <c r="A717" s="19" t="s">
        <v>2500</v>
      </c>
      <c r="B717" s="19" t="s">
        <v>52</v>
      </c>
      <c r="C717" s="19"/>
      <c r="D717" s="19" t="s">
        <v>53</v>
      </c>
      <c r="E717" s="19" t="s">
        <v>460</v>
      </c>
      <c r="F717" s="20" t="s">
        <v>397</v>
      </c>
      <c r="G717" s="20" t="s">
        <v>398</v>
      </c>
      <c r="H717" s="19" t="s">
        <v>2501</v>
      </c>
      <c r="I717" s="20" t="s">
        <v>58</v>
      </c>
      <c r="J717" s="20" t="s">
        <v>400</v>
      </c>
      <c r="K717" s="20" t="s">
        <v>2502</v>
      </c>
      <c r="L717" s="19" t="s">
        <v>61</v>
      </c>
      <c r="M717" s="19" t="s">
        <v>62</v>
      </c>
      <c r="N717" s="19" t="s">
        <v>683</v>
      </c>
      <c r="O717" s="19">
        <v>21</v>
      </c>
      <c r="P717" s="19">
        <v>3.73</v>
      </c>
      <c r="Q717" s="19">
        <v>1</v>
      </c>
      <c r="R717" s="20">
        <v>8</v>
      </c>
      <c r="S717" s="19">
        <v>6.6000000000000003E-2</v>
      </c>
      <c r="T717" s="19" t="s">
        <v>64</v>
      </c>
      <c r="U717" s="19" t="s">
        <v>65</v>
      </c>
      <c r="V717" s="19" t="s">
        <v>66</v>
      </c>
      <c r="W717" s="19" t="s">
        <v>67</v>
      </c>
      <c r="X717" s="19" t="s">
        <v>68</v>
      </c>
      <c r="Y717" s="21" t="s">
        <v>623</v>
      </c>
      <c r="Z717" s="21" t="s">
        <v>2350</v>
      </c>
      <c r="AA717" s="21" t="s">
        <v>692</v>
      </c>
      <c r="AB717" s="21">
        <v>4</v>
      </c>
      <c r="AC717" s="21"/>
      <c r="AD717" s="21"/>
      <c r="AE717" s="21"/>
      <c r="AF717" s="21"/>
      <c r="AG717" s="21" t="s">
        <v>2500</v>
      </c>
      <c r="AH717" s="21"/>
      <c r="AI717" s="21"/>
      <c r="AJ717" s="22"/>
      <c r="AK717" s="22"/>
      <c r="AL717" s="21" t="str">
        <f>_xlfn.XLOOKUP(A:A,[1]TAGS!$A:$A,[1]TAGS!$BG:$BG)</f>
        <v>Não Montado</v>
      </c>
      <c r="AM717" s="21" t="s">
        <v>70</v>
      </c>
      <c r="AN717" s="22"/>
      <c r="AO717" s="21" t="str">
        <f>_xlfn.XLOOKUP(A:A,[1]TAGS!$A:$A,[1]TAGS!$BG:$BG)</f>
        <v>Não Montado</v>
      </c>
      <c r="AP717" s="21"/>
      <c r="AQ717" s="21"/>
      <c r="AR717" s="21"/>
      <c r="AS717" s="21"/>
      <c r="AT717" s="21"/>
      <c r="AU717" s="21"/>
    </row>
    <row r="718" spans="1:47" x14ac:dyDescent="0.35">
      <c r="A718" s="19" t="s">
        <v>2503</v>
      </c>
      <c r="B718" s="19" t="s">
        <v>52</v>
      </c>
      <c r="C718" s="19"/>
      <c r="D718" s="19" t="s">
        <v>53</v>
      </c>
      <c r="E718" s="19" t="s">
        <v>460</v>
      </c>
      <c r="F718" s="20" t="s">
        <v>397</v>
      </c>
      <c r="G718" s="20" t="s">
        <v>398</v>
      </c>
      <c r="H718" s="19" t="s">
        <v>2504</v>
      </c>
      <c r="I718" s="20" t="s">
        <v>58</v>
      </c>
      <c r="J718" s="20" t="s">
        <v>400</v>
      </c>
      <c r="K718" s="20" t="s">
        <v>2505</v>
      </c>
      <c r="L718" s="19" t="s">
        <v>61</v>
      </c>
      <c r="M718" s="19" t="s">
        <v>62</v>
      </c>
      <c r="N718" s="19" t="s">
        <v>683</v>
      </c>
      <c r="O718" s="19">
        <v>21</v>
      </c>
      <c r="P718" s="19">
        <v>3.73</v>
      </c>
      <c r="Q718" s="19">
        <v>1</v>
      </c>
      <c r="R718" s="20">
        <v>8</v>
      </c>
      <c r="S718" s="19">
        <v>6.6000000000000003E-2</v>
      </c>
      <c r="T718" s="19" t="s">
        <v>64</v>
      </c>
      <c r="U718" s="19" t="s">
        <v>65</v>
      </c>
      <c r="V718" s="19" t="s">
        <v>66</v>
      </c>
      <c r="W718" s="19" t="s">
        <v>67</v>
      </c>
      <c r="X718" s="19" t="s">
        <v>68</v>
      </c>
      <c r="Y718" s="21" t="s">
        <v>623</v>
      </c>
      <c r="Z718" s="21" t="s">
        <v>2350</v>
      </c>
      <c r="AA718" s="21" t="s">
        <v>625</v>
      </c>
      <c r="AB718" s="21">
        <v>4</v>
      </c>
      <c r="AC718" s="21"/>
      <c r="AD718" s="21"/>
      <c r="AE718" s="21"/>
      <c r="AF718" s="21"/>
      <c r="AG718" s="21" t="s">
        <v>2503</v>
      </c>
      <c r="AH718" s="21"/>
      <c r="AI718" s="21"/>
      <c r="AJ718" s="22"/>
      <c r="AK718" s="22"/>
      <c r="AL718" s="21" t="str">
        <f>_xlfn.XLOOKUP(A:A,[1]TAGS!$A:$A,[1]TAGS!$BG:$BG)</f>
        <v>Não Montado</v>
      </c>
      <c r="AM718" s="21" t="s">
        <v>70</v>
      </c>
      <c r="AN718" s="22"/>
      <c r="AO718" s="21" t="str">
        <f>_xlfn.XLOOKUP(A:A,[1]TAGS!$A:$A,[1]TAGS!$BG:$BG)</f>
        <v>Não Montado</v>
      </c>
      <c r="AP718" s="21"/>
      <c r="AQ718" s="21"/>
      <c r="AR718" s="21"/>
      <c r="AS718" s="21"/>
      <c r="AT718" s="21"/>
      <c r="AU718" s="21"/>
    </row>
    <row r="719" spans="1:47" x14ac:dyDescent="0.35">
      <c r="A719" s="19" t="s">
        <v>2506</v>
      </c>
      <c r="B719" s="19" t="s">
        <v>52</v>
      </c>
      <c r="C719" s="19"/>
      <c r="D719" s="19" t="s">
        <v>53</v>
      </c>
      <c r="E719" s="19" t="s">
        <v>460</v>
      </c>
      <c r="F719" s="20" t="s">
        <v>397</v>
      </c>
      <c r="G719" s="20" t="s">
        <v>398</v>
      </c>
      <c r="H719" s="19" t="s">
        <v>2507</v>
      </c>
      <c r="I719" s="20" t="s">
        <v>58</v>
      </c>
      <c r="J719" s="20" t="s">
        <v>400</v>
      </c>
      <c r="K719" s="20" t="s">
        <v>2508</v>
      </c>
      <c r="L719" s="19" t="s">
        <v>61</v>
      </c>
      <c r="M719" s="19" t="s">
        <v>62</v>
      </c>
      <c r="N719" s="19" t="s">
        <v>683</v>
      </c>
      <c r="O719" s="19">
        <v>21</v>
      </c>
      <c r="P719" s="19">
        <v>3.73</v>
      </c>
      <c r="Q719" s="19">
        <v>1</v>
      </c>
      <c r="R719" s="20">
        <v>8</v>
      </c>
      <c r="S719" s="19">
        <v>6.6000000000000003E-2</v>
      </c>
      <c r="T719" s="19" t="s">
        <v>64</v>
      </c>
      <c r="U719" s="19" t="s">
        <v>65</v>
      </c>
      <c r="V719" s="19" t="s">
        <v>66</v>
      </c>
      <c r="W719" s="19" t="s">
        <v>67</v>
      </c>
      <c r="X719" s="19" t="s">
        <v>68</v>
      </c>
      <c r="Y719" s="21" t="s">
        <v>623</v>
      </c>
      <c r="Z719" s="21" t="s">
        <v>2357</v>
      </c>
      <c r="AA719" s="21" t="s">
        <v>692</v>
      </c>
      <c r="AB719" s="21">
        <v>4</v>
      </c>
      <c r="AC719" s="21"/>
      <c r="AD719" s="21"/>
      <c r="AE719" s="21"/>
      <c r="AF719" s="21"/>
      <c r="AG719" s="21" t="s">
        <v>2506</v>
      </c>
      <c r="AH719" s="21"/>
      <c r="AI719" s="21"/>
      <c r="AJ719" s="22"/>
      <c r="AK719" s="22"/>
      <c r="AL719" s="21" t="str">
        <f>_xlfn.XLOOKUP(A:A,[1]TAGS!$A:$A,[1]TAGS!$BG:$BG)</f>
        <v>Não Montado</v>
      </c>
      <c r="AM719" s="21" t="s">
        <v>70</v>
      </c>
      <c r="AN719" s="22"/>
      <c r="AO719" s="21" t="str">
        <f>_xlfn.XLOOKUP(A:A,[1]TAGS!$A:$A,[1]TAGS!$BG:$BG)</f>
        <v>Não Montado</v>
      </c>
      <c r="AP719" s="21"/>
      <c r="AQ719" s="21"/>
      <c r="AR719" s="21"/>
      <c r="AS719" s="21"/>
      <c r="AT719" s="21"/>
      <c r="AU719" s="21"/>
    </row>
    <row r="720" spans="1:47" x14ac:dyDescent="0.35">
      <c r="A720" s="19" t="s">
        <v>2509</v>
      </c>
      <c r="B720" s="19" t="s">
        <v>52</v>
      </c>
      <c r="C720" s="19"/>
      <c r="D720" s="19" t="s">
        <v>53</v>
      </c>
      <c r="E720" s="19" t="s">
        <v>460</v>
      </c>
      <c r="F720" s="20" t="s">
        <v>397</v>
      </c>
      <c r="G720" s="20" t="s">
        <v>398</v>
      </c>
      <c r="H720" s="19" t="s">
        <v>2510</v>
      </c>
      <c r="I720" s="20" t="s">
        <v>58</v>
      </c>
      <c r="J720" s="20" t="s">
        <v>400</v>
      </c>
      <c r="K720" s="20" t="s">
        <v>2511</v>
      </c>
      <c r="L720" s="19" t="s">
        <v>61</v>
      </c>
      <c r="M720" s="19" t="s">
        <v>62</v>
      </c>
      <c r="N720" s="19" t="s">
        <v>683</v>
      </c>
      <c r="O720" s="19">
        <v>21</v>
      </c>
      <c r="P720" s="19">
        <v>3.73</v>
      </c>
      <c r="Q720" s="19">
        <v>1</v>
      </c>
      <c r="R720" s="20">
        <v>8</v>
      </c>
      <c r="S720" s="19">
        <v>6.6000000000000003E-2</v>
      </c>
      <c r="T720" s="19" t="s">
        <v>64</v>
      </c>
      <c r="U720" s="19" t="s">
        <v>65</v>
      </c>
      <c r="V720" s="19" t="s">
        <v>66</v>
      </c>
      <c r="W720" s="19" t="s">
        <v>67</v>
      </c>
      <c r="X720" s="19" t="s">
        <v>68</v>
      </c>
      <c r="Y720" s="21" t="s">
        <v>623</v>
      </c>
      <c r="Z720" s="21" t="s">
        <v>2357</v>
      </c>
      <c r="AA720" s="21" t="s">
        <v>625</v>
      </c>
      <c r="AB720" s="21">
        <v>4</v>
      </c>
      <c r="AC720" s="21"/>
      <c r="AD720" s="21"/>
      <c r="AE720" s="21"/>
      <c r="AF720" s="21"/>
      <c r="AG720" s="21" t="s">
        <v>2509</v>
      </c>
      <c r="AH720" s="21"/>
      <c r="AI720" s="21"/>
      <c r="AJ720" s="22"/>
      <c r="AK720" s="22"/>
      <c r="AL720" s="21" t="str">
        <f>_xlfn.XLOOKUP(A:A,[1]TAGS!$A:$A,[1]TAGS!$BG:$BG)</f>
        <v>Não Montado</v>
      </c>
      <c r="AM720" s="21" t="s">
        <v>70</v>
      </c>
      <c r="AN720" s="22"/>
      <c r="AO720" s="21" t="str">
        <f>_xlfn.XLOOKUP(A:A,[1]TAGS!$A:$A,[1]TAGS!$BG:$BG)</f>
        <v>Não Montado</v>
      </c>
      <c r="AP720" s="21"/>
      <c r="AQ720" s="21"/>
      <c r="AR720" s="21"/>
      <c r="AS720" s="21"/>
      <c r="AT720" s="21"/>
      <c r="AU720" s="21"/>
    </row>
    <row r="721" spans="1:47" x14ac:dyDescent="0.35">
      <c r="A721" s="19" t="s">
        <v>2512</v>
      </c>
      <c r="B721" s="19" t="s">
        <v>52</v>
      </c>
      <c r="C721" s="19"/>
      <c r="D721" s="19" t="s">
        <v>53</v>
      </c>
      <c r="E721" s="19" t="s">
        <v>460</v>
      </c>
      <c r="F721" s="20" t="s">
        <v>397</v>
      </c>
      <c r="G721" s="20" t="s">
        <v>398</v>
      </c>
      <c r="H721" s="19" t="s">
        <v>2513</v>
      </c>
      <c r="I721" s="20" t="s">
        <v>58</v>
      </c>
      <c r="J721" s="20" t="s">
        <v>400</v>
      </c>
      <c r="K721" s="20" t="s">
        <v>2514</v>
      </c>
      <c r="L721" s="19" t="s">
        <v>61</v>
      </c>
      <c r="M721" s="19" t="s">
        <v>62</v>
      </c>
      <c r="N721" s="19" t="s">
        <v>683</v>
      </c>
      <c r="O721" s="19">
        <v>21</v>
      </c>
      <c r="P721" s="19">
        <v>3.73</v>
      </c>
      <c r="Q721" s="19">
        <v>1</v>
      </c>
      <c r="R721" s="20">
        <v>8</v>
      </c>
      <c r="S721" s="19">
        <v>6.6000000000000003E-2</v>
      </c>
      <c r="T721" s="19" t="s">
        <v>64</v>
      </c>
      <c r="U721" s="19" t="s">
        <v>65</v>
      </c>
      <c r="V721" s="19" t="s">
        <v>66</v>
      </c>
      <c r="W721" s="19" t="s">
        <v>67</v>
      </c>
      <c r="X721" s="19" t="s">
        <v>68</v>
      </c>
      <c r="Y721" s="21" t="s">
        <v>623</v>
      </c>
      <c r="Z721" s="21" t="s">
        <v>2364</v>
      </c>
      <c r="AA721" s="21" t="s">
        <v>692</v>
      </c>
      <c r="AB721" s="21">
        <v>4</v>
      </c>
      <c r="AC721" s="21"/>
      <c r="AD721" s="21"/>
      <c r="AE721" s="21"/>
      <c r="AF721" s="21"/>
      <c r="AG721" s="21" t="s">
        <v>2512</v>
      </c>
      <c r="AH721" s="21"/>
      <c r="AI721" s="21"/>
      <c r="AJ721" s="22"/>
      <c r="AK721" s="22"/>
      <c r="AL721" s="21" t="str">
        <f>_xlfn.XLOOKUP(A:A,[1]TAGS!$A:$A,[1]TAGS!$BG:$BG)</f>
        <v>Não Montado</v>
      </c>
      <c r="AM721" s="21" t="s">
        <v>70</v>
      </c>
      <c r="AN721" s="22"/>
      <c r="AO721" s="21" t="str">
        <f>_xlfn.XLOOKUP(A:A,[1]TAGS!$A:$A,[1]TAGS!$BG:$BG)</f>
        <v>Não Montado</v>
      </c>
      <c r="AP721" s="21"/>
      <c r="AQ721" s="21"/>
      <c r="AR721" s="21"/>
      <c r="AS721" s="21"/>
      <c r="AT721" s="21"/>
      <c r="AU721" s="21"/>
    </row>
    <row r="722" spans="1:47" x14ac:dyDescent="0.35">
      <c r="A722" s="19" t="s">
        <v>2515</v>
      </c>
      <c r="B722" s="19" t="s">
        <v>52</v>
      </c>
      <c r="C722" s="19"/>
      <c r="D722" s="19" t="s">
        <v>53</v>
      </c>
      <c r="E722" s="19" t="s">
        <v>460</v>
      </c>
      <c r="F722" s="20" t="s">
        <v>397</v>
      </c>
      <c r="G722" s="20" t="s">
        <v>398</v>
      </c>
      <c r="H722" s="19" t="s">
        <v>2516</v>
      </c>
      <c r="I722" s="20" t="s">
        <v>58</v>
      </c>
      <c r="J722" s="20" t="s">
        <v>400</v>
      </c>
      <c r="K722" s="20" t="s">
        <v>2517</v>
      </c>
      <c r="L722" s="19" t="s">
        <v>61</v>
      </c>
      <c r="M722" s="19" t="s">
        <v>62</v>
      </c>
      <c r="N722" s="19" t="s">
        <v>683</v>
      </c>
      <c r="O722" s="19">
        <v>21</v>
      </c>
      <c r="P722" s="19">
        <v>3.73</v>
      </c>
      <c r="Q722" s="19">
        <v>1</v>
      </c>
      <c r="R722" s="20">
        <v>8</v>
      </c>
      <c r="S722" s="19">
        <v>6.6000000000000003E-2</v>
      </c>
      <c r="T722" s="19" t="s">
        <v>64</v>
      </c>
      <c r="U722" s="19" t="s">
        <v>65</v>
      </c>
      <c r="V722" s="19" t="s">
        <v>66</v>
      </c>
      <c r="W722" s="19" t="s">
        <v>67</v>
      </c>
      <c r="X722" s="19" t="s">
        <v>68</v>
      </c>
      <c r="Y722" s="21" t="s">
        <v>623</v>
      </c>
      <c r="Z722" s="21" t="s">
        <v>2364</v>
      </c>
      <c r="AA722" s="21" t="s">
        <v>625</v>
      </c>
      <c r="AB722" s="21">
        <v>4</v>
      </c>
      <c r="AC722" s="21"/>
      <c r="AD722" s="21"/>
      <c r="AE722" s="21"/>
      <c r="AF722" s="21"/>
      <c r="AG722" s="21" t="s">
        <v>2515</v>
      </c>
      <c r="AH722" s="21"/>
      <c r="AI722" s="21"/>
      <c r="AJ722" s="22"/>
      <c r="AK722" s="22"/>
      <c r="AL722" s="21" t="str">
        <f>_xlfn.XLOOKUP(A:A,[1]TAGS!$A:$A,[1]TAGS!$BG:$BG)</f>
        <v>Não Montado</v>
      </c>
      <c r="AM722" s="21" t="s">
        <v>70</v>
      </c>
      <c r="AN722" s="22"/>
      <c r="AO722" s="21" t="str">
        <f>_xlfn.XLOOKUP(A:A,[1]TAGS!$A:$A,[1]TAGS!$BG:$BG)</f>
        <v>Não Montado</v>
      </c>
      <c r="AP722" s="21"/>
      <c r="AQ722" s="21"/>
      <c r="AR722" s="21"/>
      <c r="AS722" s="21"/>
      <c r="AT722" s="21"/>
      <c r="AU722" s="21"/>
    </row>
    <row r="723" spans="1:47" x14ac:dyDescent="0.35">
      <c r="A723" s="19" t="s">
        <v>2518</v>
      </c>
      <c r="B723" s="19" t="s">
        <v>52</v>
      </c>
      <c r="C723" s="19"/>
      <c r="D723" s="19" t="s">
        <v>53</v>
      </c>
      <c r="E723" s="19" t="s">
        <v>460</v>
      </c>
      <c r="F723" s="20" t="s">
        <v>397</v>
      </c>
      <c r="G723" s="20" t="s">
        <v>398</v>
      </c>
      <c r="H723" s="19" t="s">
        <v>2519</v>
      </c>
      <c r="I723" s="20" t="s">
        <v>58</v>
      </c>
      <c r="J723" s="20" t="s">
        <v>400</v>
      </c>
      <c r="K723" s="20" t="s">
        <v>2520</v>
      </c>
      <c r="L723" s="19" t="s">
        <v>61</v>
      </c>
      <c r="M723" s="19" t="s">
        <v>62</v>
      </c>
      <c r="N723" s="19" t="s">
        <v>683</v>
      </c>
      <c r="O723" s="19">
        <v>21</v>
      </c>
      <c r="P723" s="19">
        <v>3.73</v>
      </c>
      <c r="Q723" s="19">
        <v>1</v>
      </c>
      <c r="R723" s="20">
        <v>8</v>
      </c>
      <c r="S723" s="19">
        <v>6.6000000000000003E-2</v>
      </c>
      <c r="T723" s="19" t="s">
        <v>64</v>
      </c>
      <c r="U723" s="19" t="s">
        <v>65</v>
      </c>
      <c r="V723" s="19" t="s">
        <v>66</v>
      </c>
      <c r="W723" s="19" t="s">
        <v>67</v>
      </c>
      <c r="X723" s="19" t="s">
        <v>68</v>
      </c>
      <c r="Y723" s="21" t="s">
        <v>623</v>
      </c>
      <c r="Z723" s="21" t="s">
        <v>2371</v>
      </c>
      <c r="AA723" s="21" t="s">
        <v>692</v>
      </c>
      <c r="AB723" s="21">
        <v>4</v>
      </c>
      <c r="AC723" s="21"/>
      <c r="AD723" s="21"/>
      <c r="AE723" s="21"/>
      <c r="AF723" s="21"/>
      <c r="AG723" s="21" t="s">
        <v>2518</v>
      </c>
      <c r="AH723" s="21"/>
      <c r="AI723" s="21"/>
      <c r="AJ723" s="22"/>
      <c r="AK723" s="22"/>
      <c r="AL723" s="21" t="str">
        <f>_xlfn.XLOOKUP(A:A,[1]TAGS!$A:$A,[1]TAGS!$BG:$BG)</f>
        <v>Não Montado</v>
      </c>
      <c r="AM723" s="21" t="s">
        <v>70</v>
      </c>
      <c r="AN723" s="22"/>
      <c r="AO723" s="21" t="str">
        <f>_xlfn.XLOOKUP(A:A,[1]TAGS!$A:$A,[1]TAGS!$BG:$BG)</f>
        <v>Não Montado</v>
      </c>
      <c r="AP723" s="21"/>
      <c r="AQ723" s="21"/>
      <c r="AR723" s="21"/>
      <c r="AS723" s="21"/>
      <c r="AT723" s="21"/>
      <c r="AU723" s="21"/>
    </row>
    <row r="724" spans="1:47" x14ac:dyDescent="0.35">
      <c r="A724" s="19" t="s">
        <v>2521</v>
      </c>
      <c r="B724" s="19" t="s">
        <v>52</v>
      </c>
      <c r="C724" s="19"/>
      <c r="D724" s="19" t="s">
        <v>53</v>
      </c>
      <c r="E724" s="19" t="s">
        <v>460</v>
      </c>
      <c r="F724" s="20" t="s">
        <v>397</v>
      </c>
      <c r="G724" s="20" t="s">
        <v>398</v>
      </c>
      <c r="H724" s="19" t="s">
        <v>2522</v>
      </c>
      <c r="I724" s="20" t="s">
        <v>58</v>
      </c>
      <c r="J724" s="20" t="s">
        <v>400</v>
      </c>
      <c r="K724" s="20" t="s">
        <v>2523</v>
      </c>
      <c r="L724" s="19" t="s">
        <v>61</v>
      </c>
      <c r="M724" s="19" t="s">
        <v>62</v>
      </c>
      <c r="N724" s="19" t="s">
        <v>683</v>
      </c>
      <c r="O724" s="19">
        <v>21</v>
      </c>
      <c r="P724" s="19">
        <v>3.73</v>
      </c>
      <c r="Q724" s="19">
        <v>1</v>
      </c>
      <c r="R724" s="20">
        <v>8</v>
      </c>
      <c r="S724" s="19">
        <v>6.6000000000000003E-2</v>
      </c>
      <c r="T724" s="19" t="s">
        <v>64</v>
      </c>
      <c r="U724" s="19" t="s">
        <v>65</v>
      </c>
      <c r="V724" s="19" t="s">
        <v>66</v>
      </c>
      <c r="W724" s="19" t="s">
        <v>67</v>
      </c>
      <c r="X724" s="19" t="s">
        <v>68</v>
      </c>
      <c r="Y724" s="21" t="s">
        <v>623</v>
      </c>
      <c r="Z724" s="21" t="s">
        <v>2371</v>
      </c>
      <c r="AA724" s="21" t="s">
        <v>625</v>
      </c>
      <c r="AB724" s="21">
        <v>4</v>
      </c>
      <c r="AC724" s="21"/>
      <c r="AD724" s="21"/>
      <c r="AE724" s="21"/>
      <c r="AF724" s="21"/>
      <c r="AG724" s="21" t="s">
        <v>2521</v>
      </c>
      <c r="AH724" s="21"/>
      <c r="AI724" s="21"/>
      <c r="AJ724" s="22"/>
      <c r="AK724" s="22"/>
      <c r="AL724" s="21" t="str">
        <f>_xlfn.XLOOKUP(A:A,[1]TAGS!$A:$A,[1]TAGS!$BG:$BG)</f>
        <v>Não Montado</v>
      </c>
      <c r="AM724" s="21" t="s">
        <v>70</v>
      </c>
      <c r="AN724" s="22"/>
      <c r="AO724" s="21" t="str">
        <f>_xlfn.XLOOKUP(A:A,[1]TAGS!$A:$A,[1]TAGS!$BG:$BG)</f>
        <v>Não Montado</v>
      </c>
      <c r="AP724" s="21"/>
      <c r="AQ724" s="21"/>
      <c r="AR724" s="21"/>
      <c r="AS724" s="21"/>
      <c r="AT724" s="21"/>
      <c r="AU724" s="21"/>
    </row>
    <row r="725" spans="1:47" x14ac:dyDescent="0.35">
      <c r="A725" s="19" t="s">
        <v>2524</v>
      </c>
      <c r="B725" s="19" t="s">
        <v>52</v>
      </c>
      <c r="C725" s="19"/>
      <c r="D725" s="19" t="s">
        <v>53</v>
      </c>
      <c r="E725" s="19" t="s">
        <v>460</v>
      </c>
      <c r="F725" s="20" t="s">
        <v>397</v>
      </c>
      <c r="G725" s="20" t="s">
        <v>398</v>
      </c>
      <c r="H725" s="19" t="s">
        <v>2525</v>
      </c>
      <c r="I725" s="20" t="s">
        <v>58</v>
      </c>
      <c r="J725" s="20" t="s">
        <v>400</v>
      </c>
      <c r="K725" s="20" t="s">
        <v>2526</v>
      </c>
      <c r="L725" s="19" t="s">
        <v>61</v>
      </c>
      <c r="M725" s="19" t="s">
        <v>62</v>
      </c>
      <c r="N725" s="19" t="s">
        <v>683</v>
      </c>
      <c r="O725" s="19">
        <v>21</v>
      </c>
      <c r="P725" s="19">
        <v>3.73</v>
      </c>
      <c r="Q725" s="19">
        <v>1</v>
      </c>
      <c r="R725" s="20">
        <v>8</v>
      </c>
      <c r="S725" s="19">
        <v>6.6000000000000003E-2</v>
      </c>
      <c r="T725" s="19" t="s">
        <v>64</v>
      </c>
      <c r="U725" s="19" t="s">
        <v>65</v>
      </c>
      <c r="V725" s="19" t="s">
        <v>66</v>
      </c>
      <c r="W725" s="19" t="s">
        <v>67</v>
      </c>
      <c r="X725" s="19" t="s">
        <v>68</v>
      </c>
      <c r="Y725" s="21" t="s">
        <v>623</v>
      </c>
      <c r="Z725" s="21" t="s">
        <v>2378</v>
      </c>
      <c r="AA725" s="21" t="s">
        <v>692</v>
      </c>
      <c r="AB725" s="21">
        <v>4</v>
      </c>
      <c r="AC725" s="21"/>
      <c r="AD725" s="21"/>
      <c r="AE725" s="21"/>
      <c r="AF725" s="21"/>
      <c r="AG725" s="21" t="s">
        <v>2524</v>
      </c>
      <c r="AH725" s="21"/>
      <c r="AI725" s="21"/>
      <c r="AJ725" s="22"/>
      <c r="AK725" s="22"/>
      <c r="AL725" s="21" t="str">
        <f>_xlfn.XLOOKUP(A:A,[1]TAGS!$A:$A,[1]TAGS!$BG:$BG)</f>
        <v>Não Montado</v>
      </c>
      <c r="AM725" s="21" t="s">
        <v>70</v>
      </c>
      <c r="AN725" s="22"/>
      <c r="AO725" s="21" t="str">
        <f>_xlfn.XLOOKUP(A:A,[1]TAGS!$A:$A,[1]TAGS!$BG:$BG)</f>
        <v>Não Montado</v>
      </c>
      <c r="AP725" s="21"/>
      <c r="AQ725" s="21"/>
      <c r="AR725" s="21"/>
      <c r="AS725" s="21"/>
      <c r="AT725" s="21"/>
      <c r="AU725" s="21"/>
    </row>
    <row r="726" spans="1:47" x14ac:dyDescent="0.35">
      <c r="A726" s="19" t="s">
        <v>2527</v>
      </c>
      <c r="B726" s="19" t="s">
        <v>52</v>
      </c>
      <c r="C726" s="19"/>
      <c r="D726" s="19" t="s">
        <v>53</v>
      </c>
      <c r="E726" s="19" t="s">
        <v>460</v>
      </c>
      <c r="F726" s="20" t="s">
        <v>397</v>
      </c>
      <c r="G726" s="20" t="s">
        <v>398</v>
      </c>
      <c r="H726" s="19" t="s">
        <v>2528</v>
      </c>
      <c r="I726" s="20" t="s">
        <v>58</v>
      </c>
      <c r="J726" s="20" t="s">
        <v>400</v>
      </c>
      <c r="K726" s="20" t="s">
        <v>2529</v>
      </c>
      <c r="L726" s="19" t="s">
        <v>61</v>
      </c>
      <c r="M726" s="19" t="s">
        <v>62</v>
      </c>
      <c r="N726" s="19" t="s">
        <v>683</v>
      </c>
      <c r="O726" s="19">
        <v>21</v>
      </c>
      <c r="P726" s="19">
        <v>3.73</v>
      </c>
      <c r="Q726" s="19">
        <v>1</v>
      </c>
      <c r="R726" s="20">
        <v>8</v>
      </c>
      <c r="S726" s="19">
        <v>6.6000000000000003E-2</v>
      </c>
      <c r="T726" s="19" t="s">
        <v>64</v>
      </c>
      <c r="U726" s="19" t="s">
        <v>65</v>
      </c>
      <c r="V726" s="19" t="s">
        <v>66</v>
      </c>
      <c r="W726" s="19" t="s">
        <v>67</v>
      </c>
      <c r="X726" s="19" t="s">
        <v>68</v>
      </c>
      <c r="Y726" s="21" t="s">
        <v>623</v>
      </c>
      <c r="Z726" s="21" t="s">
        <v>2378</v>
      </c>
      <c r="AA726" s="21" t="s">
        <v>625</v>
      </c>
      <c r="AB726" s="21">
        <v>4</v>
      </c>
      <c r="AC726" s="21"/>
      <c r="AD726" s="21"/>
      <c r="AE726" s="21"/>
      <c r="AF726" s="21"/>
      <c r="AG726" s="21" t="s">
        <v>2527</v>
      </c>
      <c r="AH726" s="21"/>
      <c r="AI726" s="21"/>
      <c r="AJ726" s="22"/>
      <c r="AK726" s="22"/>
      <c r="AL726" s="21" t="str">
        <f>_xlfn.XLOOKUP(A:A,[1]TAGS!$A:$A,[1]TAGS!$BG:$BG)</f>
        <v>Não Montado</v>
      </c>
      <c r="AM726" s="21" t="s">
        <v>70</v>
      </c>
      <c r="AN726" s="22"/>
      <c r="AO726" s="21" t="str">
        <f>_xlfn.XLOOKUP(A:A,[1]TAGS!$A:$A,[1]TAGS!$BG:$BG)</f>
        <v>Não Montado</v>
      </c>
      <c r="AP726" s="21"/>
      <c r="AQ726" s="21"/>
      <c r="AR726" s="21"/>
      <c r="AS726" s="21"/>
      <c r="AT726" s="21"/>
      <c r="AU726" s="21"/>
    </row>
    <row r="727" spans="1:47" x14ac:dyDescent="0.35">
      <c r="A727" s="19" t="s">
        <v>2530</v>
      </c>
      <c r="B727" s="19" t="s">
        <v>52</v>
      </c>
      <c r="C727" s="19"/>
      <c r="D727" s="19" t="s">
        <v>53</v>
      </c>
      <c r="E727" s="19" t="s">
        <v>460</v>
      </c>
      <c r="F727" s="20" t="s">
        <v>397</v>
      </c>
      <c r="G727" s="20" t="s">
        <v>398</v>
      </c>
      <c r="H727" s="19" t="s">
        <v>2531</v>
      </c>
      <c r="I727" s="20" t="s">
        <v>58</v>
      </c>
      <c r="J727" s="20" t="s">
        <v>400</v>
      </c>
      <c r="K727" s="20" t="s">
        <v>2532</v>
      </c>
      <c r="L727" s="19" t="s">
        <v>61</v>
      </c>
      <c r="M727" s="19" t="s">
        <v>62</v>
      </c>
      <c r="N727" s="20" t="s">
        <v>63</v>
      </c>
      <c r="O727" s="19">
        <v>21</v>
      </c>
      <c r="P727" s="19">
        <v>3.73</v>
      </c>
      <c r="Q727" s="19">
        <v>1</v>
      </c>
      <c r="R727" s="20">
        <v>8</v>
      </c>
      <c r="S727" s="19">
        <v>6.6000000000000003E-2</v>
      </c>
      <c r="T727" s="19" t="s">
        <v>64</v>
      </c>
      <c r="U727" s="19" t="s">
        <v>65</v>
      </c>
      <c r="V727" s="19" t="s">
        <v>66</v>
      </c>
      <c r="W727" s="19" t="s">
        <v>67</v>
      </c>
      <c r="X727" s="19" t="s">
        <v>68</v>
      </c>
      <c r="Y727" s="21" t="s">
        <v>623</v>
      </c>
      <c r="Z727" s="21" t="s">
        <v>2385</v>
      </c>
      <c r="AA727" s="21" t="s">
        <v>692</v>
      </c>
      <c r="AB727" s="21">
        <v>4</v>
      </c>
      <c r="AC727" s="21"/>
      <c r="AD727" s="21"/>
      <c r="AE727" s="21"/>
      <c r="AF727" s="21"/>
      <c r="AG727" s="21" t="s">
        <v>2530</v>
      </c>
      <c r="AH727" s="21"/>
      <c r="AI727" s="21"/>
      <c r="AJ727" s="22"/>
      <c r="AK727" s="22"/>
      <c r="AL727" s="21" t="str">
        <f>_xlfn.XLOOKUP(A:A,[1]TAGS!$A:$A,[1]TAGS!$BG:$BG)</f>
        <v>Não Montado</v>
      </c>
      <c r="AM727" s="21" t="s">
        <v>70</v>
      </c>
      <c r="AN727" s="22"/>
      <c r="AO727" s="21" t="str">
        <f>_xlfn.XLOOKUP(A:A,[1]TAGS!$A:$A,[1]TAGS!$BG:$BG)</f>
        <v>Não Montado</v>
      </c>
      <c r="AP727" s="21"/>
      <c r="AQ727" s="21"/>
      <c r="AR727" s="21"/>
      <c r="AS727" s="21"/>
      <c r="AT727" s="21"/>
      <c r="AU727" s="21"/>
    </row>
    <row r="728" spans="1:47" x14ac:dyDescent="0.35">
      <c r="A728" s="19" t="s">
        <v>2533</v>
      </c>
      <c r="B728" s="19" t="s">
        <v>52</v>
      </c>
      <c r="C728" s="19"/>
      <c r="D728" s="19" t="s">
        <v>53</v>
      </c>
      <c r="E728" s="19" t="s">
        <v>460</v>
      </c>
      <c r="F728" s="20" t="s">
        <v>397</v>
      </c>
      <c r="G728" s="20" t="s">
        <v>398</v>
      </c>
      <c r="H728" s="19" t="s">
        <v>2534</v>
      </c>
      <c r="I728" s="20" t="s">
        <v>58</v>
      </c>
      <c r="J728" s="20" t="s">
        <v>400</v>
      </c>
      <c r="K728" s="20" t="s">
        <v>2535</v>
      </c>
      <c r="L728" s="19" t="s">
        <v>61</v>
      </c>
      <c r="M728" s="19" t="s">
        <v>62</v>
      </c>
      <c r="N728" s="19" t="s">
        <v>683</v>
      </c>
      <c r="O728" s="19">
        <v>21</v>
      </c>
      <c r="P728" s="19">
        <v>3.73</v>
      </c>
      <c r="Q728" s="19">
        <v>1</v>
      </c>
      <c r="R728" s="20">
        <v>8</v>
      </c>
      <c r="S728" s="19">
        <v>6.6000000000000003E-2</v>
      </c>
      <c r="T728" s="19" t="s">
        <v>64</v>
      </c>
      <c r="U728" s="19" t="s">
        <v>65</v>
      </c>
      <c r="V728" s="19" t="s">
        <v>66</v>
      </c>
      <c r="W728" s="19" t="s">
        <v>67</v>
      </c>
      <c r="X728" s="19" t="s">
        <v>68</v>
      </c>
      <c r="Y728" s="21" t="s">
        <v>623</v>
      </c>
      <c r="Z728" s="21" t="s">
        <v>2385</v>
      </c>
      <c r="AA728" s="21" t="s">
        <v>625</v>
      </c>
      <c r="AB728" s="21">
        <v>4</v>
      </c>
      <c r="AC728" s="21"/>
      <c r="AD728" s="21"/>
      <c r="AE728" s="21"/>
      <c r="AF728" s="21"/>
      <c r="AG728" s="21" t="s">
        <v>2533</v>
      </c>
      <c r="AH728" s="21"/>
      <c r="AI728" s="21"/>
      <c r="AJ728" s="22"/>
      <c r="AK728" s="22"/>
      <c r="AL728" s="21" t="str">
        <f>_xlfn.XLOOKUP(A:A,[1]TAGS!$A:$A,[1]TAGS!$BG:$BG)</f>
        <v>Não Montado</v>
      </c>
      <c r="AM728" s="21" t="s">
        <v>70</v>
      </c>
      <c r="AN728" s="22"/>
      <c r="AO728" s="21" t="str">
        <f>_xlfn.XLOOKUP(A:A,[1]TAGS!$A:$A,[1]TAGS!$BG:$BG)</f>
        <v>Não Montado</v>
      </c>
      <c r="AP728" s="21"/>
      <c r="AQ728" s="21"/>
      <c r="AR728" s="21"/>
      <c r="AS728" s="21"/>
      <c r="AT728" s="21"/>
      <c r="AU728" s="21"/>
    </row>
    <row r="729" spans="1:47" x14ac:dyDescent="0.35">
      <c r="A729" s="19" t="s">
        <v>2536</v>
      </c>
      <c r="B729" s="19" t="s">
        <v>52</v>
      </c>
      <c r="C729" s="19"/>
      <c r="D729" s="19" t="s">
        <v>53</v>
      </c>
      <c r="E729" s="19" t="s">
        <v>460</v>
      </c>
      <c r="F729" s="20" t="s">
        <v>397</v>
      </c>
      <c r="G729" s="20" t="s">
        <v>398</v>
      </c>
      <c r="H729" s="19" t="s">
        <v>2537</v>
      </c>
      <c r="I729" s="20" t="s">
        <v>58</v>
      </c>
      <c r="J729" s="20" t="s">
        <v>400</v>
      </c>
      <c r="K729" s="20" t="s">
        <v>2538</v>
      </c>
      <c r="L729" s="19" t="s">
        <v>61</v>
      </c>
      <c r="M729" s="19" t="s">
        <v>62</v>
      </c>
      <c r="N729" s="19" t="s">
        <v>683</v>
      </c>
      <c r="O729" s="19">
        <v>21</v>
      </c>
      <c r="P729" s="19">
        <v>3.73</v>
      </c>
      <c r="Q729" s="19">
        <v>1</v>
      </c>
      <c r="R729" s="20">
        <v>8</v>
      </c>
      <c r="S729" s="19">
        <v>6.6000000000000003E-2</v>
      </c>
      <c r="T729" s="19" t="s">
        <v>64</v>
      </c>
      <c r="U729" s="19" t="s">
        <v>65</v>
      </c>
      <c r="V729" s="19" t="s">
        <v>66</v>
      </c>
      <c r="W729" s="19" t="s">
        <v>67</v>
      </c>
      <c r="X729" s="19" t="s">
        <v>68</v>
      </c>
      <c r="Y729" s="21" t="s">
        <v>623</v>
      </c>
      <c r="Z729" s="21" t="s">
        <v>688</v>
      </c>
      <c r="AA729" s="21" t="s">
        <v>692</v>
      </c>
      <c r="AB729" s="21">
        <v>4</v>
      </c>
      <c r="AC729" s="21"/>
      <c r="AD729" s="21"/>
      <c r="AE729" s="21"/>
      <c r="AF729" s="21"/>
      <c r="AG729" s="21" t="s">
        <v>2536</v>
      </c>
      <c r="AH729" s="21"/>
      <c r="AI729" s="21"/>
      <c r="AJ729" s="22"/>
      <c r="AK729" s="22"/>
      <c r="AL729" s="21" t="str">
        <f>_xlfn.XLOOKUP(A:A,[1]TAGS!$A:$A,[1]TAGS!$BG:$BG)</f>
        <v>Não Montado</v>
      </c>
      <c r="AM729" s="21" t="s">
        <v>70</v>
      </c>
      <c r="AN729" s="22"/>
      <c r="AO729" s="21" t="str">
        <f>_xlfn.XLOOKUP(A:A,[1]TAGS!$A:$A,[1]TAGS!$BG:$BG)</f>
        <v>Não Montado</v>
      </c>
      <c r="AP729" s="21"/>
      <c r="AQ729" s="21"/>
      <c r="AR729" s="21"/>
      <c r="AS729" s="21"/>
      <c r="AT729" s="21"/>
      <c r="AU729" s="21"/>
    </row>
    <row r="730" spans="1:47" x14ac:dyDescent="0.35">
      <c r="A730" s="19" t="s">
        <v>2539</v>
      </c>
      <c r="B730" s="19" t="s">
        <v>52</v>
      </c>
      <c r="C730" s="19"/>
      <c r="D730" s="19" t="s">
        <v>53</v>
      </c>
      <c r="E730" s="19" t="s">
        <v>460</v>
      </c>
      <c r="F730" s="20" t="s">
        <v>55</v>
      </c>
      <c r="G730" s="20" t="s">
        <v>56</v>
      </c>
      <c r="H730" s="19" t="s">
        <v>2540</v>
      </c>
      <c r="I730" s="20" t="s">
        <v>58</v>
      </c>
      <c r="J730" s="20" t="s">
        <v>59</v>
      </c>
      <c r="K730" s="20" t="s">
        <v>2541</v>
      </c>
      <c r="L730" s="19" t="s">
        <v>61</v>
      </c>
      <c r="M730" s="19" t="s">
        <v>62</v>
      </c>
      <c r="N730" s="20" t="s">
        <v>63</v>
      </c>
      <c r="O730" s="19">
        <v>21</v>
      </c>
      <c r="P730" s="19">
        <v>3.73</v>
      </c>
      <c r="Q730" s="19">
        <v>1</v>
      </c>
      <c r="R730" s="20">
        <v>8</v>
      </c>
      <c r="S730" s="19">
        <v>6.6000000000000003E-2</v>
      </c>
      <c r="T730" s="19" t="s">
        <v>64</v>
      </c>
      <c r="U730" s="19" t="s">
        <v>65</v>
      </c>
      <c r="V730" s="19" t="s">
        <v>66</v>
      </c>
      <c r="W730" s="19" t="s">
        <v>67</v>
      </c>
      <c r="X730" s="19" t="s">
        <v>68</v>
      </c>
      <c r="Y730" s="21" t="s">
        <v>711</v>
      </c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2"/>
      <c r="AK730" s="22"/>
      <c r="AL730" s="21" t="str">
        <f>_xlfn.XLOOKUP(A:A,[1]TAGS!$A:$A,[1]TAGS!$BG:$BG)</f>
        <v>Não Montado</v>
      </c>
      <c r="AM730" s="21" t="s">
        <v>70</v>
      </c>
      <c r="AN730" s="22"/>
      <c r="AO730" s="21" t="str">
        <f>_xlfn.XLOOKUP(A:A,[1]TAGS!$A:$A,[1]TAGS!$BG:$BG)</f>
        <v>Não Montado</v>
      </c>
      <c r="AP730" s="21"/>
      <c r="AQ730" s="21"/>
      <c r="AR730" s="21"/>
      <c r="AS730" s="21"/>
      <c r="AT730" s="21"/>
      <c r="AU730" s="21"/>
    </row>
    <row r="731" spans="1:47" x14ac:dyDescent="0.35">
      <c r="A731" s="19" t="s">
        <v>2542</v>
      </c>
      <c r="B731" s="19" t="s">
        <v>52</v>
      </c>
      <c r="C731" s="19"/>
      <c r="D731" s="19" t="s">
        <v>53</v>
      </c>
      <c r="E731" s="19" t="s">
        <v>460</v>
      </c>
      <c r="F731" s="20" t="s">
        <v>2543</v>
      </c>
      <c r="G731" s="20" t="s">
        <v>2544</v>
      </c>
      <c r="H731" s="19" t="s">
        <v>2545</v>
      </c>
      <c r="I731" s="20" t="s">
        <v>58</v>
      </c>
      <c r="J731" s="20" t="s">
        <v>2546</v>
      </c>
      <c r="K731" s="20" t="s">
        <v>2547</v>
      </c>
      <c r="L731" s="19" t="s">
        <v>61</v>
      </c>
      <c r="M731" s="19" t="s">
        <v>62</v>
      </c>
      <c r="N731" s="19" t="s">
        <v>63</v>
      </c>
      <c r="O731" s="19">
        <v>21</v>
      </c>
      <c r="P731" s="19">
        <v>3.73</v>
      </c>
      <c r="Q731" s="19">
        <v>1</v>
      </c>
      <c r="R731" s="20">
        <v>8</v>
      </c>
      <c r="S731" s="19">
        <v>6.6000000000000003E-2</v>
      </c>
      <c r="T731" s="19" t="s">
        <v>64</v>
      </c>
      <c r="U731" s="19" t="s">
        <v>65</v>
      </c>
      <c r="V731" s="19" t="s">
        <v>66</v>
      </c>
      <c r="W731" s="19" t="s">
        <v>67</v>
      </c>
      <c r="X731" s="19" t="s">
        <v>68</v>
      </c>
      <c r="Y731" s="21" t="s">
        <v>623</v>
      </c>
      <c r="Z731" s="21" t="s">
        <v>684</v>
      </c>
      <c r="AA731" s="21" t="s">
        <v>692</v>
      </c>
      <c r="AB731" s="21">
        <v>5</v>
      </c>
      <c r="AC731" s="21"/>
      <c r="AD731" s="21"/>
      <c r="AE731" s="21"/>
      <c r="AF731" s="21"/>
      <c r="AG731" s="21" t="s">
        <v>2542</v>
      </c>
      <c r="AH731" s="21"/>
      <c r="AI731" s="21"/>
      <c r="AJ731" s="22"/>
      <c r="AK731" s="22"/>
      <c r="AL731" s="21" t="str">
        <f>_xlfn.XLOOKUP(A:A,[1]TAGS!$A:$A,[1]TAGS!$BG:$BG)</f>
        <v>Não Montado</v>
      </c>
      <c r="AM731" s="21" t="s">
        <v>70</v>
      </c>
      <c r="AN731" s="22"/>
      <c r="AO731" s="21" t="str">
        <f>_xlfn.XLOOKUP(A:A,[1]TAGS!$A:$A,[1]TAGS!$BG:$BG)</f>
        <v>Não Montado</v>
      </c>
      <c r="AP731" s="21"/>
      <c r="AQ731" s="21"/>
      <c r="AR731" s="21"/>
      <c r="AS731" s="21"/>
      <c r="AT731" s="21"/>
      <c r="AU731" s="21"/>
    </row>
    <row r="732" spans="1:47" x14ac:dyDescent="0.35">
      <c r="A732" s="19" t="s">
        <v>2548</v>
      </c>
      <c r="B732" s="19" t="s">
        <v>52</v>
      </c>
      <c r="C732" s="19"/>
      <c r="D732" s="19" t="s">
        <v>53</v>
      </c>
      <c r="E732" s="19" t="s">
        <v>460</v>
      </c>
      <c r="F732" s="20" t="s">
        <v>397</v>
      </c>
      <c r="G732" s="20" t="s">
        <v>398</v>
      </c>
      <c r="H732" s="19" t="s">
        <v>2549</v>
      </c>
      <c r="I732" s="20" t="s">
        <v>58</v>
      </c>
      <c r="J732" s="20" t="s">
        <v>400</v>
      </c>
      <c r="K732" s="20" t="s">
        <v>2550</v>
      </c>
      <c r="L732" s="19" t="s">
        <v>61</v>
      </c>
      <c r="M732" s="19" t="s">
        <v>62</v>
      </c>
      <c r="N732" s="20" t="s">
        <v>63</v>
      </c>
      <c r="O732" s="19">
        <v>21</v>
      </c>
      <c r="P732" s="19">
        <v>3.73</v>
      </c>
      <c r="Q732" s="19">
        <v>1</v>
      </c>
      <c r="R732" s="20">
        <v>8</v>
      </c>
      <c r="S732" s="19">
        <v>6.6000000000000003E-2</v>
      </c>
      <c r="T732" s="19" t="s">
        <v>64</v>
      </c>
      <c r="U732" s="19" t="s">
        <v>65</v>
      </c>
      <c r="V732" s="19" t="s">
        <v>66</v>
      </c>
      <c r="W732" s="19" t="s">
        <v>67</v>
      </c>
      <c r="X732" s="19" t="s">
        <v>68</v>
      </c>
      <c r="Y732" s="21" t="s">
        <v>623</v>
      </c>
      <c r="Z732" s="21" t="s">
        <v>2148</v>
      </c>
      <c r="AA732" s="21" t="s">
        <v>692</v>
      </c>
      <c r="AB732" s="21">
        <v>5</v>
      </c>
      <c r="AC732" s="21"/>
      <c r="AD732" s="21"/>
      <c r="AE732" s="21"/>
      <c r="AF732" s="21"/>
      <c r="AG732" s="21" t="s">
        <v>2548</v>
      </c>
      <c r="AH732" s="21"/>
      <c r="AI732" s="21"/>
      <c r="AJ732" s="22"/>
      <c r="AK732" s="22"/>
      <c r="AL732" s="21" t="str">
        <f>_xlfn.XLOOKUP(A:A,[1]TAGS!$A:$A,[1]TAGS!$BG:$BG)</f>
        <v>Não Montado</v>
      </c>
      <c r="AM732" s="21" t="s">
        <v>70</v>
      </c>
      <c r="AN732" s="22"/>
      <c r="AO732" s="21" t="str">
        <f>_xlfn.XLOOKUP(A:A,[1]TAGS!$A:$A,[1]TAGS!$BG:$BG)</f>
        <v>Não Montado</v>
      </c>
      <c r="AP732" s="21"/>
      <c r="AQ732" s="21"/>
      <c r="AR732" s="21"/>
      <c r="AS732" s="21"/>
      <c r="AT732" s="21"/>
      <c r="AU732" s="21"/>
    </row>
    <row r="733" spans="1:47" x14ac:dyDescent="0.35">
      <c r="A733" s="19" t="s">
        <v>2551</v>
      </c>
      <c r="B733" s="19" t="s">
        <v>52</v>
      </c>
      <c r="C733" s="19"/>
      <c r="D733" s="19" t="s">
        <v>53</v>
      </c>
      <c r="E733" s="19" t="s">
        <v>460</v>
      </c>
      <c r="F733" s="20" t="s">
        <v>55</v>
      </c>
      <c r="G733" s="20" t="s">
        <v>75</v>
      </c>
      <c r="H733" s="19" t="s">
        <v>2552</v>
      </c>
      <c r="I733" s="20" t="s">
        <v>58</v>
      </c>
      <c r="J733" s="20" t="s">
        <v>77</v>
      </c>
      <c r="K733" s="20" t="s">
        <v>2553</v>
      </c>
      <c r="L733" s="19" t="s">
        <v>61</v>
      </c>
      <c r="M733" s="19" t="s">
        <v>62</v>
      </c>
      <c r="N733" s="20" t="s">
        <v>63</v>
      </c>
      <c r="O733" s="19">
        <v>21</v>
      </c>
      <c r="P733" s="19">
        <v>3.73</v>
      </c>
      <c r="Q733" s="19">
        <v>1</v>
      </c>
      <c r="R733" s="20">
        <v>8</v>
      </c>
      <c r="S733" s="19">
        <v>6.6000000000000003E-2</v>
      </c>
      <c r="T733" s="19" t="s">
        <v>64</v>
      </c>
      <c r="U733" s="19" t="s">
        <v>65</v>
      </c>
      <c r="V733" s="19" t="s">
        <v>66</v>
      </c>
      <c r="W733" s="19" t="s">
        <v>67</v>
      </c>
      <c r="X733" s="19" t="s">
        <v>68</v>
      </c>
      <c r="Y733" s="21" t="s">
        <v>623</v>
      </c>
      <c r="Z733" s="21" t="s">
        <v>629</v>
      </c>
      <c r="AA733" s="21" t="s">
        <v>692</v>
      </c>
      <c r="AB733" s="21">
        <v>1</v>
      </c>
      <c r="AC733" s="21"/>
      <c r="AD733" s="21"/>
      <c r="AE733" s="21"/>
      <c r="AF733" s="21"/>
      <c r="AG733" s="21" t="s">
        <v>2551</v>
      </c>
      <c r="AH733" s="21"/>
      <c r="AI733" s="21"/>
      <c r="AJ733" s="22"/>
      <c r="AK733" s="22"/>
      <c r="AL733" s="21" t="str">
        <f>_xlfn.XLOOKUP(A:A,[1]TAGS!$A:$A,[1]TAGS!$BG:$BG)</f>
        <v>Não Montado</v>
      </c>
      <c r="AM733" s="21" t="s">
        <v>70</v>
      </c>
      <c r="AN733" s="22"/>
      <c r="AO733" s="21" t="str">
        <f>_xlfn.XLOOKUP(A:A,[1]TAGS!$A:$A,[1]TAGS!$BG:$BG)</f>
        <v>Não Montado</v>
      </c>
      <c r="AP733" s="21"/>
      <c r="AQ733" s="21"/>
      <c r="AR733" s="21"/>
      <c r="AS733" s="21"/>
      <c r="AT733" s="21"/>
      <c r="AU733" s="21"/>
    </row>
    <row r="734" spans="1:47" x14ac:dyDescent="0.35">
      <c r="A734" s="19" t="s">
        <v>2554</v>
      </c>
      <c r="B734" s="19" t="s">
        <v>52</v>
      </c>
      <c r="C734" s="19"/>
      <c r="D734" s="19" t="s">
        <v>53</v>
      </c>
      <c r="E734" s="19" t="s">
        <v>460</v>
      </c>
      <c r="F734" s="20" t="s">
        <v>55</v>
      </c>
      <c r="G734" s="20" t="s">
        <v>75</v>
      </c>
      <c r="H734" s="19" t="s">
        <v>2555</v>
      </c>
      <c r="I734" s="20" t="s">
        <v>58</v>
      </c>
      <c r="J734" s="20" t="s">
        <v>77</v>
      </c>
      <c r="K734" s="20" t="s">
        <v>2556</v>
      </c>
      <c r="L734" s="19" t="s">
        <v>61</v>
      </c>
      <c r="M734" s="19" t="s">
        <v>62</v>
      </c>
      <c r="N734" s="20" t="s">
        <v>63</v>
      </c>
      <c r="O734" s="19">
        <v>21</v>
      </c>
      <c r="P734" s="19">
        <v>3.73</v>
      </c>
      <c r="Q734" s="19">
        <v>1</v>
      </c>
      <c r="R734" s="20">
        <v>8</v>
      </c>
      <c r="S734" s="19">
        <v>6.6000000000000003E-2</v>
      </c>
      <c r="T734" s="19" t="s">
        <v>64</v>
      </c>
      <c r="U734" s="19" t="s">
        <v>65</v>
      </c>
      <c r="V734" s="19" t="s">
        <v>66</v>
      </c>
      <c r="W734" s="19" t="s">
        <v>67</v>
      </c>
      <c r="X734" s="19" t="s">
        <v>68</v>
      </c>
      <c r="Y734" s="21" t="s">
        <v>623</v>
      </c>
      <c r="Z734" s="21" t="s">
        <v>629</v>
      </c>
      <c r="AA734" s="21" t="s">
        <v>692</v>
      </c>
      <c r="AB734" s="21">
        <v>2</v>
      </c>
      <c r="AC734" s="21"/>
      <c r="AD734" s="21"/>
      <c r="AE734" s="21"/>
      <c r="AF734" s="21"/>
      <c r="AG734" s="21" t="s">
        <v>2554</v>
      </c>
      <c r="AH734" s="21"/>
      <c r="AI734" s="21"/>
      <c r="AJ734" s="22"/>
      <c r="AK734" s="22"/>
      <c r="AL734" s="21" t="str">
        <f>_xlfn.XLOOKUP(A:A,[1]TAGS!$A:$A,[1]TAGS!$BG:$BG)</f>
        <v>Não Montado</v>
      </c>
      <c r="AM734" s="21" t="s">
        <v>70</v>
      </c>
      <c r="AN734" s="22"/>
      <c r="AO734" s="21" t="str">
        <f>_xlfn.XLOOKUP(A:A,[1]TAGS!$A:$A,[1]TAGS!$BG:$BG)</f>
        <v>Não Montado</v>
      </c>
      <c r="AP734" s="21"/>
      <c r="AQ734" s="21"/>
      <c r="AR734" s="21"/>
      <c r="AS734" s="21"/>
      <c r="AT734" s="21"/>
      <c r="AU734" s="21"/>
    </row>
    <row r="735" spans="1:47" x14ac:dyDescent="0.35">
      <c r="A735" s="19" t="s">
        <v>2557</v>
      </c>
      <c r="B735" s="19" t="s">
        <v>52</v>
      </c>
      <c r="C735" s="19"/>
      <c r="D735" s="19" t="s">
        <v>53</v>
      </c>
      <c r="E735" s="19" t="s">
        <v>460</v>
      </c>
      <c r="F735" s="20" t="s">
        <v>55</v>
      </c>
      <c r="G735" s="20" t="s">
        <v>75</v>
      </c>
      <c r="H735" s="19" t="s">
        <v>2558</v>
      </c>
      <c r="I735" s="20" t="s">
        <v>58</v>
      </c>
      <c r="J735" s="20" t="s">
        <v>77</v>
      </c>
      <c r="K735" s="20" t="s">
        <v>2559</v>
      </c>
      <c r="L735" s="19" t="s">
        <v>61</v>
      </c>
      <c r="M735" s="19" t="s">
        <v>62</v>
      </c>
      <c r="N735" s="20" t="s">
        <v>63</v>
      </c>
      <c r="O735" s="19">
        <v>21</v>
      </c>
      <c r="P735" s="19">
        <v>3.73</v>
      </c>
      <c r="Q735" s="19">
        <v>1</v>
      </c>
      <c r="R735" s="20">
        <v>8</v>
      </c>
      <c r="S735" s="19">
        <v>6.6000000000000003E-2</v>
      </c>
      <c r="T735" s="19" t="s">
        <v>64</v>
      </c>
      <c r="U735" s="19" t="s">
        <v>65</v>
      </c>
      <c r="V735" s="19" t="s">
        <v>66</v>
      </c>
      <c r="W735" s="19" t="s">
        <v>67</v>
      </c>
      <c r="X735" s="19" t="s">
        <v>68</v>
      </c>
      <c r="Y735" s="21" t="s">
        <v>623</v>
      </c>
      <c r="Z735" s="21" t="s">
        <v>629</v>
      </c>
      <c r="AA735" s="21" t="s">
        <v>692</v>
      </c>
      <c r="AB735" s="21">
        <v>3</v>
      </c>
      <c r="AC735" s="21"/>
      <c r="AD735" s="21"/>
      <c r="AE735" s="21"/>
      <c r="AF735" s="21"/>
      <c r="AG735" s="21" t="s">
        <v>2557</v>
      </c>
      <c r="AH735" s="21"/>
      <c r="AI735" s="21"/>
      <c r="AJ735" s="22"/>
      <c r="AK735" s="22"/>
      <c r="AL735" s="21" t="str">
        <f>_xlfn.XLOOKUP(A:A,[1]TAGS!$A:$A,[1]TAGS!$BG:$BG)</f>
        <v>Não Montado</v>
      </c>
      <c r="AM735" s="21" t="s">
        <v>70</v>
      </c>
      <c r="AN735" s="22"/>
      <c r="AO735" s="21" t="str">
        <f>_xlfn.XLOOKUP(A:A,[1]TAGS!$A:$A,[1]TAGS!$BG:$BG)</f>
        <v>Não Montado</v>
      </c>
      <c r="AP735" s="21"/>
      <c r="AQ735" s="21"/>
      <c r="AR735" s="21"/>
      <c r="AS735" s="21"/>
      <c r="AT735" s="21"/>
      <c r="AU735" s="21"/>
    </row>
    <row r="736" spans="1:47" x14ac:dyDescent="0.35">
      <c r="A736" s="19" t="s">
        <v>2560</v>
      </c>
      <c r="B736" s="19" t="s">
        <v>52</v>
      </c>
      <c r="C736" s="19"/>
      <c r="D736" s="19" t="s">
        <v>53</v>
      </c>
      <c r="E736" s="19" t="s">
        <v>460</v>
      </c>
      <c r="F736" s="20" t="s">
        <v>55</v>
      </c>
      <c r="G736" s="20" t="s">
        <v>75</v>
      </c>
      <c r="H736" s="19" t="s">
        <v>2561</v>
      </c>
      <c r="I736" s="20" t="s">
        <v>58</v>
      </c>
      <c r="J736" s="20" t="s">
        <v>77</v>
      </c>
      <c r="K736" s="20" t="s">
        <v>2562</v>
      </c>
      <c r="L736" s="19" t="s">
        <v>61</v>
      </c>
      <c r="M736" s="19" t="s">
        <v>62</v>
      </c>
      <c r="N736" s="20" t="s">
        <v>63</v>
      </c>
      <c r="O736" s="19">
        <v>21</v>
      </c>
      <c r="P736" s="19">
        <v>3.73</v>
      </c>
      <c r="Q736" s="19">
        <v>1</v>
      </c>
      <c r="R736" s="20">
        <v>8</v>
      </c>
      <c r="S736" s="19">
        <v>6.6000000000000003E-2</v>
      </c>
      <c r="T736" s="19" t="s">
        <v>64</v>
      </c>
      <c r="U736" s="19" t="s">
        <v>65</v>
      </c>
      <c r="V736" s="19" t="s">
        <v>66</v>
      </c>
      <c r="W736" s="19" t="s">
        <v>67</v>
      </c>
      <c r="X736" s="19" t="s">
        <v>68</v>
      </c>
      <c r="Y736" s="21" t="s">
        <v>623</v>
      </c>
      <c r="Z736" s="21" t="s">
        <v>2563</v>
      </c>
      <c r="AA736" s="21" t="s">
        <v>692</v>
      </c>
      <c r="AB736" s="21">
        <v>4</v>
      </c>
      <c r="AC736" s="21"/>
      <c r="AD736" s="21"/>
      <c r="AE736" s="21"/>
      <c r="AF736" s="21"/>
      <c r="AG736" s="21" t="s">
        <v>2560</v>
      </c>
      <c r="AH736" s="21"/>
      <c r="AI736" s="21"/>
      <c r="AJ736" s="22"/>
      <c r="AK736" s="22"/>
      <c r="AL736" s="21" t="str">
        <f>_xlfn.XLOOKUP(A:A,[1]TAGS!$A:$A,[1]TAGS!$BG:$BG)</f>
        <v>Não Montado</v>
      </c>
      <c r="AM736" s="21" t="s">
        <v>70</v>
      </c>
      <c r="AN736" s="22"/>
      <c r="AO736" s="21" t="str">
        <f>_xlfn.XLOOKUP(A:A,[1]TAGS!$A:$A,[1]TAGS!$BG:$BG)</f>
        <v>Não Montado</v>
      </c>
      <c r="AP736" s="21"/>
      <c r="AQ736" s="21"/>
      <c r="AR736" s="21"/>
      <c r="AS736" s="21"/>
      <c r="AT736" s="21"/>
      <c r="AU736" s="21"/>
    </row>
    <row r="737" spans="1:47" x14ac:dyDescent="0.35">
      <c r="A737" s="19" t="s">
        <v>2564</v>
      </c>
      <c r="B737" s="19" t="s">
        <v>52</v>
      </c>
      <c r="C737" s="19"/>
      <c r="D737" s="19" t="s">
        <v>53</v>
      </c>
      <c r="E737" s="19" t="s">
        <v>460</v>
      </c>
      <c r="F737" s="20" t="s">
        <v>55</v>
      </c>
      <c r="G737" s="20" t="s">
        <v>75</v>
      </c>
      <c r="H737" s="19" t="s">
        <v>2565</v>
      </c>
      <c r="I737" s="20" t="s">
        <v>58</v>
      </c>
      <c r="J737" s="20" t="s">
        <v>77</v>
      </c>
      <c r="K737" s="20" t="s">
        <v>2566</v>
      </c>
      <c r="L737" s="19" t="s">
        <v>61</v>
      </c>
      <c r="M737" s="19" t="s">
        <v>62</v>
      </c>
      <c r="N737" s="20" t="s">
        <v>63</v>
      </c>
      <c r="O737" s="19">
        <v>21</v>
      </c>
      <c r="P737" s="19">
        <v>3.73</v>
      </c>
      <c r="Q737" s="19">
        <v>1</v>
      </c>
      <c r="R737" s="20">
        <v>8</v>
      </c>
      <c r="S737" s="19">
        <v>6.6000000000000003E-2</v>
      </c>
      <c r="T737" s="19" t="s">
        <v>64</v>
      </c>
      <c r="U737" s="19" t="s">
        <v>65</v>
      </c>
      <c r="V737" s="19" t="s">
        <v>66</v>
      </c>
      <c r="W737" s="19" t="s">
        <v>67</v>
      </c>
      <c r="X737" s="19" t="s">
        <v>68</v>
      </c>
      <c r="Y737" s="21" t="s">
        <v>623</v>
      </c>
      <c r="Z737" s="21" t="s">
        <v>2563</v>
      </c>
      <c r="AA737" s="21" t="s">
        <v>692</v>
      </c>
      <c r="AB737" s="21">
        <v>5</v>
      </c>
      <c r="AC737" s="21"/>
      <c r="AD737" s="21"/>
      <c r="AE737" s="21"/>
      <c r="AF737" s="21"/>
      <c r="AG737" s="21" t="s">
        <v>2564</v>
      </c>
      <c r="AH737" s="21"/>
      <c r="AI737" s="21"/>
      <c r="AJ737" s="22"/>
      <c r="AK737" s="22"/>
      <c r="AL737" s="21" t="str">
        <f>_xlfn.XLOOKUP(A:A,[1]TAGS!$A:$A,[1]TAGS!$BG:$BG)</f>
        <v>Não Montado</v>
      </c>
      <c r="AM737" s="21" t="s">
        <v>70</v>
      </c>
      <c r="AN737" s="22"/>
      <c r="AO737" s="21" t="str">
        <f>_xlfn.XLOOKUP(A:A,[1]TAGS!$A:$A,[1]TAGS!$BG:$BG)</f>
        <v>Não Montado</v>
      </c>
      <c r="AP737" s="21"/>
      <c r="AQ737" s="21"/>
      <c r="AR737" s="21"/>
      <c r="AS737" s="21"/>
      <c r="AT737" s="21"/>
      <c r="AU737" s="21"/>
    </row>
    <row r="738" spans="1:47" x14ac:dyDescent="0.35">
      <c r="A738" s="19" t="s">
        <v>2567</v>
      </c>
      <c r="B738" s="19" t="s">
        <v>52</v>
      </c>
      <c r="C738" s="19"/>
      <c r="D738" s="19" t="s">
        <v>53</v>
      </c>
      <c r="E738" s="19" t="s">
        <v>460</v>
      </c>
      <c r="F738" s="20" t="s">
        <v>55</v>
      </c>
      <c r="G738" s="20" t="s">
        <v>75</v>
      </c>
      <c r="H738" s="19" t="s">
        <v>2568</v>
      </c>
      <c r="I738" s="20" t="s">
        <v>58</v>
      </c>
      <c r="J738" s="20" t="s">
        <v>77</v>
      </c>
      <c r="K738" s="20" t="s">
        <v>2569</v>
      </c>
      <c r="L738" s="19" t="s">
        <v>61</v>
      </c>
      <c r="M738" s="19" t="s">
        <v>62</v>
      </c>
      <c r="N738" s="20" t="s">
        <v>63</v>
      </c>
      <c r="O738" s="19">
        <v>21</v>
      </c>
      <c r="P738" s="19">
        <v>3.73</v>
      </c>
      <c r="Q738" s="19">
        <v>1</v>
      </c>
      <c r="R738" s="20">
        <v>8</v>
      </c>
      <c r="S738" s="19">
        <v>6.6000000000000003E-2</v>
      </c>
      <c r="T738" s="19" t="s">
        <v>64</v>
      </c>
      <c r="U738" s="19" t="s">
        <v>65</v>
      </c>
      <c r="V738" s="19" t="s">
        <v>66</v>
      </c>
      <c r="W738" s="19" t="s">
        <v>67</v>
      </c>
      <c r="X738" s="19" t="s">
        <v>68</v>
      </c>
      <c r="Y738" s="21" t="s">
        <v>623</v>
      </c>
      <c r="Z738" s="21" t="s">
        <v>2570</v>
      </c>
      <c r="AA738" s="21" t="s">
        <v>692</v>
      </c>
      <c r="AB738" s="21">
        <v>5</v>
      </c>
      <c r="AC738" s="21"/>
      <c r="AD738" s="21"/>
      <c r="AE738" s="21"/>
      <c r="AF738" s="21"/>
      <c r="AG738" s="21" t="s">
        <v>2567</v>
      </c>
      <c r="AH738" s="21"/>
      <c r="AI738" s="21"/>
      <c r="AJ738" s="22"/>
      <c r="AK738" s="22"/>
      <c r="AL738" s="21" t="str">
        <f>_xlfn.XLOOKUP(A:A,[1]TAGS!$A:$A,[1]TAGS!$BG:$BG)</f>
        <v>Não Montado</v>
      </c>
      <c r="AM738" s="21" t="s">
        <v>70</v>
      </c>
      <c r="AN738" s="22"/>
      <c r="AO738" s="21" t="str">
        <f>_xlfn.XLOOKUP(A:A,[1]TAGS!$A:$A,[1]TAGS!$BG:$BG)</f>
        <v>Não Montado</v>
      </c>
      <c r="AP738" s="21"/>
      <c r="AQ738" s="21"/>
      <c r="AR738" s="21"/>
      <c r="AS738" s="21"/>
      <c r="AT738" s="21"/>
      <c r="AU738" s="21"/>
    </row>
    <row r="739" spans="1:47" x14ac:dyDescent="0.35">
      <c r="A739" s="19" t="s">
        <v>2571</v>
      </c>
      <c r="B739" s="19" t="s">
        <v>52</v>
      </c>
      <c r="C739" s="19"/>
      <c r="D739" s="19" t="s">
        <v>53</v>
      </c>
      <c r="E739" s="19" t="s">
        <v>460</v>
      </c>
      <c r="F739" s="20" t="s">
        <v>397</v>
      </c>
      <c r="G739" s="20" t="s">
        <v>398</v>
      </c>
      <c r="H739" s="19" t="s">
        <v>2572</v>
      </c>
      <c r="I739" s="20" t="s">
        <v>58</v>
      </c>
      <c r="J739" s="20" t="s">
        <v>400</v>
      </c>
      <c r="K739" s="20" t="s">
        <v>2573</v>
      </c>
      <c r="L739" s="19" t="s">
        <v>61</v>
      </c>
      <c r="M739" s="19" t="s">
        <v>62</v>
      </c>
      <c r="N739" s="20" t="s">
        <v>63</v>
      </c>
      <c r="O739" s="19">
        <v>21</v>
      </c>
      <c r="P739" s="19">
        <v>3.73</v>
      </c>
      <c r="Q739" s="19">
        <v>1</v>
      </c>
      <c r="R739" s="20">
        <v>8</v>
      </c>
      <c r="S739" s="19">
        <v>6.6000000000000003E-2</v>
      </c>
      <c r="T739" s="19" t="s">
        <v>64</v>
      </c>
      <c r="U739" s="19" t="s">
        <v>65</v>
      </c>
      <c r="V739" s="19" t="s">
        <v>66</v>
      </c>
      <c r="W739" s="19" t="s">
        <v>67</v>
      </c>
      <c r="X739" s="19" t="s">
        <v>68</v>
      </c>
      <c r="Y739" s="21" t="s">
        <v>623</v>
      </c>
      <c r="Z739" s="21" t="s">
        <v>629</v>
      </c>
      <c r="AA739" s="21" t="s">
        <v>692</v>
      </c>
      <c r="AB739" s="21">
        <v>4</v>
      </c>
      <c r="AC739" s="21"/>
      <c r="AD739" s="21"/>
      <c r="AE739" s="21"/>
      <c r="AF739" s="21"/>
      <c r="AG739" s="21" t="s">
        <v>2571</v>
      </c>
      <c r="AH739" s="21"/>
      <c r="AI739" s="21"/>
      <c r="AJ739" s="22"/>
      <c r="AK739" s="22"/>
      <c r="AL739" s="21" t="str">
        <f>_xlfn.XLOOKUP(A:A,[1]TAGS!$A:$A,[1]TAGS!$BG:$BG)</f>
        <v>Não Montado</v>
      </c>
      <c r="AM739" s="21" t="s">
        <v>70</v>
      </c>
      <c r="AN739" s="22"/>
      <c r="AO739" s="21" t="str">
        <f>_xlfn.XLOOKUP(A:A,[1]TAGS!$A:$A,[1]TAGS!$BG:$BG)</f>
        <v>Não Montado</v>
      </c>
      <c r="AP739" s="21"/>
      <c r="AQ739" s="21"/>
      <c r="AR739" s="21"/>
      <c r="AS739" s="21"/>
      <c r="AT739" s="21"/>
      <c r="AU739" s="21"/>
    </row>
    <row r="740" spans="1:47" x14ac:dyDescent="0.35">
      <c r="A740" s="19" t="s">
        <v>2574</v>
      </c>
      <c r="B740" s="19" t="s">
        <v>52</v>
      </c>
      <c r="C740" s="19"/>
      <c r="D740" s="19" t="s">
        <v>53</v>
      </c>
      <c r="E740" s="19" t="s">
        <v>460</v>
      </c>
      <c r="F740" s="20" t="s">
        <v>370</v>
      </c>
      <c r="G740" s="20" t="s">
        <v>371</v>
      </c>
      <c r="H740" s="19" t="s">
        <v>2575</v>
      </c>
      <c r="I740" s="20" t="s">
        <v>58</v>
      </c>
      <c r="J740" s="20" t="s">
        <v>373</v>
      </c>
      <c r="K740" s="20" t="s">
        <v>2576</v>
      </c>
      <c r="L740" s="19" t="s">
        <v>61</v>
      </c>
      <c r="M740" s="19" t="s">
        <v>62</v>
      </c>
      <c r="N740" s="19" t="s">
        <v>683</v>
      </c>
      <c r="O740" s="19">
        <v>21</v>
      </c>
      <c r="P740" s="19">
        <v>3.73</v>
      </c>
      <c r="Q740" s="19">
        <v>1</v>
      </c>
      <c r="R740" s="20">
        <v>8</v>
      </c>
      <c r="S740" s="19">
        <v>6.6000000000000003E-2</v>
      </c>
      <c r="T740" s="19" t="s">
        <v>64</v>
      </c>
      <c r="U740" s="19" t="s">
        <v>65</v>
      </c>
      <c r="V740" s="19" t="s">
        <v>66</v>
      </c>
      <c r="W740" s="19" t="s">
        <v>67</v>
      </c>
      <c r="X740" s="19" t="s">
        <v>68</v>
      </c>
      <c r="Y740" s="21" t="s">
        <v>623</v>
      </c>
      <c r="Z740" s="21" t="s">
        <v>2563</v>
      </c>
      <c r="AA740" s="21" t="s">
        <v>692</v>
      </c>
      <c r="AB740" s="21">
        <v>1</v>
      </c>
      <c r="AC740" s="21"/>
      <c r="AD740" s="21"/>
      <c r="AE740" s="21"/>
      <c r="AF740" s="21"/>
      <c r="AG740" s="21" t="s">
        <v>2574</v>
      </c>
      <c r="AH740" s="21"/>
      <c r="AI740" s="21"/>
      <c r="AJ740" s="22"/>
      <c r="AK740" s="22"/>
      <c r="AL740" s="21" t="str">
        <f>_xlfn.XLOOKUP(A:A,[1]TAGS!$A:$A,[1]TAGS!$BG:$BG)</f>
        <v>Não Montado</v>
      </c>
      <c r="AM740" s="21" t="s">
        <v>70</v>
      </c>
      <c r="AN740" s="22"/>
      <c r="AO740" s="21" t="str">
        <f>_xlfn.XLOOKUP(A:A,[1]TAGS!$A:$A,[1]TAGS!$BG:$BG)</f>
        <v>Não Montado</v>
      </c>
      <c r="AP740" s="21"/>
      <c r="AQ740" s="21"/>
      <c r="AR740" s="21"/>
      <c r="AS740" s="21"/>
      <c r="AT740" s="21"/>
      <c r="AU740" s="21"/>
    </row>
    <row r="741" spans="1:47" x14ac:dyDescent="0.35">
      <c r="A741" s="19" t="s">
        <v>2577</v>
      </c>
      <c r="B741" s="19" t="s">
        <v>52</v>
      </c>
      <c r="C741" s="19"/>
      <c r="D741" s="19" t="s">
        <v>53</v>
      </c>
      <c r="E741" s="19" t="s">
        <v>460</v>
      </c>
      <c r="F741" s="20" t="s">
        <v>370</v>
      </c>
      <c r="G741" s="20" t="s">
        <v>371</v>
      </c>
      <c r="H741" s="19" t="s">
        <v>2578</v>
      </c>
      <c r="I741" s="20" t="s">
        <v>58</v>
      </c>
      <c r="J741" s="20" t="s">
        <v>373</v>
      </c>
      <c r="K741" s="20" t="s">
        <v>2579</v>
      </c>
      <c r="L741" s="19" t="s">
        <v>61</v>
      </c>
      <c r="M741" s="19" t="s">
        <v>62</v>
      </c>
      <c r="N741" s="19" t="s">
        <v>683</v>
      </c>
      <c r="O741" s="19">
        <v>21</v>
      </c>
      <c r="P741" s="19">
        <v>3.73</v>
      </c>
      <c r="Q741" s="19">
        <v>1</v>
      </c>
      <c r="R741" s="20">
        <v>8</v>
      </c>
      <c r="S741" s="19">
        <v>6.6000000000000003E-2</v>
      </c>
      <c r="T741" s="19" t="s">
        <v>64</v>
      </c>
      <c r="U741" s="19" t="s">
        <v>65</v>
      </c>
      <c r="V741" s="19" t="s">
        <v>66</v>
      </c>
      <c r="W741" s="19" t="s">
        <v>67</v>
      </c>
      <c r="X741" s="19" t="s">
        <v>68</v>
      </c>
      <c r="Y741" s="21" t="s">
        <v>623</v>
      </c>
      <c r="Z741" s="21" t="s">
        <v>2563</v>
      </c>
      <c r="AA741" s="21" t="s">
        <v>692</v>
      </c>
      <c r="AB741" s="21">
        <v>2</v>
      </c>
      <c r="AC741" s="21"/>
      <c r="AD741" s="21"/>
      <c r="AE741" s="21"/>
      <c r="AF741" s="21"/>
      <c r="AG741" s="21" t="s">
        <v>2577</v>
      </c>
      <c r="AH741" s="21"/>
      <c r="AI741" s="21"/>
      <c r="AJ741" s="22"/>
      <c r="AK741" s="22"/>
      <c r="AL741" s="21" t="str">
        <f>_xlfn.XLOOKUP(A:A,[1]TAGS!$A:$A,[1]TAGS!$BG:$BG)</f>
        <v>Não Montado</v>
      </c>
      <c r="AM741" s="21" t="s">
        <v>70</v>
      </c>
      <c r="AN741" s="22"/>
      <c r="AO741" s="21" t="str">
        <f>_xlfn.XLOOKUP(A:A,[1]TAGS!$A:$A,[1]TAGS!$BG:$BG)</f>
        <v>Não Montado</v>
      </c>
      <c r="AP741" s="21"/>
      <c r="AQ741" s="21"/>
      <c r="AR741" s="21"/>
      <c r="AS741" s="21"/>
      <c r="AT741" s="21"/>
      <c r="AU741" s="21"/>
    </row>
    <row r="742" spans="1:47" x14ac:dyDescent="0.35">
      <c r="A742" s="19" t="s">
        <v>2580</v>
      </c>
      <c r="B742" s="19" t="s">
        <v>52</v>
      </c>
      <c r="C742" s="19"/>
      <c r="D742" s="19" t="s">
        <v>53</v>
      </c>
      <c r="E742" s="19" t="s">
        <v>460</v>
      </c>
      <c r="F742" s="20" t="s">
        <v>370</v>
      </c>
      <c r="G742" s="20" t="s">
        <v>371</v>
      </c>
      <c r="H742" s="19" t="s">
        <v>2581</v>
      </c>
      <c r="I742" s="20" t="s">
        <v>58</v>
      </c>
      <c r="J742" s="20" t="s">
        <v>373</v>
      </c>
      <c r="K742" s="20" t="s">
        <v>2582</v>
      </c>
      <c r="L742" s="19" t="s">
        <v>61</v>
      </c>
      <c r="M742" s="19" t="s">
        <v>62</v>
      </c>
      <c r="N742" s="19" t="s">
        <v>683</v>
      </c>
      <c r="O742" s="19">
        <v>21</v>
      </c>
      <c r="P742" s="19">
        <v>3.73</v>
      </c>
      <c r="Q742" s="19">
        <v>1</v>
      </c>
      <c r="R742" s="20">
        <v>8</v>
      </c>
      <c r="S742" s="19">
        <v>6.6000000000000003E-2</v>
      </c>
      <c r="T742" s="19" t="s">
        <v>64</v>
      </c>
      <c r="U742" s="19" t="s">
        <v>65</v>
      </c>
      <c r="V742" s="19" t="s">
        <v>66</v>
      </c>
      <c r="W742" s="19" t="s">
        <v>67</v>
      </c>
      <c r="X742" s="19" t="s">
        <v>68</v>
      </c>
      <c r="Y742" s="21" t="s">
        <v>623</v>
      </c>
      <c r="Z742" s="21" t="s">
        <v>2563</v>
      </c>
      <c r="AA742" s="21" t="s">
        <v>692</v>
      </c>
      <c r="AB742" s="21">
        <v>3</v>
      </c>
      <c r="AC742" s="21"/>
      <c r="AD742" s="21"/>
      <c r="AE742" s="21"/>
      <c r="AF742" s="21"/>
      <c r="AG742" s="21" t="s">
        <v>2580</v>
      </c>
      <c r="AH742" s="21"/>
      <c r="AI742" s="21"/>
      <c r="AJ742" s="22"/>
      <c r="AK742" s="22"/>
      <c r="AL742" s="21" t="str">
        <f>_xlfn.XLOOKUP(A:A,[1]TAGS!$A:$A,[1]TAGS!$BG:$BG)</f>
        <v>Não Montado</v>
      </c>
      <c r="AM742" s="21" t="s">
        <v>70</v>
      </c>
      <c r="AN742" s="22"/>
      <c r="AO742" s="21" t="str">
        <f>_xlfn.XLOOKUP(A:A,[1]TAGS!$A:$A,[1]TAGS!$BG:$BG)</f>
        <v>Não Montado</v>
      </c>
      <c r="AP742" s="21"/>
      <c r="AQ742" s="21"/>
      <c r="AR742" s="21"/>
      <c r="AS742" s="21"/>
      <c r="AT742" s="21"/>
      <c r="AU742" s="21"/>
    </row>
    <row r="743" spans="1:47" x14ac:dyDescent="0.35">
      <c r="A743" s="19" t="s">
        <v>2583</v>
      </c>
      <c r="B743" s="19" t="s">
        <v>52</v>
      </c>
      <c r="C743" s="19"/>
      <c r="D743" s="19" t="s">
        <v>53</v>
      </c>
      <c r="E743" s="19" t="s">
        <v>460</v>
      </c>
      <c r="F743" s="20" t="s">
        <v>370</v>
      </c>
      <c r="G743" s="20" t="s">
        <v>371</v>
      </c>
      <c r="H743" s="19" t="s">
        <v>2584</v>
      </c>
      <c r="I743" s="20" t="s">
        <v>58</v>
      </c>
      <c r="J743" s="20" t="s">
        <v>373</v>
      </c>
      <c r="K743" s="20" t="s">
        <v>2585</v>
      </c>
      <c r="L743" s="19" t="s">
        <v>61</v>
      </c>
      <c r="M743" s="19" t="s">
        <v>62</v>
      </c>
      <c r="N743" s="19" t="s">
        <v>683</v>
      </c>
      <c r="O743" s="19">
        <v>21</v>
      </c>
      <c r="P743" s="19">
        <v>3.73</v>
      </c>
      <c r="Q743" s="19">
        <v>1</v>
      </c>
      <c r="R743" s="20">
        <v>8</v>
      </c>
      <c r="S743" s="19">
        <v>6.6000000000000003E-2</v>
      </c>
      <c r="T743" s="19" t="s">
        <v>64</v>
      </c>
      <c r="U743" s="19" t="s">
        <v>65</v>
      </c>
      <c r="V743" s="19" t="s">
        <v>66</v>
      </c>
      <c r="W743" s="19" t="s">
        <v>67</v>
      </c>
      <c r="X743" s="19" t="s">
        <v>68</v>
      </c>
      <c r="Y743" s="21" t="s">
        <v>623</v>
      </c>
      <c r="Z743" s="21" t="s">
        <v>2570</v>
      </c>
      <c r="AA743" s="21" t="s">
        <v>692</v>
      </c>
      <c r="AB743" s="21">
        <v>1</v>
      </c>
      <c r="AC743" s="21"/>
      <c r="AD743" s="21"/>
      <c r="AE743" s="21"/>
      <c r="AF743" s="21"/>
      <c r="AG743" s="21" t="s">
        <v>2583</v>
      </c>
      <c r="AH743" s="21"/>
      <c r="AI743" s="21"/>
      <c r="AJ743" s="22"/>
      <c r="AK743" s="22"/>
      <c r="AL743" s="21" t="str">
        <f>_xlfn.XLOOKUP(A:A,[1]TAGS!$A:$A,[1]TAGS!$BG:$BG)</f>
        <v>Não Montado</v>
      </c>
      <c r="AM743" s="21" t="s">
        <v>70</v>
      </c>
      <c r="AN743" s="22"/>
      <c r="AO743" s="21" t="str">
        <f>_xlfn.XLOOKUP(A:A,[1]TAGS!$A:$A,[1]TAGS!$BG:$BG)</f>
        <v>Não Montado</v>
      </c>
      <c r="AP743" s="21"/>
      <c r="AQ743" s="21"/>
      <c r="AR743" s="21"/>
      <c r="AS743" s="21"/>
      <c r="AT743" s="21"/>
      <c r="AU743" s="21"/>
    </row>
    <row r="744" spans="1:47" x14ac:dyDescent="0.35">
      <c r="A744" s="19" t="s">
        <v>2586</v>
      </c>
      <c r="B744" s="19" t="s">
        <v>52</v>
      </c>
      <c r="C744" s="19"/>
      <c r="D744" s="19" t="s">
        <v>53</v>
      </c>
      <c r="E744" s="19" t="s">
        <v>460</v>
      </c>
      <c r="F744" s="20" t="s">
        <v>370</v>
      </c>
      <c r="G744" s="20" t="s">
        <v>371</v>
      </c>
      <c r="H744" s="19" t="s">
        <v>2587</v>
      </c>
      <c r="I744" s="20" t="s">
        <v>58</v>
      </c>
      <c r="J744" s="20" t="s">
        <v>373</v>
      </c>
      <c r="K744" s="20" t="s">
        <v>2588</v>
      </c>
      <c r="L744" s="19" t="s">
        <v>61</v>
      </c>
      <c r="M744" s="19" t="s">
        <v>62</v>
      </c>
      <c r="N744" s="19" t="s">
        <v>683</v>
      </c>
      <c r="O744" s="19">
        <v>21</v>
      </c>
      <c r="P744" s="19">
        <v>3.73</v>
      </c>
      <c r="Q744" s="19">
        <v>1</v>
      </c>
      <c r="R744" s="20">
        <v>8</v>
      </c>
      <c r="S744" s="19">
        <v>6.6000000000000003E-2</v>
      </c>
      <c r="T744" s="19" t="s">
        <v>64</v>
      </c>
      <c r="U744" s="19" t="s">
        <v>65</v>
      </c>
      <c r="V744" s="19" t="s">
        <v>66</v>
      </c>
      <c r="W744" s="19" t="s">
        <v>67</v>
      </c>
      <c r="X744" s="19" t="s">
        <v>68</v>
      </c>
      <c r="Y744" s="21" t="s">
        <v>623</v>
      </c>
      <c r="Z744" s="21" t="s">
        <v>2570</v>
      </c>
      <c r="AA744" s="21" t="s">
        <v>625</v>
      </c>
      <c r="AB744" s="21">
        <v>1</v>
      </c>
      <c r="AC744" s="21"/>
      <c r="AD744" s="21"/>
      <c r="AE744" s="21"/>
      <c r="AF744" s="21"/>
      <c r="AG744" s="21" t="s">
        <v>2586</v>
      </c>
      <c r="AH744" s="21"/>
      <c r="AI744" s="21"/>
      <c r="AJ744" s="22"/>
      <c r="AK744" s="22"/>
      <c r="AL744" s="21" t="str">
        <f>_xlfn.XLOOKUP(A:A,[1]TAGS!$A:$A,[1]TAGS!$BG:$BG)</f>
        <v>Não Montado</v>
      </c>
      <c r="AM744" s="21" t="s">
        <v>70</v>
      </c>
      <c r="AN744" s="22"/>
      <c r="AO744" s="21" t="str">
        <f>_xlfn.XLOOKUP(A:A,[1]TAGS!$A:$A,[1]TAGS!$BG:$BG)</f>
        <v>Não Montado</v>
      </c>
      <c r="AP744" s="21"/>
      <c r="AQ744" s="21"/>
      <c r="AR744" s="21"/>
      <c r="AS744" s="21"/>
      <c r="AT744" s="21"/>
      <c r="AU744" s="21"/>
    </row>
    <row r="745" spans="1:47" x14ac:dyDescent="0.35">
      <c r="A745" s="19" t="s">
        <v>2589</v>
      </c>
      <c r="B745" s="19" t="s">
        <v>52</v>
      </c>
      <c r="C745" s="19"/>
      <c r="D745" s="19" t="s">
        <v>53</v>
      </c>
      <c r="E745" s="19" t="s">
        <v>460</v>
      </c>
      <c r="F745" s="20" t="s">
        <v>370</v>
      </c>
      <c r="G745" s="20" t="s">
        <v>371</v>
      </c>
      <c r="H745" s="19" t="s">
        <v>2590</v>
      </c>
      <c r="I745" s="20" t="s">
        <v>58</v>
      </c>
      <c r="J745" s="20" t="s">
        <v>373</v>
      </c>
      <c r="K745" s="20" t="s">
        <v>2591</v>
      </c>
      <c r="L745" s="19" t="s">
        <v>61</v>
      </c>
      <c r="M745" s="19" t="s">
        <v>62</v>
      </c>
      <c r="N745" s="19" t="s">
        <v>683</v>
      </c>
      <c r="O745" s="19">
        <v>21</v>
      </c>
      <c r="P745" s="19">
        <v>3.73</v>
      </c>
      <c r="Q745" s="19">
        <v>1</v>
      </c>
      <c r="R745" s="20">
        <v>8</v>
      </c>
      <c r="S745" s="19">
        <v>6.6000000000000003E-2</v>
      </c>
      <c r="T745" s="19" t="s">
        <v>64</v>
      </c>
      <c r="U745" s="19" t="s">
        <v>65</v>
      </c>
      <c r="V745" s="19" t="s">
        <v>66</v>
      </c>
      <c r="W745" s="19" t="s">
        <v>67</v>
      </c>
      <c r="X745" s="19" t="s">
        <v>68</v>
      </c>
      <c r="Y745" s="21" t="s">
        <v>623</v>
      </c>
      <c r="Z745" s="21" t="s">
        <v>2592</v>
      </c>
      <c r="AA745" s="21" t="s">
        <v>692</v>
      </c>
      <c r="AB745" s="21">
        <v>1</v>
      </c>
      <c r="AC745" s="21"/>
      <c r="AD745" s="21"/>
      <c r="AE745" s="21"/>
      <c r="AF745" s="21"/>
      <c r="AG745" s="21" t="s">
        <v>2589</v>
      </c>
      <c r="AH745" s="21"/>
      <c r="AI745" s="21"/>
      <c r="AJ745" s="22"/>
      <c r="AK745" s="22"/>
      <c r="AL745" s="21" t="str">
        <f>_xlfn.XLOOKUP(A:A,[1]TAGS!$A:$A,[1]TAGS!$BG:$BG)</f>
        <v>Não Montado</v>
      </c>
      <c r="AM745" s="21" t="s">
        <v>70</v>
      </c>
      <c r="AN745" s="22"/>
      <c r="AO745" s="21" t="str">
        <f>_xlfn.XLOOKUP(A:A,[1]TAGS!$A:$A,[1]TAGS!$BG:$BG)</f>
        <v>Não Montado</v>
      </c>
      <c r="AP745" s="21"/>
      <c r="AQ745" s="21"/>
      <c r="AR745" s="21"/>
      <c r="AS745" s="21"/>
      <c r="AT745" s="21"/>
      <c r="AU745" s="21"/>
    </row>
    <row r="746" spans="1:47" x14ac:dyDescent="0.35">
      <c r="A746" s="19" t="s">
        <v>2593</v>
      </c>
      <c r="B746" s="19" t="s">
        <v>52</v>
      </c>
      <c r="C746" s="19"/>
      <c r="D746" s="19" t="s">
        <v>53</v>
      </c>
      <c r="E746" s="19" t="s">
        <v>460</v>
      </c>
      <c r="F746" s="20" t="s">
        <v>370</v>
      </c>
      <c r="G746" s="20" t="s">
        <v>371</v>
      </c>
      <c r="H746" s="19" t="s">
        <v>2594</v>
      </c>
      <c r="I746" s="20" t="s">
        <v>58</v>
      </c>
      <c r="J746" s="20" t="s">
        <v>373</v>
      </c>
      <c r="K746" s="20" t="s">
        <v>2595</v>
      </c>
      <c r="L746" s="19" t="s">
        <v>61</v>
      </c>
      <c r="M746" s="19" t="s">
        <v>62</v>
      </c>
      <c r="N746" s="20" t="s">
        <v>63</v>
      </c>
      <c r="O746" s="19">
        <v>21</v>
      </c>
      <c r="P746" s="19">
        <v>3.73</v>
      </c>
      <c r="Q746" s="19">
        <v>1</v>
      </c>
      <c r="R746" s="20">
        <v>8</v>
      </c>
      <c r="S746" s="19">
        <v>6.6000000000000003E-2</v>
      </c>
      <c r="T746" s="19" t="s">
        <v>64</v>
      </c>
      <c r="U746" s="19" t="s">
        <v>65</v>
      </c>
      <c r="V746" s="19" t="s">
        <v>66</v>
      </c>
      <c r="W746" s="19" t="s">
        <v>67</v>
      </c>
      <c r="X746" s="19" t="s">
        <v>68</v>
      </c>
      <c r="Y746" s="21" t="s">
        <v>623</v>
      </c>
      <c r="Z746" s="21" t="s">
        <v>2592</v>
      </c>
      <c r="AA746" s="21" t="s">
        <v>625</v>
      </c>
      <c r="AB746" s="21">
        <v>1</v>
      </c>
      <c r="AC746" s="21"/>
      <c r="AD746" s="21"/>
      <c r="AE746" s="21"/>
      <c r="AF746" s="21"/>
      <c r="AG746" s="21" t="s">
        <v>2593</v>
      </c>
      <c r="AH746" s="21"/>
      <c r="AI746" s="21"/>
      <c r="AJ746" s="22"/>
      <c r="AK746" s="22"/>
      <c r="AL746" s="21" t="str">
        <f>_xlfn.XLOOKUP(A:A,[1]TAGS!$A:$A,[1]TAGS!$BG:$BG)</f>
        <v>Não Montado</v>
      </c>
      <c r="AM746" s="21" t="s">
        <v>70</v>
      </c>
      <c r="AN746" s="22"/>
      <c r="AO746" s="21" t="str">
        <f>_xlfn.XLOOKUP(A:A,[1]TAGS!$A:$A,[1]TAGS!$BG:$BG)</f>
        <v>Não Montado</v>
      </c>
      <c r="AP746" s="21"/>
      <c r="AQ746" s="21"/>
      <c r="AR746" s="21"/>
      <c r="AS746" s="21"/>
      <c r="AT746" s="21"/>
      <c r="AU746" s="21"/>
    </row>
    <row r="747" spans="1:47" x14ac:dyDescent="0.35">
      <c r="A747" s="19" t="s">
        <v>2596</v>
      </c>
      <c r="B747" s="19" t="s">
        <v>52</v>
      </c>
      <c r="C747" s="19"/>
      <c r="D747" s="19" t="s">
        <v>53</v>
      </c>
      <c r="E747" s="19" t="s">
        <v>460</v>
      </c>
      <c r="F747" s="20" t="s">
        <v>370</v>
      </c>
      <c r="G747" s="20" t="s">
        <v>371</v>
      </c>
      <c r="H747" s="19" t="s">
        <v>2597</v>
      </c>
      <c r="I747" s="20" t="s">
        <v>58</v>
      </c>
      <c r="J747" s="20" t="s">
        <v>373</v>
      </c>
      <c r="K747" s="20" t="s">
        <v>2598</v>
      </c>
      <c r="L747" s="19" t="s">
        <v>61</v>
      </c>
      <c r="M747" s="19" t="s">
        <v>62</v>
      </c>
      <c r="N747" s="19" t="s">
        <v>683</v>
      </c>
      <c r="O747" s="19">
        <v>21</v>
      </c>
      <c r="P747" s="19">
        <v>3.73</v>
      </c>
      <c r="Q747" s="19">
        <v>1</v>
      </c>
      <c r="R747" s="20">
        <v>8</v>
      </c>
      <c r="S747" s="19">
        <v>6.6000000000000003E-2</v>
      </c>
      <c r="T747" s="19" t="s">
        <v>64</v>
      </c>
      <c r="U747" s="19" t="s">
        <v>65</v>
      </c>
      <c r="V747" s="19" t="s">
        <v>66</v>
      </c>
      <c r="W747" s="19" t="s">
        <v>67</v>
      </c>
      <c r="X747" s="19" t="s">
        <v>68</v>
      </c>
      <c r="Y747" s="21" t="s">
        <v>623</v>
      </c>
      <c r="Z747" s="21" t="s">
        <v>2599</v>
      </c>
      <c r="AA747" s="21" t="s">
        <v>692</v>
      </c>
      <c r="AB747" s="21">
        <v>1</v>
      </c>
      <c r="AC747" s="21"/>
      <c r="AD747" s="21"/>
      <c r="AE747" s="21"/>
      <c r="AF747" s="21"/>
      <c r="AG747" s="21" t="s">
        <v>2596</v>
      </c>
      <c r="AH747" s="21"/>
      <c r="AI747" s="21"/>
      <c r="AJ747" s="22"/>
      <c r="AK747" s="22"/>
      <c r="AL747" s="21" t="str">
        <f>_xlfn.XLOOKUP(A:A,[1]TAGS!$A:$A,[1]TAGS!$BG:$BG)</f>
        <v>Não Montado</v>
      </c>
      <c r="AM747" s="21" t="s">
        <v>70</v>
      </c>
      <c r="AN747" s="22"/>
      <c r="AO747" s="21" t="str">
        <f>_xlfn.XLOOKUP(A:A,[1]TAGS!$A:$A,[1]TAGS!$BG:$BG)</f>
        <v>Não Montado</v>
      </c>
      <c r="AP747" s="21"/>
      <c r="AQ747" s="21"/>
      <c r="AR747" s="21"/>
      <c r="AS747" s="21"/>
      <c r="AT747" s="21"/>
      <c r="AU747" s="21"/>
    </row>
    <row r="748" spans="1:47" x14ac:dyDescent="0.35">
      <c r="A748" s="19" t="s">
        <v>2600</v>
      </c>
      <c r="B748" s="19" t="s">
        <v>52</v>
      </c>
      <c r="C748" s="19"/>
      <c r="D748" s="19" t="s">
        <v>53</v>
      </c>
      <c r="E748" s="19" t="s">
        <v>460</v>
      </c>
      <c r="F748" s="20" t="s">
        <v>370</v>
      </c>
      <c r="G748" s="20" t="s">
        <v>371</v>
      </c>
      <c r="H748" s="19" t="s">
        <v>2601</v>
      </c>
      <c r="I748" s="20" t="s">
        <v>58</v>
      </c>
      <c r="J748" s="20" t="s">
        <v>373</v>
      </c>
      <c r="K748" s="20" t="s">
        <v>2602</v>
      </c>
      <c r="L748" s="19" t="s">
        <v>61</v>
      </c>
      <c r="M748" s="19" t="s">
        <v>62</v>
      </c>
      <c r="N748" s="19" t="s">
        <v>683</v>
      </c>
      <c r="O748" s="19">
        <v>21</v>
      </c>
      <c r="P748" s="19">
        <v>3.73</v>
      </c>
      <c r="Q748" s="19">
        <v>1</v>
      </c>
      <c r="R748" s="20">
        <v>8</v>
      </c>
      <c r="S748" s="19">
        <v>6.6000000000000003E-2</v>
      </c>
      <c r="T748" s="19" t="s">
        <v>64</v>
      </c>
      <c r="U748" s="19" t="s">
        <v>65</v>
      </c>
      <c r="V748" s="19" t="s">
        <v>66</v>
      </c>
      <c r="W748" s="19" t="s">
        <v>67</v>
      </c>
      <c r="X748" s="19" t="s">
        <v>68</v>
      </c>
      <c r="Y748" s="21" t="s">
        <v>623</v>
      </c>
      <c r="Z748" s="21" t="s">
        <v>2599</v>
      </c>
      <c r="AA748" s="21" t="s">
        <v>625</v>
      </c>
      <c r="AB748" s="21">
        <v>1</v>
      </c>
      <c r="AC748" s="21"/>
      <c r="AD748" s="21"/>
      <c r="AE748" s="21"/>
      <c r="AF748" s="21"/>
      <c r="AG748" s="21" t="s">
        <v>2600</v>
      </c>
      <c r="AH748" s="21"/>
      <c r="AI748" s="21"/>
      <c r="AJ748" s="22"/>
      <c r="AK748" s="22"/>
      <c r="AL748" s="21" t="str">
        <f>_xlfn.XLOOKUP(A:A,[1]TAGS!$A:$A,[1]TAGS!$BG:$BG)</f>
        <v>Não Montado</v>
      </c>
      <c r="AM748" s="21" t="s">
        <v>70</v>
      </c>
      <c r="AN748" s="22"/>
      <c r="AO748" s="21" t="str">
        <f>_xlfn.XLOOKUP(A:A,[1]TAGS!$A:$A,[1]TAGS!$BG:$BG)</f>
        <v>Não Montado</v>
      </c>
      <c r="AP748" s="21"/>
      <c r="AQ748" s="21"/>
      <c r="AR748" s="21"/>
      <c r="AS748" s="21"/>
      <c r="AT748" s="21"/>
      <c r="AU748" s="21"/>
    </row>
    <row r="749" spans="1:47" x14ac:dyDescent="0.35">
      <c r="A749" s="19" t="s">
        <v>2603</v>
      </c>
      <c r="B749" s="19" t="s">
        <v>52</v>
      </c>
      <c r="C749" s="19"/>
      <c r="D749" s="19" t="s">
        <v>53</v>
      </c>
      <c r="E749" s="19" t="s">
        <v>460</v>
      </c>
      <c r="F749" s="20" t="s">
        <v>370</v>
      </c>
      <c r="G749" s="20" t="s">
        <v>371</v>
      </c>
      <c r="H749" s="19" t="s">
        <v>2604</v>
      </c>
      <c r="I749" s="20" t="s">
        <v>58</v>
      </c>
      <c r="J749" s="20" t="s">
        <v>373</v>
      </c>
      <c r="K749" s="20" t="s">
        <v>2605</v>
      </c>
      <c r="L749" s="19" t="s">
        <v>61</v>
      </c>
      <c r="M749" s="19" t="s">
        <v>62</v>
      </c>
      <c r="N749" s="19" t="s">
        <v>683</v>
      </c>
      <c r="O749" s="19">
        <v>21</v>
      </c>
      <c r="P749" s="19">
        <v>3.73</v>
      </c>
      <c r="Q749" s="19">
        <v>1</v>
      </c>
      <c r="R749" s="20">
        <v>8</v>
      </c>
      <c r="S749" s="19">
        <v>6.6000000000000003E-2</v>
      </c>
      <c r="T749" s="19" t="s">
        <v>64</v>
      </c>
      <c r="U749" s="19" t="s">
        <v>65</v>
      </c>
      <c r="V749" s="19" t="s">
        <v>66</v>
      </c>
      <c r="W749" s="19" t="s">
        <v>67</v>
      </c>
      <c r="X749" s="19" t="s">
        <v>68</v>
      </c>
      <c r="Y749" s="21" t="s">
        <v>623</v>
      </c>
      <c r="Z749" s="21" t="s">
        <v>2606</v>
      </c>
      <c r="AA749" s="21" t="s">
        <v>692</v>
      </c>
      <c r="AB749" s="21">
        <v>1</v>
      </c>
      <c r="AC749" s="21"/>
      <c r="AD749" s="21"/>
      <c r="AE749" s="21"/>
      <c r="AF749" s="21"/>
      <c r="AG749" s="21" t="s">
        <v>2603</v>
      </c>
      <c r="AH749" s="21"/>
      <c r="AI749" s="21"/>
      <c r="AJ749" s="22"/>
      <c r="AK749" s="22"/>
      <c r="AL749" s="21" t="str">
        <f>_xlfn.XLOOKUP(A:A,[1]TAGS!$A:$A,[1]TAGS!$BG:$BG)</f>
        <v>Não Montado</v>
      </c>
      <c r="AM749" s="21" t="s">
        <v>70</v>
      </c>
      <c r="AN749" s="22"/>
      <c r="AO749" s="21" t="str">
        <f>_xlfn.XLOOKUP(A:A,[1]TAGS!$A:$A,[1]TAGS!$BG:$BG)</f>
        <v>Não Montado</v>
      </c>
      <c r="AP749" s="21"/>
      <c r="AQ749" s="21"/>
      <c r="AR749" s="21"/>
      <c r="AS749" s="21"/>
      <c r="AT749" s="21"/>
      <c r="AU749" s="21"/>
    </row>
    <row r="750" spans="1:47" x14ac:dyDescent="0.35">
      <c r="A750" s="19" t="s">
        <v>2607</v>
      </c>
      <c r="B750" s="19" t="s">
        <v>52</v>
      </c>
      <c r="C750" s="19"/>
      <c r="D750" s="19" t="s">
        <v>53</v>
      </c>
      <c r="E750" s="19" t="s">
        <v>460</v>
      </c>
      <c r="F750" s="20" t="s">
        <v>370</v>
      </c>
      <c r="G750" s="20" t="s">
        <v>371</v>
      </c>
      <c r="H750" s="19" t="s">
        <v>2608</v>
      </c>
      <c r="I750" s="20" t="s">
        <v>58</v>
      </c>
      <c r="J750" s="20" t="s">
        <v>373</v>
      </c>
      <c r="K750" s="20" t="s">
        <v>2609</v>
      </c>
      <c r="L750" s="19" t="s">
        <v>61</v>
      </c>
      <c r="M750" s="19" t="s">
        <v>62</v>
      </c>
      <c r="N750" s="19" t="s">
        <v>683</v>
      </c>
      <c r="O750" s="19">
        <v>21</v>
      </c>
      <c r="P750" s="19">
        <v>3.73</v>
      </c>
      <c r="Q750" s="19">
        <v>1</v>
      </c>
      <c r="R750" s="20">
        <v>8</v>
      </c>
      <c r="S750" s="19">
        <v>6.6000000000000003E-2</v>
      </c>
      <c r="T750" s="19" t="s">
        <v>64</v>
      </c>
      <c r="U750" s="19" t="s">
        <v>65</v>
      </c>
      <c r="V750" s="19" t="s">
        <v>66</v>
      </c>
      <c r="W750" s="19" t="s">
        <v>67</v>
      </c>
      <c r="X750" s="19" t="s">
        <v>68</v>
      </c>
      <c r="Y750" s="21" t="s">
        <v>623</v>
      </c>
      <c r="Z750" s="21" t="s">
        <v>2606</v>
      </c>
      <c r="AA750" s="21" t="s">
        <v>625</v>
      </c>
      <c r="AB750" s="21">
        <v>1</v>
      </c>
      <c r="AC750" s="21"/>
      <c r="AD750" s="21"/>
      <c r="AE750" s="21"/>
      <c r="AF750" s="21"/>
      <c r="AG750" s="21" t="s">
        <v>2607</v>
      </c>
      <c r="AH750" s="21"/>
      <c r="AI750" s="21"/>
      <c r="AJ750" s="22"/>
      <c r="AK750" s="22"/>
      <c r="AL750" s="21" t="str">
        <f>_xlfn.XLOOKUP(A:A,[1]TAGS!$A:$A,[1]TAGS!$BG:$BG)</f>
        <v>Não Montado</v>
      </c>
      <c r="AM750" s="21" t="s">
        <v>70</v>
      </c>
      <c r="AN750" s="22"/>
      <c r="AO750" s="21" t="str">
        <f>_xlfn.XLOOKUP(A:A,[1]TAGS!$A:$A,[1]TAGS!$BG:$BG)</f>
        <v>Não Montado</v>
      </c>
      <c r="AP750" s="21"/>
      <c r="AQ750" s="21"/>
      <c r="AR750" s="21"/>
      <c r="AS750" s="21"/>
      <c r="AT750" s="21"/>
      <c r="AU750" s="21"/>
    </row>
    <row r="751" spans="1:47" x14ac:dyDescent="0.35">
      <c r="A751" s="19" t="s">
        <v>2610</v>
      </c>
      <c r="B751" s="19" t="s">
        <v>52</v>
      </c>
      <c r="C751" s="19"/>
      <c r="D751" s="19" t="s">
        <v>53</v>
      </c>
      <c r="E751" s="19" t="s">
        <v>460</v>
      </c>
      <c r="F751" s="20" t="s">
        <v>370</v>
      </c>
      <c r="G751" s="20" t="s">
        <v>371</v>
      </c>
      <c r="H751" s="19" t="s">
        <v>2611</v>
      </c>
      <c r="I751" s="20" t="s">
        <v>58</v>
      </c>
      <c r="J751" s="20" t="s">
        <v>373</v>
      </c>
      <c r="K751" s="20" t="s">
        <v>2612</v>
      </c>
      <c r="L751" s="19" t="s">
        <v>61</v>
      </c>
      <c r="M751" s="19" t="s">
        <v>62</v>
      </c>
      <c r="N751" s="19" t="s">
        <v>683</v>
      </c>
      <c r="O751" s="19">
        <v>21</v>
      </c>
      <c r="P751" s="19">
        <v>3.73</v>
      </c>
      <c r="Q751" s="19">
        <v>1</v>
      </c>
      <c r="R751" s="20">
        <v>8</v>
      </c>
      <c r="S751" s="19">
        <v>6.6000000000000003E-2</v>
      </c>
      <c r="T751" s="19" t="s">
        <v>64</v>
      </c>
      <c r="U751" s="19" t="s">
        <v>65</v>
      </c>
      <c r="V751" s="19" t="s">
        <v>66</v>
      </c>
      <c r="W751" s="19" t="s">
        <v>67</v>
      </c>
      <c r="X751" s="19" t="s">
        <v>68</v>
      </c>
      <c r="Y751" s="21" t="s">
        <v>623</v>
      </c>
      <c r="Z751" s="21" t="s">
        <v>2613</v>
      </c>
      <c r="AA751" s="21" t="s">
        <v>692</v>
      </c>
      <c r="AB751" s="21">
        <v>1</v>
      </c>
      <c r="AC751" s="21"/>
      <c r="AD751" s="21"/>
      <c r="AE751" s="21"/>
      <c r="AF751" s="21"/>
      <c r="AG751" s="21" t="s">
        <v>2610</v>
      </c>
      <c r="AH751" s="21"/>
      <c r="AI751" s="21"/>
      <c r="AJ751" s="22"/>
      <c r="AK751" s="22"/>
      <c r="AL751" s="21" t="str">
        <f>_xlfn.XLOOKUP(A:A,[1]TAGS!$A:$A,[1]TAGS!$BG:$BG)</f>
        <v>Não Montado</v>
      </c>
      <c r="AM751" s="21" t="s">
        <v>70</v>
      </c>
      <c r="AN751" s="22"/>
      <c r="AO751" s="21" t="str">
        <f>_xlfn.XLOOKUP(A:A,[1]TAGS!$A:$A,[1]TAGS!$BG:$BG)</f>
        <v>Não Montado</v>
      </c>
      <c r="AP751" s="21"/>
      <c r="AQ751" s="21"/>
      <c r="AR751" s="21"/>
      <c r="AS751" s="21"/>
      <c r="AT751" s="21"/>
      <c r="AU751" s="21"/>
    </row>
    <row r="752" spans="1:47" x14ac:dyDescent="0.35">
      <c r="A752" s="19" t="s">
        <v>2614</v>
      </c>
      <c r="B752" s="19" t="s">
        <v>52</v>
      </c>
      <c r="C752" s="19"/>
      <c r="D752" s="19" t="s">
        <v>53</v>
      </c>
      <c r="E752" s="19" t="s">
        <v>460</v>
      </c>
      <c r="F752" s="20" t="s">
        <v>370</v>
      </c>
      <c r="G752" s="20" t="s">
        <v>371</v>
      </c>
      <c r="H752" s="19" t="s">
        <v>2615</v>
      </c>
      <c r="I752" s="20" t="s">
        <v>58</v>
      </c>
      <c r="J752" s="20" t="s">
        <v>373</v>
      </c>
      <c r="K752" s="20" t="s">
        <v>2616</v>
      </c>
      <c r="L752" s="19" t="s">
        <v>61</v>
      </c>
      <c r="M752" s="19" t="s">
        <v>62</v>
      </c>
      <c r="N752" s="19" t="s">
        <v>683</v>
      </c>
      <c r="O752" s="19">
        <v>21</v>
      </c>
      <c r="P752" s="19">
        <v>3.73</v>
      </c>
      <c r="Q752" s="19">
        <v>1</v>
      </c>
      <c r="R752" s="20">
        <v>8</v>
      </c>
      <c r="S752" s="19">
        <v>6.6000000000000003E-2</v>
      </c>
      <c r="T752" s="19" t="s">
        <v>64</v>
      </c>
      <c r="U752" s="19" t="s">
        <v>65</v>
      </c>
      <c r="V752" s="19" t="s">
        <v>66</v>
      </c>
      <c r="W752" s="19" t="s">
        <v>67</v>
      </c>
      <c r="X752" s="19" t="s">
        <v>68</v>
      </c>
      <c r="Y752" s="21" t="s">
        <v>623</v>
      </c>
      <c r="Z752" s="21" t="s">
        <v>2613</v>
      </c>
      <c r="AA752" s="21" t="s">
        <v>625</v>
      </c>
      <c r="AB752" s="21">
        <v>1</v>
      </c>
      <c r="AC752" s="21"/>
      <c r="AD752" s="21"/>
      <c r="AE752" s="21"/>
      <c r="AF752" s="21"/>
      <c r="AG752" s="21" t="s">
        <v>2614</v>
      </c>
      <c r="AH752" s="21"/>
      <c r="AI752" s="21"/>
      <c r="AJ752" s="22"/>
      <c r="AK752" s="22"/>
      <c r="AL752" s="21" t="str">
        <f>_xlfn.XLOOKUP(A:A,[1]TAGS!$A:$A,[1]TAGS!$BG:$BG)</f>
        <v>Não Montado</v>
      </c>
      <c r="AM752" s="21" t="s">
        <v>70</v>
      </c>
      <c r="AN752" s="22"/>
      <c r="AO752" s="21" t="str">
        <f>_xlfn.XLOOKUP(A:A,[1]TAGS!$A:$A,[1]TAGS!$BG:$BG)</f>
        <v>Não Montado</v>
      </c>
      <c r="AP752" s="21"/>
      <c r="AQ752" s="21"/>
      <c r="AR752" s="21"/>
      <c r="AS752" s="21"/>
      <c r="AT752" s="21"/>
      <c r="AU752" s="21"/>
    </row>
    <row r="753" spans="1:47" x14ac:dyDescent="0.35">
      <c r="A753" s="19" t="s">
        <v>2617</v>
      </c>
      <c r="B753" s="19" t="s">
        <v>52</v>
      </c>
      <c r="C753" s="19"/>
      <c r="D753" s="19" t="s">
        <v>53</v>
      </c>
      <c r="E753" s="19" t="s">
        <v>460</v>
      </c>
      <c r="F753" s="20" t="s">
        <v>370</v>
      </c>
      <c r="G753" s="20" t="s">
        <v>371</v>
      </c>
      <c r="H753" s="19" t="s">
        <v>2618</v>
      </c>
      <c r="I753" s="20" t="s">
        <v>58</v>
      </c>
      <c r="J753" s="20" t="s">
        <v>373</v>
      </c>
      <c r="K753" s="20" t="s">
        <v>2619</v>
      </c>
      <c r="L753" s="19" t="s">
        <v>61</v>
      </c>
      <c r="M753" s="19" t="s">
        <v>62</v>
      </c>
      <c r="N753" s="20" t="s">
        <v>63</v>
      </c>
      <c r="O753" s="19">
        <v>21</v>
      </c>
      <c r="P753" s="19">
        <v>3.73</v>
      </c>
      <c r="Q753" s="19">
        <v>1</v>
      </c>
      <c r="R753" s="20">
        <v>8</v>
      </c>
      <c r="S753" s="19">
        <v>6.6000000000000003E-2</v>
      </c>
      <c r="T753" s="19" t="s">
        <v>64</v>
      </c>
      <c r="U753" s="19" t="s">
        <v>65</v>
      </c>
      <c r="V753" s="19" t="s">
        <v>66</v>
      </c>
      <c r="W753" s="19" t="s">
        <v>67</v>
      </c>
      <c r="X753" s="19" t="s">
        <v>68</v>
      </c>
      <c r="Y753" s="21" t="s">
        <v>623</v>
      </c>
      <c r="Z753" s="21" t="s">
        <v>2620</v>
      </c>
      <c r="AA753" s="21" t="s">
        <v>692</v>
      </c>
      <c r="AB753" s="21">
        <v>1</v>
      </c>
      <c r="AC753" s="21"/>
      <c r="AD753" s="21"/>
      <c r="AE753" s="21"/>
      <c r="AF753" s="21"/>
      <c r="AG753" s="21" t="s">
        <v>2617</v>
      </c>
      <c r="AH753" s="21"/>
      <c r="AI753" s="21"/>
      <c r="AJ753" s="22"/>
      <c r="AK753" s="22"/>
      <c r="AL753" s="21" t="str">
        <f>_xlfn.XLOOKUP(A:A,[1]TAGS!$A:$A,[1]TAGS!$BG:$BG)</f>
        <v>Não Montado</v>
      </c>
      <c r="AM753" s="21" t="s">
        <v>70</v>
      </c>
      <c r="AN753" s="22"/>
      <c r="AO753" s="21" t="str">
        <f>_xlfn.XLOOKUP(A:A,[1]TAGS!$A:$A,[1]TAGS!$BG:$BG)</f>
        <v>Não Montado</v>
      </c>
      <c r="AP753" s="21"/>
      <c r="AQ753" s="21"/>
      <c r="AR753" s="21"/>
      <c r="AS753" s="21"/>
      <c r="AT753" s="21"/>
      <c r="AU753" s="21"/>
    </row>
    <row r="754" spans="1:47" x14ac:dyDescent="0.35">
      <c r="A754" s="19" t="s">
        <v>2621</v>
      </c>
      <c r="B754" s="19" t="s">
        <v>52</v>
      </c>
      <c r="C754" s="19"/>
      <c r="D754" s="19" t="s">
        <v>53</v>
      </c>
      <c r="E754" s="19" t="s">
        <v>460</v>
      </c>
      <c r="F754" s="20" t="s">
        <v>370</v>
      </c>
      <c r="G754" s="20" t="s">
        <v>371</v>
      </c>
      <c r="H754" s="19" t="s">
        <v>2622</v>
      </c>
      <c r="I754" s="20" t="s">
        <v>58</v>
      </c>
      <c r="J754" s="20" t="s">
        <v>373</v>
      </c>
      <c r="K754" s="20" t="s">
        <v>2623</v>
      </c>
      <c r="L754" s="19" t="s">
        <v>61</v>
      </c>
      <c r="M754" s="19" t="s">
        <v>62</v>
      </c>
      <c r="N754" s="19" t="s">
        <v>683</v>
      </c>
      <c r="O754" s="19">
        <v>21</v>
      </c>
      <c r="P754" s="19">
        <v>3.73</v>
      </c>
      <c r="Q754" s="19">
        <v>1</v>
      </c>
      <c r="R754" s="20">
        <v>8</v>
      </c>
      <c r="S754" s="19">
        <v>6.6000000000000003E-2</v>
      </c>
      <c r="T754" s="19" t="s">
        <v>64</v>
      </c>
      <c r="U754" s="19" t="s">
        <v>65</v>
      </c>
      <c r="V754" s="19" t="s">
        <v>66</v>
      </c>
      <c r="W754" s="19" t="s">
        <v>67</v>
      </c>
      <c r="X754" s="19" t="s">
        <v>68</v>
      </c>
      <c r="Y754" s="21" t="s">
        <v>623</v>
      </c>
      <c r="Z754" s="21" t="s">
        <v>2620</v>
      </c>
      <c r="AA754" s="21" t="s">
        <v>625</v>
      </c>
      <c r="AB754" s="21">
        <v>1</v>
      </c>
      <c r="AC754" s="21"/>
      <c r="AD754" s="21"/>
      <c r="AE754" s="21"/>
      <c r="AF754" s="21"/>
      <c r="AG754" s="21" t="s">
        <v>2621</v>
      </c>
      <c r="AH754" s="21"/>
      <c r="AI754" s="21"/>
      <c r="AJ754" s="22"/>
      <c r="AK754" s="22"/>
      <c r="AL754" s="21" t="str">
        <f>_xlfn.XLOOKUP(A:A,[1]TAGS!$A:$A,[1]TAGS!$BG:$BG)</f>
        <v>Não Montado</v>
      </c>
      <c r="AM754" s="21" t="s">
        <v>70</v>
      </c>
      <c r="AN754" s="22"/>
      <c r="AO754" s="21" t="str">
        <f>_xlfn.XLOOKUP(A:A,[1]TAGS!$A:$A,[1]TAGS!$BG:$BG)</f>
        <v>Não Montado</v>
      </c>
      <c r="AP754" s="21"/>
      <c r="AQ754" s="21"/>
      <c r="AR754" s="21"/>
      <c r="AS754" s="21"/>
      <c r="AT754" s="21"/>
      <c r="AU754" s="21"/>
    </row>
    <row r="755" spans="1:47" x14ac:dyDescent="0.35">
      <c r="A755" s="19" t="s">
        <v>2624</v>
      </c>
      <c r="B755" s="19" t="s">
        <v>52</v>
      </c>
      <c r="C755" s="19"/>
      <c r="D755" s="19" t="s">
        <v>53</v>
      </c>
      <c r="E755" s="19" t="s">
        <v>460</v>
      </c>
      <c r="F755" s="20" t="s">
        <v>370</v>
      </c>
      <c r="G755" s="20" t="s">
        <v>371</v>
      </c>
      <c r="H755" s="19" t="s">
        <v>2625</v>
      </c>
      <c r="I755" s="20" t="s">
        <v>58</v>
      </c>
      <c r="J755" s="20" t="s">
        <v>373</v>
      </c>
      <c r="K755" s="20" t="s">
        <v>2626</v>
      </c>
      <c r="L755" s="19" t="s">
        <v>61</v>
      </c>
      <c r="M755" s="19" t="s">
        <v>62</v>
      </c>
      <c r="N755" s="19" t="s">
        <v>683</v>
      </c>
      <c r="O755" s="19">
        <v>21</v>
      </c>
      <c r="P755" s="19">
        <v>3.73</v>
      </c>
      <c r="Q755" s="19">
        <v>1</v>
      </c>
      <c r="R755" s="20">
        <v>8</v>
      </c>
      <c r="S755" s="19">
        <v>6.6000000000000003E-2</v>
      </c>
      <c r="T755" s="19" t="s">
        <v>64</v>
      </c>
      <c r="U755" s="19" t="s">
        <v>65</v>
      </c>
      <c r="V755" s="19" t="s">
        <v>66</v>
      </c>
      <c r="W755" s="19" t="s">
        <v>67</v>
      </c>
      <c r="X755" s="19" t="s">
        <v>68</v>
      </c>
      <c r="Y755" s="21" t="s">
        <v>623</v>
      </c>
      <c r="Z755" s="21" t="s">
        <v>2627</v>
      </c>
      <c r="AA755" s="21" t="s">
        <v>692</v>
      </c>
      <c r="AB755" s="21">
        <v>1</v>
      </c>
      <c r="AC755" s="21"/>
      <c r="AD755" s="21"/>
      <c r="AE755" s="21"/>
      <c r="AF755" s="21"/>
      <c r="AG755" s="21" t="s">
        <v>2624</v>
      </c>
      <c r="AH755" s="21"/>
      <c r="AI755" s="21"/>
      <c r="AJ755" s="22"/>
      <c r="AK755" s="22"/>
      <c r="AL755" s="21" t="str">
        <f>_xlfn.XLOOKUP(A:A,[1]TAGS!$A:$A,[1]TAGS!$BG:$BG)</f>
        <v>Não Montado</v>
      </c>
      <c r="AM755" s="21" t="s">
        <v>70</v>
      </c>
      <c r="AN755" s="22"/>
      <c r="AO755" s="21" t="str">
        <f>_xlfn.XLOOKUP(A:A,[1]TAGS!$A:$A,[1]TAGS!$BG:$BG)</f>
        <v>Não Montado</v>
      </c>
      <c r="AP755" s="21"/>
      <c r="AQ755" s="21"/>
      <c r="AR755" s="21"/>
      <c r="AS755" s="21"/>
      <c r="AT755" s="21"/>
      <c r="AU755" s="21"/>
    </row>
    <row r="756" spans="1:47" x14ac:dyDescent="0.35">
      <c r="A756" s="19" t="s">
        <v>2628</v>
      </c>
      <c r="B756" s="19" t="s">
        <v>52</v>
      </c>
      <c r="C756" s="19"/>
      <c r="D756" s="19" t="s">
        <v>53</v>
      </c>
      <c r="E756" s="19" t="s">
        <v>460</v>
      </c>
      <c r="F756" s="20" t="s">
        <v>370</v>
      </c>
      <c r="G756" s="20" t="s">
        <v>371</v>
      </c>
      <c r="H756" s="19" t="s">
        <v>2629</v>
      </c>
      <c r="I756" s="20" t="s">
        <v>58</v>
      </c>
      <c r="J756" s="20" t="s">
        <v>373</v>
      </c>
      <c r="K756" s="20" t="s">
        <v>2630</v>
      </c>
      <c r="L756" s="19" t="s">
        <v>61</v>
      </c>
      <c r="M756" s="19" t="s">
        <v>62</v>
      </c>
      <c r="N756" s="19" t="s">
        <v>683</v>
      </c>
      <c r="O756" s="19">
        <v>21</v>
      </c>
      <c r="P756" s="19">
        <v>3.73</v>
      </c>
      <c r="Q756" s="19">
        <v>1</v>
      </c>
      <c r="R756" s="20">
        <v>8</v>
      </c>
      <c r="S756" s="19">
        <v>6.6000000000000003E-2</v>
      </c>
      <c r="T756" s="19" t="s">
        <v>64</v>
      </c>
      <c r="U756" s="19" t="s">
        <v>65</v>
      </c>
      <c r="V756" s="19" t="s">
        <v>66</v>
      </c>
      <c r="W756" s="19" t="s">
        <v>67</v>
      </c>
      <c r="X756" s="19" t="s">
        <v>68</v>
      </c>
      <c r="Y756" s="21" t="s">
        <v>623</v>
      </c>
      <c r="Z756" s="21" t="s">
        <v>2627</v>
      </c>
      <c r="AA756" s="21" t="s">
        <v>625</v>
      </c>
      <c r="AB756" s="21">
        <v>1</v>
      </c>
      <c r="AC756" s="21"/>
      <c r="AD756" s="21"/>
      <c r="AE756" s="21"/>
      <c r="AF756" s="21"/>
      <c r="AG756" s="21" t="s">
        <v>2628</v>
      </c>
      <c r="AH756" s="21"/>
      <c r="AI756" s="21"/>
      <c r="AJ756" s="22"/>
      <c r="AK756" s="22"/>
      <c r="AL756" s="21" t="str">
        <f>_xlfn.XLOOKUP(A:A,[1]TAGS!$A:$A,[1]TAGS!$BG:$BG)</f>
        <v>Não Montado</v>
      </c>
      <c r="AM756" s="21" t="s">
        <v>70</v>
      </c>
      <c r="AN756" s="22"/>
      <c r="AO756" s="21" t="str">
        <f>_xlfn.XLOOKUP(A:A,[1]TAGS!$A:$A,[1]TAGS!$BG:$BG)</f>
        <v>Não Montado</v>
      </c>
      <c r="AP756" s="21"/>
      <c r="AQ756" s="21"/>
      <c r="AR756" s="21"/>
      <c r="AS756" s="21"/>
      <c r="AT756" s="21"/>
      <c r="AU756" s="21"/>
    </row>
    <row r="757" spans="1:47" x14ac:dyDescent="0.35">
      <c r="A757" s="19" t="s">
        <v>2631</v>
      </c>
      <c r="B757" s="19" t="s">
        <v>52</v>
      </c>
      <c r="C757" s="19"/>
      <c r="D757" s="19" t="s">
        <v>53</v>
      </c>
      <c r="E757" s="19" t="s">
        <v>460</v>
      </c>
      <c r="F757" s="20" t="s">
        <v>370</v>
      </c>
      <c r="G757" s="20" t="s">
        <v>371</v>
      </c>
      <c r="H757" s="19" t="s">
        <v>2632</v>
      </c>
      <c r="I757" s="20" t="s">
        <v>58</v>
      </c>
      <c r="J757" s="20" t="s">
        <v>373</v>
      </c>
      <c r="K757" s="20" t="s">
        <v>2633</v>
      </c>
      <c r="L757" s="19" t="s">
        <v>61</v>
      </c>
      <c r="M757" s="19" t="s">
        <v>62</v>
      </c>
      <c r="N757" s="19" t="s">
        <v>683</v>
      </c>
      <c r="O757" s="19">
        <v>21</v>
      </c>
      <c r="P757" s="19">
        <v>3.73</v>
      </c>
      <c r="Q757" s="19">
        <v>1</v>
      </c>
      <c r="R757" s="20">
        <v>8</v>
      </c>
      <c r="S757" s="19">
        <v>6.6000000000000003E-2</v>
      </c>
      <c r="T757" s="19" t="s">
        <v>64</v>
      </c>
      <c r="U757" s="19" t="s">
        <v>65</v>
      </c>
      <c r="V757" s="19" t="s">
        <v>66</v>
      </c>
      <c r="W757" s="19" t="s">
        <v>67</v>
      </c>
      <c r="X757" s="19" t="s">
        <v>68</v>
      </c>
      <c r="Y757" s="21" t="s">
        <v>623</v>
      </c>
      <c r="Z757" s="21" t="s">
        <v>2634</v>
      </c>
      <c r="AA757" s="21" t="s">
        <v>692</v>
      </c>
      <c r="AB757" s="21">
        <v>1</v>
      </c>
      <c r="AC757" s="21"/>
      <c r="AD757" s="21"/>
      <c r="AE757" s="21"/>
      <c r="AF757" s="21"/>
      <c r="AG757" s="21" t="s">
        <v>2631</v>
      </c>
      <c r="AH757" s="21"/>
      <c r="AI757" s="21"/>
      <c r="AJ757" s="22"/>
      <c r="AK757" s="22"/>
      <c r="AL757" s="21" t="str">
        <f>_xlfn.XLOOKUP(A:A,[1]TAGS!$A:$A,[1]TAGS!$BG:$BG)</f>
        <v>Não Montado</v>
      </c>
      <c r="AM757" s="21" t="s">
        <v>70</v>
      </c>
      <c r="AN757" s="22"/>
      <c r="AO757" s="21" t="str">
        <f>_xlfn.XLOOKUP(A:A,[1]TAGS!$A:$A,[1]TAGS!$BG:$BG)</f>
        <v>Não Montado</v>
      </c>
      <c r="AP757" s="21"/>
      <c r="AQ757" s="21"/>
      <c r="AR757" s="21"/>
      <c r="AS757" s="21"/>
      <c r="AT757" s="21"/>
      <c r="AU757" s="21"/>
    </row>
    <row r="758" spans="1:47" x14ac:dyDescent="0.35">
      <c r="A758" s="19" t="s">
        <v>2635</v>
      </c>
      <c r="B758" s="19" t="s">
        <v>52</v>
      </c>
      <c r="C758" s="19"/>
      <c r="D758" s="19" t="s">
        <v>53</v>
      </c>
      <c r="E758" s="19" t="s">
        <v>460</v>
      </c>
      <c r="F758" s="20" t="s">
        <v>370</v>
      </c>
      <c r="G758" s="20" t="s">
        <v>371</v>
      </c>
      <c r="H758" s="19" t="s">
        <v>2636</v>
      </c>
      <c r="I758" s="20" t="s">
        <v>58</v>
      </c>
      <c r="J758" s="20" t="s">
        <v>373</v>
      </c>
      <c r="K758" s="20" t="s">
        <v>2637</v>
      </c>
      <c r="L758" s="19" t="s">
        <v>61</v>
      </c>
      <c r="M758" s="19" t="s">
        <v>62</v>
      </c>
      <c r="N758" s="19" t="s">
        <v>683</v>
      </c>
      <c r="O758" s="19">
        <v>21</v>
      </c>
      <c r="P758" s="19">
        <v>3.73</v>
      </c>
      <c r="Q758" s="19">
        <v>1</v>
      </c>
      <c r="R758" s="20">
        <v>8</v>
      </c>
      <c r="S758" s="19">
        <v>6.6000000000000003E-2</v>
      </c>
      <c r="T758" s="19" t="s">
        <v>64</v>
      </c>
      <c r="U758" s="19" t="s">
        <v>65</v>
      </c>
      <c r="V758" s="19" t="s">
        <v>66</v>
      </c>
      <c r="W758" s="19" t="s">
        <v>67</v>
      </c>
      <c r="X758" s="19" t="s">
        <v>68</v>
      </c>
      <c r="Y758" s="21" t="s">
        <v>623</v>
      </c>
      <c r="Z758" s="21" t="s">
        <v>2563</v>
      </c>
      <c r="AA758" s="21" t="s">
        <v>625</v>
      </c>
      <c r="AB758" s="21">
        <v>2</v>
      </c>
      <c r="AC758" s="21"/>
      <c r="AD758" s="21"/>
      <c r="AE758" s="21"/>
      <c r="AF758" s="21"/>
      <c r="AG758" s="21" t="s">
        <v>2635</v>
      </c>
      <c r="AH758" s="21"/>
      <c r="AI758" s="21"/>
      <c r="AJ758" s="22"/>
      <c r="AK758" s="22"/>
      <c r="AL758" s="21" t="str">
        <f>_xlfn.XLOOKUP(A:A,[1]TAGS!$A:$A,[1]TAGS!$BG:$BG)</f>
        <v>Não Montado</v>
      </c>
      <c r="AM758" s="21" t="s">
        <v>70</v>
      </c>
      <c r="AN758" s="22"/>
      <c r="AO758" s="21" t="str">
        <f>_xlfn.XLOOKUP(A:A,[1]TAGS!$A:$A,[1]TAGS!$BG:$BG)</f>
        <v>Não Montado</v>
      </c>
      <c r="AP758" s="21"/>
      <c r="AQ758" s="21"/>
      <c r="AR758" s="21"/>
      <c r="AS758" s="21"/>
      <c r="AT758" s="21"/>
      <c r="AU758" s="21"/>
    </row>
    <row r="759" spans="1:47" x14ac:dyDescent="0.35">
      <c r="A759" s="19" t="s">
        <v>2638</v>
      </c>
      <c r="B759" s="19" t="s">
        <v>52</v>
      </c>
      <c r="C759" s="19"/>
      <c r="D759" s="19" t="s">
        <v>53</v>
      </c>
      <c r="E759" s="19" t="s">
        <v>460</v>
      </c>
      <c r="F759" s="20" t="s">
        <v>370</v>
      </c>
      <c r="G759" s="20" t="s">
        <v>371</v>
      </c>
      <c r="H759" s="19" t="s">
        <v>2639</v>
      </c>
      <c r="I759" s="20" t="s">
        <v>58</v>
      </c>
      <c r="J759" s="20" t="s">
        <v>373</v>
      </c>
      <c r="K759" s="20" t="s">
        <v>2640</v>
      </c>
      <c r="L759" s="19" t="s">
        <v>61</v>
      </c>
      <c r="M759" s="19" t="s">
        <v>62</v>
      </c>
      <c r="N759" s="19" t="s">
        <v>683</v>
      </c>
      <c r="O759" s="19">
        <v>21</v>
      </c>
      <c r="P759" s="19">
        <v>3.73</v>
      </c>
      <c r="Q759" s="19">
        <v>1</v>
      </c>
      <c r="R759" s="20">
        <v>8</v>
      </c>
      <c r="S759" s="19">
        <v>6.6000000000000003E-2</v>
      </c>
      <c r="T759" s="19" t="s">
        <v>64</v>
      </c>
      <c r="U759" s="19" t="s">
        <v>65</v>
      </c>
      <c r="V759" s="19" t="s">
        <v>66</v>
      </c>
      <c r="W759" s="19" t="s">
        <v>67</v>
      </c>
      <c r="X759" s="19" t="s">
        <v>68</v>
      </c>
      <c r="Y759" s="21" t="s">
        <v>623</v>
      </c>
      <c r="Z759" s="21" t="s">
        <v>2563</v>
      </c>
      <c r="AA759" s="21" t="s">
        <v>625</v>
      </c>
      <c r="AB759" s="21">
        <v>3</v>
      </c>
      <c r="AC759" s="21"/>
      <c r="AD759" s="21"/>
      <c r="AE759" s="21"/>
      <c r="AF759" s="21"/>
      <c r="AG759" s="21" t="s">
        <v>2638</v>
      </c>
      <c r="AH759" s="21"/>
      <c r="AI759" s="21"/>
      <c r="AJ759" s="22"/>
      <c r="AK759" s="22"/>
      <c r="AL759" s="21" t="str">
        <f>_xlfn.XLOOKUP(A:A,[1]TAGS!$A:$A,[1]TAGS!$BG:$BG)</f>
        <v>Não Montado</v>
      </c>
      <c r="AM759" s="21" t="s">
        <v>70</v>
      </c>
      <c r="AN759" s="22"/>
      <c r="AO759" s="21" t="str">
        <f>_xlfn.XLOOKUP(A:A,[1]TAGS!$A:$A,[1]TAGS!$BG:$BG)</f>
        <v>Não Montado</v>
      </c>
      <c r="AP759" s="21"/>
      <c r="AQ759" s="21"/>
      <c r="AR759" s="21"/>
      <c r="AS759" s="21"/>
      <c r="AT759" s="21"/>
      <c r="AU759" s="21"/>
    </row>
    <row r="760" spans="1:47" x14ac:dyDescent="0.35">
      <c r="A760" s="19" t="s">
        <v>2641</v>
      </c>
      <c r="B760" s="19" t="s">
        <v>52</v>
      </c>
      <c r="C760" s="19"/>
      <c r="D760" s="19" t="s">
        <v>53</v>
      </c>
      <c r="E760" s="19" t="s">
        <v>460</v>
      </c>
      <c r="F760" s="20" t="s">
        <v>370</v>
      </c>
      <c r="G760" s="20" t="s">
        <v>371</v>
      </c>
      <c r="H760" s="19" t="s">
        <v>2642</v>
      </c>
      <c r="I760" s="20" t="s">
        <v>58</v>
      </c>
      <c r="J760" s="20" t="s">
        <v>373</v>
      </c>
      <c r="K760" s="20" t="s">
        <v>2643</v>
      </c>
      <c r="L760" s="19" t="s">
        <v>61</v>
      </c>
      <c r="M760" s="19" t="s">
        <v>62</v>
      </c>
      <c r="N760" s="19" t="s">
        <v>683</v>
      </c>
      <c r="O760" s="19">
        <v>21</v>
      </c>
      <c r="P760" s="19">
        <v>3.73</v>
      </c>
      <c r="Q760" s="19">
        <v>1</v>
      </c>
      <c r="R760" s="20">
        <v>8</v>
      </c>
      <c r="S760" s="19">
        <v>6.6000000000000003E-2</v>
      </c>
      <c r="T760" s="19" t="s">
        <v>64</v>
      </c>
      <c r="U760" s="19" t="s">
        <v>65</v>
      </c>
      <c r="V760" s="19" t="s">
        <v>66</v>
      </c>
      <c r="W760" s="19" t="s">
        <v>67</v>
      </c>
      <c r="X760" s="19" t="s">
        <v>68</v>
      </c>
      <c r="Y760" s="21" t="s">
        <v>623</v>
      </c>
      <c r="Z760" s="21" t="s">
        <v>2563</v>
      </c>
      <c r="AA760" s="21" t="s">
        <v>625</v>
      </c>
      <c r="AB760" s="21">
        <v>4</v>
      </c>
      <c r="AC760" s="21"/>
      <c r="AD760" s="21"/>
      <c r="AE760" s="21"/>
      <c r="AF760" s="21"/>
      <c r="AG760" s="21" t="s">
        <v>2641</v>
      </c>
      <c r="AH760" s="21"/>
      <c r="AI760" s="21"/>
      <c r="AJ760" s="22"/>
      <c r="AK760" s="22"/>
      <c r="AL760" s="21" t="str">
        <f>_xlfn.XLOOKUP(A:A,[1]TAGS!$A:$A,[1]TAGS!$BG:$BG)</f>
        <v>Não Montado</v>
      </c>
      <c r="AM760" s="21" t="s">
        <v>70</v>
      </c>
      <c r="AN760" s="22"/>
      <c r="AO760" s="21" t="str">
        <f>_xlfn.XLOOKUP(A:A,[1]TAGS!$A:$A,[1]TAGS!$BG:$BG)</f>
        <v>Não Montado</v>
      </c>
      <c r="AP760" s="21"/>
      <c r="AQ760" s="21"/>
      <c r="AR760" s="21"/>
      <c r="AS760" s="21"/>
      <c r="AT760" s="21"/>
      <c r="AU760" s="21"/>
    </row>
    <row r="761" spans="1:47" x14ac:dyDescent="0.35">
      <c r="A761" s="19" t="s">
        <v>2644</v>
      </c>
      <c r="B761" s="19" t="s">
        <v>52</v>
      </c>
      <c r="C761" s="19"/>
      <c r="D761" s="19" t="s">
        <v>53</v>
      </c>
      <c r="E761" s="19" t="s">
        <v>460</v>
      </c>
      <c r="F761" s="20" t="s">
        <v>370</v>
      </c>
      <c r="G761" s="20" t="s">
        <v>371</v>
      </c>
      <c r="H761" s="19" t="s">
        <v>2645</v>
      </c>
      <c r="I761" s="20" t="s">
        <v>58</v>
      </c>
      <c r="J761" s="20" t="s">
        <v>373</v>
      </c>
      <c r="K761" s="20" t="s">
        <v>2646</v>
      </c>
      <c r="L761" s="19" t="s">
        <v>61</v>
      </c>
      <c r="M761" s="19" t="s">
        <v>62</v>
      </c>
      <c r="N761" s="20" t="s">
        <v>63</v>
      </c>
      <c r="O761" s="19">
        <v>21</v>
      </c>
      <c r="P761" s="19">
        <v>3.73</v>
      </c>
      <c r="Q761" s="19">
        <v>1</v>
      </c>
      <c r="R761" s="20">
        <v>8</v>
      </c>
      <c r="S761" s="19">
        <v>6.6000000000000003E-2</v>
      </c>
      <c r="T761" s="19" t="s">
        <v>64</v>
      </c>
      <c r="U761" s="19" t="s">
        <v>65</v>
      </c>
      <c r="V761" s="19" t="s">
        <v>66</v>
      </c>
      <c r="W761" s="19" t="s">
        <v>67</v>
      </c>
      <c r="X761" s="19" t="s">
        <v>68</v>
      </c>
      <c r="Y761" s="21" t="s">
        <v>623</v>
      </c>
      <c r="Z761" s="21" t="s">
        <v>2570</v>
      </c>
      <c r="AA761" s="21" t="s">
        <v>692</v>
      </c>
      <c r="AB761" s="21">
        <v>2</v>
      </c>
      <c r="AC761" s="21"/>
      <c r="AD761" s="21"/>
      <c r="AE761" s="21"/>
      <c r="AF761" s="21"/>
      <c r="AG761" s="21" t="s">
        <v>2644</v>
      </c>
      <c r="AH761" s="21"/>
      <c r="AI761" s="21"/>
      <c r="AJ761" s="22"/>
      <c r="AK761" s="22"/>
      <c r="AL761" s="21" t="str">
        <f>_xlfn.XLOOKUP(A:A,[1]TAGS!$A:$A,[1]TAGS!$BG:$BG)</f>
        <v>Não Montado</v>
      </c>
      <c r="AM761" s="21" t="s">
        <v>70</v>
      </c>
      <c r="AN761" s="22"/>
      <c r="AO761" s="21" t="str">
        <f>_xlfn.XLOOKUP(A:A,[1]TAGS!$A:$A,[1]TAGS!$BG:$BG)</f>
        <v>Não Montado</v>
      </c>
      <c r="AP761" s="21"/>
      <c r="AQ761" s="21"/>
      <c r="AR761" s="21"/>
      <c r="AS761" s="21"/>
      <c r="AT761" s="21"/>
      <c r="AU761" s="21"/>
    </row>
    <row r="762" spans="1:47" x14ac:dyDescent="0.35">
      <c r="A762" s="19" t="s">
        <v>2647</v>
      </c>
      <c r="B762" s="19" t="s">
        <v>52</v>
      </c>
      <c r="C762" s="19"/>
      <c r="D762" s="19" t="s">
        <v>53</v>
      </c>
      <c r="E762" s="19" t="s">
        <v>460</v>
      </c>
      <c r="F762" s="20" t="s">
        <v>370</v>
      </c>
      <c r="G762" s="20" t="s">
        <v>371</v>
      </c>
      <c r="H762" s="19" t="s">
        <v>2648</v>
      </c>
      <c r="I762" s="20" t="s">
        <v>58</v>
      </c>
      <c r="J762" s="20" t="s">
        <v>373</v>
      </c>
      <c r="K762" s="20" t="s">
        <v>2649</v>
      </c>
      <c r="L762" s="19" t="s">
        <v>61</v>
      </c>
      <c r="M762" s="19" t="s">
        <v>62</v>
      </c>
      <c r="N762" s="19" t="s">
        <v>683</v>
      </c>
      <c r="O762" s="19">
        <v>21</v>
      </c>
      <c r="P762" s="19">
        <v>3.73</v>
      </c>
      <c r="Q762" s="19">
        <v>1</v>
      </c>
      <c r="R762" s="20">
        <v>8</v>
      </c>
      <c r="S762" s="19">
        <v>6.6000000000000003E-2</v>
      </c>
      <c r="T762" s="19" t="s">
        <v>64</v>
      </c>
      <c r="U762" s="19" t="s">
        <v>65</v>
      </c>
      <c r="V762" s="19" t="s">
        <v>66</v>
      </c>
      <c r="W762" s="19" t="s">
        <v>67</v>
      </c>
      <c r="X762" s="19" t="s">
        <v>68</v>
      </c>
      <c r="Y762" s="21" t="s">
        <v>623</v>
      </c>
      <c r="Z762" s="21" t="s">
        <v>2570</v>
      </c>
      <c r="AA762" s="21" t="s">
        <v>625</v>
      </c>
      <c r="AB762" s="21">
        <v>2</v>
      </c>
      <c r="AC762" s="21"/>
      <c r="AD762" s="21"/>
      <c r="AE762" s="21"/>
      <c r="AF762" s="21"/>
      <c r="AG762" s="21" t="s">
        <v>2647</v>
      </c>
      <c r="AH762" s="21"/>
      <c r="AI762" s="21"/>
      <c r="AJ762" s="22"/>
      <c r="AK762" s="22"/>
      <c r="AL762" s="21" t="str">
        <f>_xlfn.XLOOKUP(A:A,[1]TAGS!$A:$A,[1]TAGS!$BG:$BG)</f>
        <v>Não Montado</v>
      </c>
      <c r="AM762" s="21" t="s">
        <v>70</v>
      </c>
      <c r="AN762" s="22"/>
      <c r="AO762" s="21" t="str">
        <f>_xlfn.XLOOKUP(A:A,[1]TAGS!$A:$A,[1]TAGS!$BG:$BG)</f>
        <v>Não Montado</v>
      </c>
      <c r="AP762" s="21"/>
      <c r="AQ762" s="21"/>
      <c r="AR762" s="21"/>
      <c r="AS762" s="21"/>
      <c r="AT762" s="21"/>
      <c r="AU762" s="21"/>
    </row>
    <row r="763" spans="1:47" x14ac:dyDescent="0.35">
      <c r="A763" s="19" t="s">
        <v>2650</v>
      </c>
      <c r="B763" s="19" t="s">
        <v>52</v>
      </c>
      <c r="C763" s="19"/>
      <c r="D763" s="19" t="s">
        <v>53</v>
      </c>
      <c r="E763" s="19" t="s">
        <v>460</v>
      </c>
      <c r="F763" s="20" t="s">
        <v>370</v>
      </c>
      <c r="G763" s="20" t="s">
        <v>371</v>
      </c>
      <c r="H763" s="19" t="s">
        <v>2651</v>
      </c>
      <c r="I763" s="20" t="s">
        <v>58</v>
      </c>
      <c r="J763" s="20" t="s">
        <v>373</v>
      </c>
      <c r="K763" s="20" t="s">
        <v>2652</v>
      </c>
      <c r="L763" s="19" t="s">
        <v>61</v>
      </c>
      <c r="M763" s="19" t="s">
        <v>62</v>
      </c>
      <c r="N763" s="19" t="s">
        <v>683</v>
      </c>
      <c r="O763" s="19">
        <v>21</v>
      </c>
      <c r="P763" s="19">
        <v>3.73</v>
      </c>
      <c r="Q763" s="19">
        <v>1</v>
      </c>
      <c r="R763" s="20">
        <v>8</v>
      </c>
      <c r="S763" s="19">
        <v>6.6000000000000003E-2</v>
      </c>
      <c r="T763" s="19" t="s">
        <v>64</v>
      </c>
      <c r="U763" s="19" t="s">
        <v>65</v>
      </c>
      <c r="V763" s="19" t="s">
        <v>66</v>
      </c>
      <c r="W763" s="19" t="s">
        <v>67</v>
      </c>
      <c r="X763" s="19" t="s">
        <v>68</v>
      </c>
      <c r="Y763" s="21" t="s">
        <v>623</v>
      </c>
      <c r="Z763" s="21" t="s">
        <v>2592</v>
      </c>
      <c r="AA763" s="21" t="s">
        <v>692</v>
      </c>
      <c r="AB763" s="21">
        <v>2</v>
      </c>
      <c r="AC763" s="21"/>
      <c r="AD763" s="21"/>
      <c r="AE763" s="21"/>
      <c r="AF763" s="21"/>
      <c r="AG763" s="21" t="s">
        <v>2650</v>
      </c>
      <c r="AH763" s="21"/>
      <c r="AI763" s="21"/>
      <c r="AJ763" s="22"/>
      <c r="AK763" s="22"/>
      <c r="AL763" s="21" t="str">
        <f>_xlfn.XLOOKUP(A:A,[1]TAGS!$A:$A,[1]TAGS!$BG:$BG)</f>
        <v>Não Montado</v>
      </c>
      <c r="AM763" s="21" t="s">
        <v>70</v>
      </c>
      <c r="AN763" s="22"/>
      <c r="AO763" s="21" t="str">
        <f>_xlfn.XLOOKUP(A:A,[1]TAGS!$A:$A,[1]TAGS!$BG:$BG)</f>
        <v>Não Montado</v>
      </c>
      <c r="AP763" s="21"/>
      <c r="AQ763" s="21"/>
      <c r="AR763" s="21"/>
      <c r="AS763" s="21"/>
      <c r="AT763" s="21"/>
      <c r="AU763" s="21"/>
    </row>
    <row r="764" spans="1:47" x14ac:dyDescent="0.35">
      <c r="A764" s="19" t="s">
        <v>2653</v>
      </c>
      <c r="B764" s="19" t="s">
        <v>52</v>
      </c>
      <c r="C764" s="19"/>
      <c r="D764" s="19" t="s">
        <v>53</v>
      </c>
      <c r="E764" s="19" t="s">
        <v>460</v>
      </c>
      <c r="F764" s="20" t="s">
        <v>370</v>
      </c>
      <c r="G764" s="20" t="s">
        <v>371</v>
      </c>
      <c r="H764" s="19" t="s">
        <v>2654</v>
      </c>
      <c r="I764" s="20" t="s">
        <v>58</v>
      </c>
      <c r="J764" s="20" t="s">
        <v>373</v>
      </c>
      <c r="K764" s="20" t="s">
        <v>2655</v>
      </c>
      <c r="L764" s="19" t="s">
        <v>61</v>
      </c>
      <c r="M764" s="19" t="s">
        <v>62</v>
      </c>
      <c r="N764" s="19" t="s">
        <v>683</v>
      </c>
      <c r="O764" s="19">
        <v>21</v>
      </c>
      <c r="P764" s="19">
        <v>3.73</v>
      </c>
      <c r="Q764" s="19">
        <v>1</v>
      </c>
      <c r="R764" s="20">
        <v>8</v>
      </c>
      <c r="S764" s="19">
        <v>6.6000000000000003E-2</v>
      </c>
      <c r="T764" s="19" t="s">
        <v>64</v>
      </c>
      <c r="U764" s="19" t="s">
        <v>65</v>
      </c>
      <c r="V764" s="19" t="s">
        <v>66</v>
      </c>
      <c r="W764" s="19" t="s">
        <v>67</v>
      </c>
      <c r="X764" s="19" t="s">
        <v>68</v>
      </c>
      <c r="Y764" s="21" t="s">
        <v>623</v>
      </c>
      <c r="Z764" s="21" t="s">
        <v>2592</v>
      </c>
      <c r="AA764" s="21" t="s">
        <v>625</v>
      </c>
      <c r="AB764" s="21">
        <v>2</v>
      </c>
      <c r="AC764" s="21"/>
      <c r="AD764" s="21"/>
      <c r="AE764" s="21"/>
      <c r="AF764" s="21"/>
      <c r="AG764" s="21" t="s">
        <v>2653</v>
      </c>
      <c r="AH764" s="21"/>
      <c r="AI764" s="21"/>
      <c r="AJ764" s="22"/>
      <c r="AK764" s="22"/>
      <c r="AL764" s="21" t="str">
        <f>_xlfn.XLOOKUP(A:A,[1]TAGS!$A:$A,[1]TAGS!$BG:$BG)</f>
        <v>Não Montado</v>
      </c>
      <c r="AM764" s="21" t="s">
        <v>70</v>
      </c>
      <c r="AN764" s="22"/>
      <c r="AO764" s="21" t="str">
        <f>_xlfn.XLOOKUP(A:A,[1]TAGS!$A:$A,[1]TAGS!$BG:$BG)</f>
        <v>Não Montado</v>
      </c>
      <c r="AP764" s="21"/>
      <c r="AQ764" s="21"/>
      <c r="AR764" s="21"/>
      <c r="AS764" s="21"/>
      <c r="AT764" s="21"/>
      <c r="AU764" s="21"/>
    </row>
    <row r="765" spans="1:47" x14ac:dyDescent="0.35">
      <c r="A765" s="19" t="s">
        <v>2656</v>
      </c>
      <c r="B765" s="19" t="s">
        <v>52</v>
      </c>
      <c r="C765" s="19"/>
      <c r="D765" s="19" t="s">
        <v>53</v>
      </c>
      <c r="E765" s="19" t="s">
        <v>460</v>
      </c>
      <c r="F765" s="20" t="s">
        <v>370</v>
      </c>
      <c r="G765" s="20" t="s">
        <v>371</v>
      </c>
      <c r="H765" s="19" t="s">
        <v>2657</v>
      </c>
      <c r="I765" s="20" t="s">
        <v>58</v>
      </c>
      <c r="J765" s="20" t="s">
        <v>373</v>
      </c>
      <c r="K765" s="20" t="s">
        <v>2658</v>
      </c>
      <c r="L765" s="19" t="s">
        <v>61</v>
      </c>
      <c r="M765" s="19" t="s">
        <v>62</v>
      </c>
      <c r="N765" s="19" t="s">
        <v>683</v>
      </c>
      <c r="O765" s="19">
        <v>21</v>
      </c>
      <c r="P765" s="19">
        <v>3.73</v>
      </c>
      <c r="Q765" s="19">
        <v>1</v>
      </c>
      <c r="R765" s="20">
        <v>8</v>
      </c>
      <c r="S765" s="19">
        <v>6.6000000000000003E-2</v>
      </c>
      <c r="T765" s="19" t="s">
        <v>64</v>
      </c>
      <c r="U765" s="19" t="s">
        <v>65</v>
      </c>
      <c r="V765" s="19" t="s">
        <v>66</v>
      </c>
      <c r="W765" s="19" t="s">
        <v>67</v>
      </c>
      <c r="X765" s="19" t="s">
        <v>68</v>
      </c>
      <c r="Y765" s="21" t="s">
        <v>623</v>
      </c>
      <c r="Z765" s="21" t="s">
        <v>2599</v>
      </c>
      <c r="AA765" s="21" t="s">
        <v>692</v>
      </c>
      <c r="AB765" s="21">
        <v>2</v>
      </c>
      <c r="AC765" s="21"/>
      <c r="AD765" s="21"/>
      <c r="AE765" s="21"/>
      <c r="AF765" s="21"/>
      <c r="AG765" s="21" t="s">
        <v>2656</v>
      </c>
      <c r="AH765" s="21"/>
      <c r="AI765" s="21"/>
      <c r="AJ765" s="22"/>
      <c r="AK765" s="22"/>
      <c r="AL765" s="21" t="str">
        <f>_xlfn.XLOOKUP(A:A,[1]TAGS!$A:$A,[1]TAGS!$BG:$BG)</f>
        <v>Não Montado</v>
      </c>
      <c r="AM765" s="21" t="s">
        <v>70</v>
      </c>
      <c r="AN765" s="22"/>
      <c r="AO765" s="21" t="str">
        <f>_xlfn.XLOOKUP(A:A,[1]TAGS!$A:$A,[1]TAGS!$BG:$BG)</f>
        <v>Não Montado</v>
      </c>
      <c r="AP765" s="21"/>
      <c r="AQ765" s="21"/>
      <c r="AR765" s="21"/>
      <c r="AS765" s="21"/>
      <c r="AT765" s="21"/>
      <c r="AU765" s="21"/>
    </row>
    <row r="766" spans="1:47" x14ac:dyDescent="0.35">
      <c r="A766" s="19" t="s">
        <v>2659</v>
      </c>
      <c r="B766" s="19" t="s">
        <v>52</v>
      </c>
      <c r="C766" s="19"/>
      <c r="D766" s="19" t="s">
        <v>53</v>
      </c>
      <c r="E766" s="19" t="s">
        <v>460</v>
      </c>
      <c r="F766" s="20" t="s">
        <v>370</v>
      </c>
      <c r="G766" s="20" t="s">
        <v>371</v>
      </c>
      <c r="H766" s="19" t="s">
        <v>2660</v>
      </c>
      <c r="I766" s="20" t="s">
        <v>58</v>
      </c>
      <c r="J766" s="20" t="s">
        <v>373</v>
      </c>
      <c r="K766" s="20" t="s">
        <v>2661</v>
      </c>
      <c r="L766" s="19" t="s">
        <v>61</v>
      </c>
      <c r="M766" s="19" t="s">
        <v>62</v>
      </c>
      <c r="N766" s="19" t="s">
        <v>683</v>
      </c>
      <c r="O766" s="19">
        <v>21</v>
      </c>
      <c r="P766" s="19">
        <v>3.73</v>
      </c>
      <c r="Q766" s="19">
        <v>1</v>
      </c>
      <c r="R766" s="20">
        <v>8</v>
      </c>
      <c r="S766" s="19">
        <v>6.6000000000000003E-2</v>
      </c>
      <c r="T766" s="19" t="s">
        <v>64</v>
      </c>
      <c r="U766" s="19" t="s">
        <v>65</v>
      </c>
      <c r="V766" s="19" t="s">
        <v>66</v>
      </c>
      <c r="W766" s="19" t="s">
        <v>67</v>
      </c>
      <c r="X766" s="19" t="s">
        <v>68</v>
      </c>
      <c r="Y766" s="21" t="s">
        <v>623</v>
      </c>
      <c r="Z766" s="21" t="s">
        <v>2599</v>
      </c>
      <c r="AA766" s="21" t="s">
        <v>625</v>
      </c>
      <c r="AB766" s="21">
        <v>2</v>
      </c>
      <c r="AC766" s="21"/>
      <c r="AD766" s="21"/>
      <c r="AE766" s="21"/>
      <c r="AF766" s="21"/>
      <c r="AG766" s="21" t="s">
        <v>2659</v>
      </c>
      <c r="AH766" s="21"/>
      <c r="AI766" s="21"/>
      <c r="AJ766" s="22"/>
      <c r="AK766" s="22"/>
      <c r="AL766" s="21" t="str">
        <f>_xlfn.XLOOKUP(A:A,[1]TAGS!$A:$A,[1]TAGS!$BG:$BG)</f>
        <v>Não Montado</v>
      </c>
      <c r="AM766" s="21" t="s">
        <v>70</v>
      </c>
      <c r="AN766" s="22"/>
      <c r="AO766" s="21" t="str">
        <f>_xlfn.XLOOKUP(A:A,[1]TAGS!$A:$A,[1]TAGS!$BG:$BG)</f>
        <v>Não Montado</v>
      </c>
      <c r="AP766" s="21"/>
      <c r="AQ766" s="21"/>
      <c r="AR766" s="21"/>
      <c r="AS766" s="21"/>
      <c r="AT766" s="21"/>
      <c r="AU766" s="21"/>
    </row>
    <row r="767" spans="1:47" x14ac:dyDescent="0.35">
      <c r="A767" s="19" t="s">
        <v>2662</v>
      </c>
      <c r="B767" s="19" t="s">
        <v>52</v>
      </c>
      <c r="C767" s="19"/>
      <c r="D767" s="19" t="s">
        <v>53</v>
      </c>
      <c r="E767" s="19" t="s">
        <v>460</v>
      </c>
      <c r="F767" s="20" t="s">
        <v>370</v>
      </c>
      <c r="G767" s="20" t="s">
        <v>371</v>
      </c>
      <c r="H767" s="19" t="s">
        <v>2663</v>
      </c>
      <c r="I767" s="20" t="s">
        <v>58</v>
      </c>
      <c r="J767" s="20" t="s">
        <v>373</v>
      </c>
      <c r="K767" s="20" t="s">
        <v>2664</v>
      </c>
      <c r="L767" s="19" t="s">
        <v>61</v>
      </c>
      <c r="M767" s="19" t="s">
        <v>62</v>
      </c>
      <c r="N767" s="19" t="s">
        <v>683</v>
      </c>
      <c r="O767" s="19">
        <v>21</v>
      </c>
      <c r="P767" s="19">
        <v>3.73</v>
      </c>
      <c r="Q767" s="19">
        <v>1</v>
      </c>
      <c r="R767" s="20">
        <v>8</v>
      </c>
      <c r="S767" s="19">
        <v>6.6000000000000003E-2</v>
      </c>
      <c r="T767" s="19" t="s">
        <v>64</v>
      </c>
      <c r="U767" s="19" t="s">
        <v>65</v>
      </c>
      <c r="V767" s="19" t="s">
        <v>66</v>
      </c>
      <c r="W767" s="19" t="s">
        <v>67</v>
      </c>
      <c r="X767" s="19" t="s">
        <v>68</v>
      </c>
      <c r="Y767" s="21" t="s">
        <v>623</v>
      </c>
      <c r="Z767" s="21" t="s">
        <v>2606</v>
      </c>
      <c r="AA767" s="21" t="s">
        <v>692</v>
      </c>
      <c r="AB767" s="21">
        <v>2</v>
      </c>
      <c r="AC767" s="21"/>
      <c r="AD767" s="21"/>
      <c r="AE767" s="21"/>
      <c r="AF767" s="21"/>
      <c r="AG767" s="21" t="s">
        <v>2662</v>
      </c>
      <c r="AH767" s="21"/>
      <c r="AI767" s="21"/>
      <c r="AJ767" s="22"/>
      <c r="AK767" s="22"/>
      <c r="AL767" s="21" t="str">
        <f>_xlfn.XLOOKUP(A:A,[1]TAGS!$A:$A,[1]TAGS!$BG:$BG)</f>
        <v>Não Montado</v>
      </c>
      <c r="AM767" s="21" t="s">
        <v>70</v>
      </c>
      <c r="AN767" s="22"/>
      <c r="AO767" s="21" t="str">
        <f>_xlfn.XLOOKUP(A:A,[1]TAGS!$A:$A,[1]TAGS!$BG:$BG)</f>
        <v>Não Montado</v>
      </c>
      <c r="AP767" s="21"/>
      <c r="AQ767" s="21"/>
      <c r="AR767" s="21"/>
      <c r="AS767" s="21"/>
      <c r="AT767" s="21"/>
      <c r="AU767" s="21"/>
    </row>
    <row r="768" spans="1:47" x14ac:dyDescent="0.35">
      <c r="A768" s="19" t="s">
        <v>2665</v>
      </c>
      <c r="B768" s="19" t="s">
        <v>52</v>
      </c>
      <c r="C768" s="19"/>
      <c r="D768" s="19" t="s">
        <v>53</v>
      </c>
      <c r="E768" s="19" t="s">
        <v>460</v>
      </c>
      <c r="F768" s="20" t="s">
        <v>370</v>
      </c>
      <c r="G768" s="20" t="s">
        <v>371</v>
      </c>
      <c r="H768" s="19" t="s">
        <v>2666</v>
      </c>
      <c r="I768" s="20" t="s">
        <v>58</v>
      </c>
      <c r="J768" s="20" t="s">
        <v>373</v>
      </c>
      <c r="K768" s="20" t="s">
        <v>2667</v>
      </c>
      <c r="L768" s="19" t="s">
        <v>61</v>
      </c>
      <c r="M768" s="19" t="s">
        <v>62</v>
      </c>
      <c r="N768" s="19" t="s">
        <v>683</v>
      </c>
      <c r="O768" s="19">
        <v>21</v>
      </c>
      <c r="P768" s="19">
        <v>3.73</v>
      </c>
      <c r="Q768" s="19">
        <v>1</v>
      </c>
      <c r="R768" s="20">
        <v>8</v>
      </c>
      <c r="S768" s="19">
        <v>6.6000000000000003E-2</v>
      </c>
      <c r="T768" s="19" t="s">
        <v>64</v>
      </c>
      <c r="U768" s="19" t="s">
        <v>65</v>
      </c>
      <c r="V768" s="19" t="s">
        <v>66</v>
      </c>
      <c r="W768" s="19" t="s">
        <v>67</v>
      </c>
      <c r="X768" s="19" t="s">
        <v>68</v>
      </c>
      <c r="Y768" s="21" t="s">
        <v>623</v>
      </c>
      <c r="Z768" s="21" t="s">
        <v>2606</v>
      </c>
      <c r="AA768" s="21" t="s">
        <v>625</v>
      </c>
      <c r="AB768" s="21">
        <v>2</v>
      </c>
      <c r="AC768" s="21"/>
      <c r="AD768" s="21"/>
      <c r="AE768" s="21"/>
      <c r="AF768" s="21"/>
      <c r="AG768" s="21" t="s">
        <v>2665</v>
      </c>
      <c r="AH768" s="21"/>
      <c r="AI768" s="21"/>
      <c r="AJ768" s="22"/>
      <c r="AK768" s="22"/>
      <c r="AL768" s="21" t="str">
        <f>_xlfn.XLOOKUP(A:A,[1]TAGS!$A:$A,[1]TAGS!$BG:$BG)</f>
        <v>Não Montado</v>
      </c>
      <c r="AM768" s="21" t="s">
        <v>70</v>
      </c>
      <c r="AN768" s="22"/>
      <c r="AO768" s="21" t="str">
        <f>_xlfn.XLOOKUP(A:A,[1]TAGS!$A:$A,[1]TAGS!$BG:$BG)</f>
        <v>Não Montado</v>
      </c>
      <c r="AP768" s="21"/>
      <c r="AQ768" s="21"/>
      <c r="AR768" s="21"/>
      <c r="AS768" s="21"/>
      <c r="AT768" s="21"/>
      <c r="AU768" s="21"/>
    </row>
    <row r="769" spans="1:47" x14ac:dyDescent="0.35">
      <c r="A769" s="19" t="s">
        <v>2668</v>
      </c>
      <c r="B769" s="19" t="s">
        <v>52</v>
      </c>
      <c r="C769" s="19"/>
      <c r="D769" s="19" t="s">
        <v>53</v>
      </c>
      <c r="E769" s="19" t="s">
        <v>460</v>
      </c>
      <c r="F769" s="20" t="s">
        <v>370</v>
      </c>
      <c r="G769" s="20" t="s">
        <v>371</v>
      </c>
      <c r="H769" s="19" t="s">
        <v>2669</v>
      </c>
      <c r="I769" s="20" t="s">
        <v>58</v>
      </c>
      <c r="J769" s="20" t="s">
        <v>373</v>
      </c>
      <c r="K769" s="20" t="s">
        <v>2670</v>
      </c>
      <c r="L769" s="19" t="s">
        <v>61</v>
      </c>
      <c r="M769" s="19" t="s">
        <v>62</v>
      </c>
      <c r="N769" s="19" t="s">
        <v>683</v>
      </c>
      <c r="O769" s="19">
        <v>21</v>
      </c>
      <c r="P769" s="19">
        <v>3.73</v>
      </c>
      <c r="Q769" s="19">
        <v>1</v>
      </c>
      <c r="R769" s="20">
        <v>8</v>
      </c>
      <c r="S769" s="19">
        <v>6.6000000000000003E-2</v>
      </c>
      <c r="T769" s="19" t="s">
        <v>64</v>
      </c>
      <c r="U769" s="19" t="s">
        <v>65</v>
      </c>
      <c r="V769" s="19" t="s">
        <v>66</v>
      </c>
      <c r="W769" s="19" t="s">
        <v>67</v>
      </c>
      <c r="X769" s="19" t="s">
        <v>68</v>
      </c>
      <c r="Y769" s="21" t="s">
        <v>623</v>
      </c>
      <c r="Z769" s="21" t="s">
        <v>2613</v>
      </c>
      <c r="AA769" s="21" t="s">
        <v>692</v>
      </c>
      <c r="AB769" s="21">
        <v>2</v>
      </c>
      <c r="AC769" s="21"/>
      <c r="AD769" s="21"/>
      <c r="AE769" s="21"/>
      <c r="AF769" s="21"/>
      <c r="AG769" s="21" t="s">
        <v>2668</v>
      </c>
      <c r="AH769" s="21"/>
      <c r="AI769" s="21"/>
      <c r="AJ769" s="22"/>
      <c r="AK769" s="22"/>
      <c r="AL769" s="21" t="str">
        <f>_xlfn.XLOOKUP(A:A,[1]TAGS!$A:$A,[1]TAGS!$BG:$BG)</f>
        <v>Não Montado</v>
      </c>
      <c r="AM769" s="21" t="s">
        <v>70</v>
      </c>
      <c r="AN769" s="22"/>
      <c r="AO769" s="21" t="str">
        <f>_xlfn.XLOOKUP(A:A,[1]TAGS!$A:$A,[1]TAGS!$BG:$BG)</f>
        <v>Não Montado</v>
      </c>
      <c r="AP769" s="21"/>
      <c r="AQ769" s="21"/>
      <c r="AR769" s="21"/>
      <c r="AS769" s="21"/>
      <c r="AT769" s="21"/>
      <c r="AU769" s="21"/>
    </row>
    <row r="770" spans="1:47" x14ac:dyDescent="0.35">
      <c r="A770" s="19" t="s">
        <v>2671</v>
      </c>
      <c r="B770" s="19" t="s">
        <v>52</v>
      </c>
      <c r="C770" s="19"/>
      <c r="D770" s="19" t="s">
        <v>53</v>
      </c>
      <c r="E770" s="19" t="s">
        <v>460</v>
      </c>
      <c r="F770" s="20" t="s">
        <v>370</v>
      </c>
      <c r="G770" s="20" t="s">
        <v>371</v>
      </c>
      <c r="H770" s="19" t="s">
        <v>2672</v>
      </c>
      <c r="I770" s="20" t="s">
        <v>58</v>
      </c>
      <c r="J770" s="20" t="s">
        <v>373</v>
      </c>
      <c r="K770" s="20" t="s">
        <v>2673</v>
      </c>
      <c r="L770" s="19" t="s">
        <v>61</v>
      </c>
      <c r="M770" s="19" t="s">
        <v>62</v>
      </c>
      <c r="N770" s="19" t="s">
        <v>683</v>
      </c>
      <c r="O770" s="19">
        <v>21</v>
      </c>
      <c r="P770" s="19">
        <v>3.73</v>
      </c>
      <c r="Q770" s="19">
        <v>1</v>
      </c>
      <c r="R770" s="20">
        <v>8</v>
      </c>
      <c r="S770" s="19">
        <v>6.6000000000000003E-2</v>
      </c>
      <c r="T770" s="19" t="s">
        <v>64</v>
      </c>
      <c r="U770" s="19" t="s">
        <v>65</v>
      </c>
      <c r="V770" s="19" t="s">
        <v>66</v>
      </c>
      <c r="W770" s="19" t="s">
        <v>67</v>
      </c>
      <c r="X770" s="19" t="s">
        <v>68</v>
      </c>
      <c r="Y770" s="21" t="s">
        <v>623</v>
      </c>
      <c r="Z770" s="21" t="s">
        <v>2613</v>
      </c>
      <c r="AA770" s="21" t="s">
        <v>625</v>
      </c>
      <c r="AB770" s="21">
        <v>2</v>
      </c>
      <c r="AC770" s="21"/>
      <c r="AD770" s="21"/>
      <c r="AE770" s="21"/>
      <c r="AF770" s="21"/>
      <c r="AG770" s="21" t="s">
        <v>2671</v>
      </c>
      <c r="AH770" s="21"/>
      <c r="AI770" s="21"/>
      <c r="AJ770" s="22"/>
      <c r="AK770" s="22"/>
      <c r="AL770" s="21" t="str">
        <f>_xlfn.XLOOKUP(A:A,[1]TAGS!$A:$A,[1]TAGS!$BG:$BG)</f>
        <v>Não Montado</v>
      </c>
      <c r="AM770" s="21" t="s">
        <v>70</v>
      </c>
      <c r="AN770" s="22"/>
      <c r="AO770" s="21" t="str">
        <f>_xlfn.XLOOKUP(A:A,[1]TAGS!$A:$A,[1]TAGS!$BG:$BG)</f>
        <v>Não Montado</v>
      </c>
      <c r="AP770" s="21"/>
      <c r="AQ770" s="21"/>
      <c r="AR770" s="21"/>
      <c r="AS770" s="21"/>
      <c r="AT770" s="21"/>
      <c r="AU770" s="21"/>
    </row>
    <row r="771" spans="1:47" x14ac:dyDescent="0.35">
      <c r="A771" s="19" t="s">
        <v>2674</v>
      </c>
      <c r="B771" s="19" t="s">
        <v>52</v>
      </c>
      <c r="C771" s="19"/>
      <c r="D771" s="19" t="s">
        <v>53</v>
      </c>
      <c r="E771" s="19" t="s">
        <v>460</v>
      </c>
      <c r="F771" s="20" t="s">
        <v>370</v>
      </c>
      <c r="G771" s="20" t="s">
        <v>371</v>
      </c>
      <c r="H771" s="19" t="s">
        <v>2675</v>
      </c>
      <c r="I771" s="20" t="s">
        <v>58</v>
      </c>
      <c r="J771" s="20" t="s">
        <v>373</v>
      </c>
      <c r="K771" s="20" t="s">
        <v>2676</v>
      </c>
      <c r="L771" s="19" t="s">
        <v>61</v>
      </c>
      <c r="M771" s="19" t="s">
        <v>62</v>
      </c>
      <c r="N771" s="19" t="s">
        <v>683</v>
      </c>
      <c r="O771" s="19">
        <v>21</v>
      </c>
      <c r="P771" s="19">
        <v>3.73</v>
      </c>
      <c r="Q771" s="19">
        <v>1</v>
      </c>
      <c r="R771" s="20">
        <v>8</v>
      </c>
      <c r="S771" s="19">
        <v>6.6000000000000003E-2</v>
      </c>
      <c r="T771" s="19" t="s">
        <v>64</v>
      </c>
      <c r="U771" s="19" t="s">
        <v>65</v>
      </c>
      <c r="V771" s="19" t="s">
        <v>66</v>
      </c>
      <c r="W771" s="19" t="s">
        <v>67</v>
      </c>
      <c r="X771" s="19" t="s">
        <v>68</v>
      </c>
      <c r="Y771" s="21" t="s">
        <v>623</v>
      </c>
      <c r="Z771" s="21" t="s">
        <v>2620</v>
      </c>
      <c r="AA771" s="21" t="s">
        <v>692</v>
      </c>
      <c r="AB771" s="21">
        <v>2</v>
      </c>
      <c r="AC771" s="21"/>
      <c r="AD771" s="21"/>
      <c r="AE771" s="21"/>
      <c r="AF771" s="21"/>
      <c r="AG771" s="21" t="s">
        <v>2674</v>
      </c>
      <c r="AH771" s="21"/>
      <c r="AI771" s="21"/>
      <c r="AJ771" s="22"/>
      <c r="AK771" s="22"/>
      <c r="AL771" s="21" t="str">
        <f>_xlfn.XLOOKUP(A:A,[1]TAGS!$A:$A,[1]TAGS!$BG:$BG)</f>
        <v>Não Montado</v>
      </c>
      <c r="AM771" s="21" t="s">
        <v>70</v>
      </c>
      <c r="AN771" s="22"/>
      <c r="AO771" s="21" t="str">
        <f>_xlfn.XLOOKUP(A:A,[1]TAGS!$A:$A,[1]TAGS!$BG:$BG)</f>
        <v>Não Montado</v>
      </c>
      <c r="AP771" s="21"/>
      <c r="AQ771" s="21"/>
      <c r="AR771" s="21"/>
      <c r="AS771" s="21"/>
      <c r="AT771" s="21"/>
      <c r="AU771" s="21"/>
    </row>
    <row r="772" spans="1:47" x14ac:dyDescent="0.35">
      <c r="A772" s="19" t="s">
        <v>2677</v>
      </c>
      <c r="B772" s="19" t="s">
        <v>52</v>
      </c>
      <c r="C772" s="19"/>
      <c r="D772" s="19" t="s">
        <v>53</v>
      </c>
      <c r="E772" s="19" t="s">
        <v>460</v>
      </c>
      <c r="F772" s="20" t="s">
        <v>370</v>
      </c>
      <c r="G772" s="20" t="s">
        <v>371</v>
      </c>
      <c r="H772" s="19" t="s">
        <v>2678</v>
      </c>
      <c r="I772" s="20" t="s">
        <v>58</v>
      </c>
      <c r="J772" s="20" t="s">
        <v>373</v>
      </c>
      <c r="K772" s="20" t="s">
        <v>2679</v>
      </c>
      <c r="L772" s="19" t="s">
        <v>61</v>
      </c>
      <c r="M772" s="19" t="s">
        <v>62</v>
      </c>
      <c r="N772" s="19" t="s">
        <v>683</v>
      </c>
      <c r="O772" s="19">
        <v>21</v>
      </c>
      <c r="P772" s="19">
        <v>3.73</v>
      </c>
      <c r="Q772" s="19">
        <v>1</v>
      </c>
      <c r="R772" s="20">
        <v>8</v>
      </c>
      <c r="S772" s="19">
        <v>6.6000000000000003E-2</v>
      </c>
      <c r="T772" s="19" t="s">
        <v>64</v>
      </c>
      <c r="U772" s="19" t="s">
        <v>65</v>
      </c>
      <c r="V772" s="19" t="s">
        <v>66</v>
      </c>
      <c r="W772" s="19" t="s">
        <v>67</v>
      </c>
      <c r="X772" s="19" t="s">
        <v>68</v>
      </c>
      <c r="Y772" s="21" t="s">
        <v>623</v>
      </c>
      <c r="Z772" s="21" t="s">
        <v>2620</v>
      </c>
      <c r="AA772" s="21" t="s">
        <v>625</v>
      </c>
      <c r="AB772" s="21">
        <v>2</v>
      </c>
      <c r="AC772" s="21"/>
      <c r="AD772" s="21"/>
      <c r="AE772" s="21"/>
      <c r="AF772" s="21"/>
      <c r="AG772" s="21" t="s">
        <v>2677</v>
      </c>
      <c r="AH772" s="21"/>
      <c r="AI772" s="21"/>
      <c r="AJ772" s="22"/>
      <c r="AK772" s="22"/>
      <c r="AL772" s="21" t="str">
        <f>_xlfn.XLOOKUP(A:A,[1]TAGS!$A:$A,[1]TAGS!$BG:$BG)</f>
        <v>Não Montado</v>
      </c>
      <c r="AM772" s="21" t="s">
        <v>70</v>
      </c>
      <c r="AN772" s="22"/>
      <c r="AO772" s="21" t="str">
        <f>_xlfn.XLOOKUP(A:A,[1]TAGS!$A:$A,[1]TAGS!$BG:$BG)</f>
        <v>Não Montado</v>
      </c>
      <c r="AP772" s="21"/>
      <c r="AQ772" s="21"/>
      <c r="AR772" s="21"/>
      <c r="AS772" s="21"/>
      <c r="AT772" s="21"/>
      <c r="AU772" s="21"/>
    </row>
    <row r="773" spans="1:47" x14ac:dyDescent="0.35">
      <c r="A773" s="19" t="s">
        <v>2680</v>
      </c>
      <c r="B773" s="19" t="s">
        <v>52</v>
      </c>
      <c r="C773" s="19"/>
      <c r="D773" s="19" t="s">
        <v>53</v>
      </c>
      <c r="E773" s="19" t="s">
        <v>460</v>
      </c>
      <c r="F773" s="20" t="s">
        <v>370</v>
      </c>
      <c r="G773" s="20" t="s">
        <v>371</v>
      </c>
      <c r="H773" s="19" t="s">
        <v>2681</v>
      </c>
      <c r="I773" s="20" t="s">
        <v>58</v>
      </c>
      <c r="J773" s="20" t="s">
        <v>373</v>
      </c>
      <c r="K773" s="20" t="s">
        <v>2682</v>
      </c>
      <c r="L773" s="19" t="s">
        <v>61</v>
      </c>
      <c r="M773" s="19" t="s">
        <v>62</v>
      </c>
      <c r="N773" s="19" t="s">
        <v>683</v>
      </c>
      <c r="O773" s="19">
        <v>21</v>
      </c>
      <c r="P773" s="19">
        <v>3.73</v>
      </c>
      <c r="Q773" s="19">
        <v>1</v>
      </c>
      <c r="R773" s="20">
        <v>8</v>
      </c>
      <c r="S773" s="19">
        <v>6.6000000000000003E-2</v>
      </c>
      <c r="T773" s="19" t="s">
        <v>64</v>
      </c>
      <c r="U773" s="19" t="s">
        <v>65</v>
      </c>
      <c r="V773" s="19" t="s">
        <v>66</v>
      </c>
      <c r="W773" s="19" t="s">
        <v>67</v>
      </c>
      <c r="X773" s="19" t="s">
        <v>68</v>
      </c>
      <c r="Y773" s="21" t="s">
        <v>623</v>
      </c>
      <c r="Z773" s="21" t="s">
        <v>2627</v>
      </c>
      <c r="AA773" s="21" t="s">
        <v>692</v>
      </c>
      <c r="AB773" s="21">
        <v>2</v>
      </c>
      <c r="AC773" s="21"/>
      <c r="AD773" s="21"/>
      <c r="AE773" s="21"/>
      <c r="AF773" s="21"/>
      <c r="AG773" s="21" t="s">
        <v>2680</v>
      </c>
      <c r="AH773" s="21"/>
      <c r="AI773" s="21"/>
      <c r="AJ773" s="22"/>
      <c r="AK773" s="22"/>
      <c r="AL773" s="21" t="str">
        <f>_xlfn.XLOOKUP(A:A,[1]TAGS!$A:$A,[1]TAGS!$BG:$BG)</f>
        <v>Não Montado</v>
      </c>
      <c r="AM773" s="21" t="s">
        <v>70</v>
      </c>
      <c r="AN773" s="22"/>
      <c r="AO773" s="21" t="str">
        <f>_xlfn.XLOOKUP(A:A,[1]TAGS!$A:$A,[1]TAGS!$BG:$BG)</f>
        <v>Não Montado</v>
      </c>
      <c r="AP773" s="21"/>
      <c r="AQ773" s="21"/>
      <c r="AR773" s="21"/>
      <c r="AS773" s="21"/>
      <c r="AT773" s="21"/>
      <c r="AU773" s="21"/>
    </row>
    <row r="774" spans="1:47" x14ac:dyDescent="0.35">
      <c r="A774" s="19" t="s">
        <v>2683</v>
      </c>
      <c r="B774" s="19" t="s">
        <v>52</v>
      </c>
      <c r="C774" s="19"/>
      <c r="D774" s="19" t="s">
        <v>53</v>
      </c>
      <c r="E774" s="19" t="s">
        <v>460</v>
      </c>
      <c r="F774" s="20" t="s">
        <v>370</v>
      </c>
      <c r="G774" s="20" t="s">
        <v>371</v>
      </c>
      <c r="H774" s="19" t="s">
        <v>2684</v>
      </c>
      <c r="I774" s="20" t="s">
        <v>58</v>
      </c>
      <c r="J774" s="20" t="s">
        <v>373</v>
      </c>
      <c r="K774" s="20" t="s">
        <v>2685</v>
      </c>
      <c r="L774" s="19" t="s">
        <v>61</v>
      </c>
      <c r="M774" s="19" t="s">
        <v>62</v>
      </c>
      <c r="N774" s="19" t="s">
        <v>683</v>
      </c>
      <c r="O774" s="19">
        <v>21</v>
      </c>
      <c r="P774" s="19">
        <v>3.73</v>
      </c>
      <c r="Q774" s="19">
        <v>1</v>
      </c>
      <c r="R774" s="20">
        <v>8</v>
      </c>
      <c r="S774" s="19">
        <v>6.6000000000000003E-2</v>
      </c>
      <c r="T774" s="19" t="s">
        <v>64</v>
      </c>
      <c r="U774" s="19" t="s">
        <v>65</v>
      </c>
      <c r="V774" s="19" t="s">
        <v>66</v>
      </c>
      <c r="W774" s="19" t="s">
        <v>67</v>
      </c>
      <c r="X774" s="19" t="s">
        <v>68</v>
      </c>
      <c r="Y774" s="21" t="s">
        <v>623</v>
      </c>
      <c r="Z774" s="21" t="s">
        <v>2627</v>
      </c>
      <c r="AA774" s="21" t="s">
        <v>625</v>
      </c>
      <c r="AB774" s="21">
        <v>2</v>
      </c>
      <c r="AC774" s="21"/>
      <c r="AD774" s="21"/>
      <c r="AE774" s="21"/>
      <c r="AF774" s="21"/>
      <c r="AG774" s="21" t="s">
        <v>2683</v>
      </c>
      <c r="AH774" s="21"/>
      <c r="AI774" s="21"/>
      <c r="AJ774" s="22"/>
      <c r="AK774" s="22"/>
      <c r="AL774" s="21" t="str">
        <f>_xlfn.XLOOKUP(A:A,[1]TAGS!$A:$A,[1]TAGS!$BG:$BG)</f>
        <v>Não Montado</v>
      </c>
      <c r="AM774" s="21" t="s">
        <v>70</v>
      </c>
      <c r="AN774" s="22"/>
      <c r="AO774" s="21" t="str">
        <f>_xlfn.XLOOKUP(A:A,[1]TAGS!$A:$A,[1]TAGS!$BG:$BG)</f>
        <v>Não Montado</v>
      </c>
      <c r="AP774" s="21"/>
      <c r="AQ774" s="21"/>
      <c r="AR774" s="21"/>
      <c r="AS774" s="21"/>
      <c r="AT774" s="21"/>
      <c r="AU774" s="21"/>
    </row>
    <row r="775" spans="1:47" x14ac:dyDescent="0.35">
      <c r="A775" s="19" t="s">
        <v>2686</v>
      </c>
      <c r="B775" s="19" t="s">
        <v>52</v>
      </c>
      <c r="C775" s="19"/>
      <c r="D775" s="19" t="s">
        <v>53</v>
      </c>
      <c r="E775" s="19" t="s">
        <v>460</v>
      </c>
      <c r="F775" s="20" t="s">
        <v>370</v>
      </c>
      <c r="G775" s="20" t="s">
        <v>371</v>
      </c>
      <c r="H775" s="19" t="s">
        <v>2687</v>
      </c>
      <c r="I775" s="20" t="s">
        <v>58</v>
      </c>
      <c r="J775" s="20" t="s">
        <v>373</v>
      </c>
      <c r="K775" s="20" t="s">
        <v>2688</v>
      </c>
      <c r="L775" s="19" t="s">
        <v>61</v>
      </c>
      <c r="M775" s="19" t="s">
        <v>62</v>
      </c>
      <c r="N775" s="19" t="s">
        <v>683</v>
      </c>
      <c r="O775" s="19">
        <v>21</v>
      </c>
      <c r="P775" s="19">
        <v>3.73</v>
      </c>
      <c r="Q775" s="19">
        <v>1</v>
      </c>
      <c r="R775" s="20">
        <v>8</v>
      </c>
      <c r="S775" s="19">
        <v>6.6000000000000003E-2</v>
      </c>
      <c r="T775" s="19" t="s">
        <v>64</v>
      </c>
      <c r="U775" s="19" t="s">
        <v>65</v>
      </c>
      <c r="V775" s="19" t="s">
        <v>66</v>
      </c>
      <c r="W775" s="19" t="s">
        <v>67</v>
      </c>
      <c r="X775" s="19" t="s">
        <v>68</v>
      </c>
      <c r="Y775" s="21" t="s">
        <v>623</v>
      </c>
      <c r="Z775" s="21" t="s">
        <v>2634</v>
      </c>
      <c r="AA775" s="21" t="s">
        <v>692</v>
      </c>
      <c r="AB775" s="21">
        <v>2</v>
      </c>
      <c r="AC775" s="21"/>
      <c r="AD775" s="21"/>
      <c r="AE775" s="21"/>
      <c r="AF775" s="21"/>
      <c r="AG775" s="21" t="s">
        <v>2686</v>
      </c>
      <c r="AH775" s="21"/>
      <c r="AI775" s="21"/>
      <c r="AJ775" s="22"/>
      <c r="AK775" s="22"/>
      <c r="AL775" s="21" t="str">
        <f>_xlfn.XLOOKUP(A:A,[1]TAGS!$A:$A,[1]TAGS!$BG:$BG)</f>
        <v>Não Montado</v>
      </c>
      <c r="AM775" s="21" t="s">
        <v>70</v>
      </c>
      <c r="AN775" s="22"/>
      <c r="AO775" s="21" t="str">
        <f>_xlfn.XLOOKUP(A:A,[1]TAGS!$A:$A,[1]TAGS!$BG:$BG)</f>
        <v>Não Montado</v>
      </c>
      <c r="AP775" s="21"/>
      <c r="AQ775" s="21"/>
      <c r="AR775" s="21"/>
      <c r="AS775" s="21"/>
      <c r="AT775" s="21"/>
      <c r="AU775" s="21"/>
    </row>
    <row r="776" spans="1:47" x14ac:dyDescent="0.35">
      <c r="A776" s="19" t="s">
        <v>2689</v>
      </c>
      <c r="B776" s="19" t="s">
        <v>52</v>
      </c>
      <c r="C776" s="19"/>
      <c r="D776" s="19" t="s">
        <v>53</v>
      </c>
      <c r="E776" s="19" t="s">
        <v>460</v>
      </c>
      <c r="F776" s="20" t="s">
        <v>706</v>
      </c>
      <c r="G776" s="20" t="s">
        <v>707</v>
      </c>
      <c r="H776" s="19" t="s">
        <v>2690</v>
      </c>
      <c r="I776" s="20" t="s">
        <v>124</v>
      </c>
      <c r="J776" s="20" t="s">
        <v>709</v>
      </c>
      <c r="K776" s="20" t="s">
        <v>2691</v>
      </c>
      <c r="L776" s="19" t="s">
        <v>61</v>
      </c>
      <c r="M776" s="19" t="s">
        <v>62</v>
      </c>
      <c r="N776" s="19" t="s">
        <v>683</v>
      </c>
      <c r="O776" s="19">
        <v>21</v>
      </c>
      <c r="P776" s="19">
        <v>3.73</v>
      </c>
      <c r="Q776" s="19">
        <v>1</v>
      </c>
      <c r="R776" s="20">
        <v>8</v>
      </c>
      <c r="S776" s="19">
        <v>6.6000000000000003E-2</v>
      </c>
      <c r="T776" s="19" t="s">
        <v>64</v>
      </c>
      <c r="U776" s="19" t="s">
        <v>65</v>
      </c>
      <c r="V776" s="19" t="s">
        <v>66</v>
      </c>
      <c r="W776" s="19" t="s">
        <v>67</v>
      </c>
      <c r="X776" s="19" t="s">
        <v>68</v>
      </c>
      <c r="Y776" s="21" t="s">
        <v>623</v>
      </c>
      <c r="Z776" s="21" t="s">
        <v>721</v>
      </c>
      <c r="AA776" s="21" t="s">
        <v>692</v>
      </c>
      <c r="AB776" s="21">
        <v>2</v>
      </c>
      <c r="AC776" s="21"/>
      <c r="AD776" s="21"/>
      <c r="AE776" s="21"/>
      <c r="AF776" s="21"/>
      <c r="AG776" s="21" t="s">
        <v>2689</v>
      </c>
      <c r="AH776" s="21"/>
      <c r="AI776" s="21"/>
      <c r="AJ776" s="22"/>
      <c r="AK776" s="22"/>
      <c r="AL776" s="21" t="str">
        <f>_xlfn.XLOOKUP(A:A,[1]TAGS!$A:$A,[1]TAGS!$BG:$BG)</f>
        <v>Não Montado</v>
      </c>
      <c r="AM776" s="21" t="s">
        <v>70</v>
      </c>
      <c r="AN776" s="22"/>
      <c r="AO776" s="21" t="str">
        <f>_xlfn.XLOOKUP(A:A,[1]TAGS!$A:$A,[1]TAGS!$BG:$BG)</f>
        <v>Não Montado</v>
      </c>
      <c r="AP776" s="21"/>
      <c r="AQ776" s="21"/>
      <c r="AR776" s="21"/>
      <c r="AS776" s="21"/>
      <c r="AT776" s="21"/>
      <c r="AU776" s="21"/>
    </row>
    <row r="777" spans="1:47" x14ac:dyDescent="0.35">
      <c r="A777" s="19" t="s">
        <v>2692</v>
      </c>
      <c r="B777" s="19" t="s">
        <v>52</v>
      </c>
      <c r="C777" s="19"/>
      <c r="D777" s="19" t="s">
        <v>53</v>
      </c>
      <c r="E777" s="19" t="s">
        <v>460</v>
      </c>
      <c r="F777" s="20" t="s">
        <v>397</v>
      </c>
      <c r="G777" s="20" t="s">
        <v>398</v>
      </c>
      <c r="H777" s="19" t="s">
        <v>2693</v>
      </c>
      <c r="I777" s="20" t="s">
        <v>58</v>
      </c>
      <c r="J777" s="20" t="s">
        <v>400</v>
      </c>
      <c r="K777" s="20" t="s">
        <v>2694</v>
      </c>
      <c r="L777" s="19" t="s">
        <v>61</v>
      </c>
      <c r="M777" s="19" t="s">
        <v>62</v>
      </c>
      <c r="N777" s="19" t="s">
        <v>683</v>
      </c>
      <c r="O777" s="19">
        <v>21</v>
      </c>
      <c r="P777" s="19">
        <v>3.73</v>
      </c>
      <c r="Q777" s="19">
        <v>1</v>
      </c>
      <c r="R777" s="20">
        <v>8</v>
      </c>
      <c r="S777" s="19">
        <v>6.6000000000000003E-2</v>
      </c>
      <c r="T777" s="19" t="s">
        <v>64</v>
      </c>
      <c r="U777" s="19" t="s">
        <v>65</v>
      </c>
      <c r="V777" s="19" t="s">
        <v>66</v>
      </c>
      <c r="W777" s="19" t="s">
        <v>67</v>
      </c>
      <c r="X777" s="19" t="s">
        <v>68</v>
      </c>
      <c r="Y777" s="21" t="s">
        <v>623</v>
      </c>
      <c r="Z777" s="21" t="s">
        <v>2570</v>
      </c>
      <c r="AA777" s="21" t="s">
        <v>692</v>
      </c>
      <c r="AB777" s="21">
        <v>3</v>
      </c>
      <c r="AC777" s="21"/>
      <c r="AD777" s="21"/>
      <c r="AE777" s="21"/>
      <c r="AF777" s="21"/>
      <c r="AG777" s="21" t="s">
        <v>2692</v>
      </c>
      <c r="AH777" s="21"/>
      <c r="AI777" s="21"/>
      <c r="AJ777" s="22"/>
      <c r="AK777" s="22"/>
      <c r="AL777" s="21" t="str">
        <f>_xlfn.XLOOKUP(A:A,[1]TAGS!$A:$A,[1]TAGS!$BG:$BG)</f>
        <v>Não Montado</v>
      </c>
      <c r="AM777" s="21" t="s">
        <v>70</v>
      </c>
      <c r="AN777" s="22"/>
      <c r="AO777" s="21" t="str">
        <f>_xlfn.XLOOKUP(A:A,[1]TAGS!$A:$A,[1]TAGS!$BG:$BG)</f>
        <v>Não Montado</v>
      </c>
      <c r="AP777" s="21"/>
      <c r="AQ777" s="21"/>
      <c r="AR777" s="21"/>
      <c r="AS777" s="21"/>
      <c r="AT777" s="21"/>
      <c r="AU777" s="21"/>
    </row>
    <row r="778" spans="1:47" x14ac:dyDescent="0.35">
      <c r="A778" s="19" t="s">
        <v>2695</v>
      </c>
      <c r="B778" s="19" t="s">
        <v>52</v>
      </c>
      <c r="C778" s="19"/>
      <c r="D778" s="19" t="s">
        <v>53</v>
      </c>
      <c r="E778" s="19" t="s">
        <v>460</v>
      </c>
      <c r="F778" s="20" t="s">
        <v>397</v>
      </c>
      <c r="G778" s="20" t="s">
        <v>398</v>
      </c>
      <c r="H778" s="19" t="s">
        <v>2696</v>
      </c>
      <c r="I778" s="20" t="s">
        <v>58</v>
      </c>
      <c r="J778" s="20" t="s">
        <v>400</v>
      </c>
      <c r="K778" s="20" t="s">
        <v>2697</v>
      </c>
      <c r="L778" s="19" t="s">
        <v>61</v>
      </c>
      <c r="M778" s="19" t="s">
        <v>62</v>
      </c>
      <c r="N778" s="19" t="s">
        <v>683</v>
      </c>
      <c r="O778" s="19">
        <v>21</v>
      </c>
      <c r="P778" s="19">
        <v>3.73</v>
      </c>
      <c r="Q778" s="19">
        <v>1</v>
      </c>
      <c r="R778" s="20">
        <v>8</v>
      </c>
      <c r="S778" s="19">
        <v>6.6000000000000003E-2</v>
      </c>
      <c r="T778" s="19" t="s">
        <v>64</v>
      </c>
      <c r="U778" s="19" t="s">
        <v>65</v>
      </c>
      <c r="V778" s="19" t="s">
        <v>66</v>
      </c>
      <c r="W778" s="19" t="s">
        <v>67</v>
      </c>
      <c r="X778" s="19" t="s">
        <v>68</v>
      </c>
      <c r="Y778" s="21" t="s">
        <v>623</v>
      </c>
      <c r="Z778" s="21" t="s">
        <v>2570</v>
      </c>
      <c r="AA778" s="21" t="s">
        <v>625</v>
      </c>
      <c r="AB778" s="21">
        <v>3</v>
      </c>
      <c r="AC778" s="21"/>
      <c r="AD778" s="21"/>
      <c r="AE778" s="21"/>
      <c r="AF778" s="21"/>
      <c r="AG778" s="21" t="s">
        <v>2695</v>
      </c>
      <c r="AH778" s="21"/>
      <c r="AI778" s="21"/>
      <c r="AJ778" s="22"/>
      <c r="AK778" s="22"/>
      <c r="AL778" s="21" t="str">
        <f>_xlfn.XLOOKUP(A:A,[1]TAGS!$A:$A,[1]TAGS!$BG:$BG)</f>
        <v>Não Montado</v>
      </c>
      <c r="AM778" s="21" t="s">
        <v>70</v>
      </c>
      <c r="AN778" s="22"/>
      <c r="AO778" s="21" t="str">
        <f>_xlfn.XLOOKUP(A:A,[1]TAGS!$A:$A,[1]TAGS!$BG:$BG)</f>
        <v>Não Montado</v>
      </c>
      <c r="AP778" s="21"/>
      <c r="AQ778" s="21"/>
      <c r="AR778" s="21"/>
      <c r="AS778" s="21"/>
      <c r="AT778" s="21"/>
      <c r="AU778" s="21"/>
    </row>
    <row r="779" spans="1:47" x14ac:dyDescent="0.35">
      <c r="A779" s="19" t="s">
        <v>2698</v>
      </c>
      <c r="B779" s="19" t="s">
        <v>52</v>
      </c>
      <c r="C779" s="19"/>
      <c r="D779" s="19" t="s">
        <v>53</v>
      </c>
      <c r="E779" s="19" t="s">
        <v>460</v>
      </c>
      <c r="F779" s="20" t="s">
        <v>397</v>
      </c>
      <c r="G779" s="20" t="s">
        <v>398</v>
      </c>
      <c r="H779" s="19" t="s">
        <v>2699</v>
      </c>
      <c r="I779" s="20" t="s">
        <v>58</v>
      </c>
      <c r="J779" s="20" t="s">
        <v>400</v>
      </c>
      <c r="K779" s="20" t="s">
        <v>2700</v>
      </c>
      <c r="L779" s="19" t="s">
        <v>61</v>
      </c>
      <c r="M779" s="19" t="s">
        <v>62</v>
      </c>
      <c r="N779" s="19" t="s">
        <v>683</v>
      </c>
      <c r="O779" s="19">
        <v>21</v>
      </c>
      <c r="P779" s="19">
        <v>3.73</v>
      </c>
      <c r="Q779" s="19">
        <v>1</v>
      </c>
      <c r="R779" s="20">
        <v>8</v>
      </c>
      <c r="S779" s="19">
        <v>6.6000000000000003E-2</v>
      </c>
      <c r="T779" s="19" t="s">
        <v>64</v>
      </c>
      <c r="U779" s="19" t="s">
        <v>65</v>
      </c>
      <c r="V779" s="19" t="s">
        <v>66</v>
      </c>
      <c r="W779" s="19" t="s">
        <v>67</v>
      </c>
      <c r="X779" s="19" t="s">
        <v>68</v>
      </c>
      <c r="Y779" s="21" t="s">
        <v>623</v>
      </c>
      <c r="Z779" s="21" t="s">
        <v>2592</v>
      </c>
      <c r="AA779" s="21" t="s">
        <v>692</v>
      </c>
      <c r="AB779" s="21">
        <v>3</v>
      </c>
      <c r="AC779" s="21"/>
      <c r="AD779" s="21"/>
      <c r="AE779" s="21"/>
      <c r="AF779" s="21"/>
      <c r="AG779" s="21" t="s">
        <v>2698</v>
      </c>
      <c r="AH779" s="21"/>
      <c r="AI779" s="21"/>
      <c r="AJ779" s="22"/>
      <c r="AK779" s="22"/>
      <c r="AL779" s="21" t="str">
        <f>_xlfn.XLOOKUP(A:A,[1]TAGS!$A:$A,[1]TAGS!$BG:$BG)</f>
        <v>Não Montado</v>
      </c>
      <c r="AM779" s="21" t="s">
        <v>70</v>
      </c>
      <c r="AN779" s="22"/>
      <c r="AO779" s="21" t="str">
        <f>_xlfn.XLOOKUP(A:A,[1]TAGS!$A:$A,[1]TAGS!$BG:$BG)</f>
        <v>Não Montado</v>
      </c>
      <c r="AP779" s="21"/>
      <c r="AQ779" s="21"/>
      <c r="AR779" s="21"/>
      <c r="AS779" s="21"/>
      <c r="AT779" s="21"/>
      <c r="AU779" s="21"/>
    </row>
    <row r="780" spans="1:47" x14ac:dyDescent="0.35">
      <c r="A780" s="19" t="s">
        <v>2701</v>
      </c>
      <c r="B780" s="19" t="s">
        <v>52</v>
      </c>
      <c r="C780" s="19"/>
      <c r="D780" s="19" t="s">
        <v>53</v>
      </c>
      <c r="E780" s="19" t="s">
        <v>460</v>
      </c>
      <c r="F780" s="20" t="s">
        <v>397</v>
      </c>
      <c r="G780" s="20" t="s">
        <v>398</v>
      </c>
      <c r="H780" s="19" t="s">
        <v>2702</v>
      </c>
      <c r="I780" s="20" t="s">
        <v>58</v>
      </c>
      <c r="J780" s="20" t="s">
        <v>400</v>
      </c>
      <c r="K780" s="20" t="s">
        <v>2703</v>
      </c>
      <c r="L780" s="19" t="s">
        <v>61</v>
      </c>
      <c r="M780" s="19" t="s">
        <v>62</v>
      </c>
      <c r="N780" s="19" t="s">
        <v>683</v>
      </c>
      <c r="O780" s="19">
        <v>21</v>
      </c>
      <c r="P780" s="19">
        <v>3.73</v>
      </c>
      <c r="Q780" s="19">
        <v>1</v>
      </c>
      <c r="R780" s="20">
        <v>8</v>
      </c>
      <c r="S780" s="19">
        <v>6.6000000000000003E-2</v>
      </c>
      <c r="T780" s="19" t="s">
        <v>64</v>
      </c>
      <c r="U780" s="19" t="s">
        <v>65</v>
      </c>
      <c r="V780" s="19" t="s">
        <v>66</v>
      </c>
      <c r="W780" s="19" t="s">
        <v>67</v>
      </c>
      <c r="X780" s="19" t="s">
        <v>68</v>
      </c>
      <c r="Y780" s="21" t="s">
        <v>623</v>
      </c>
      <c r="Z780" s="21" t="s">
        <v>2592</v>
      </c>
      <c r="AA780" s="21" t="s">
        <v>625</v>
      </c>
      <c r="AB780" s="21">
        <v>3</v>
      </c>
      <c r="AC780" s="21"/>
      <c r="AD780" s="21"/>
      <c r="AE780" s="21"/>
      <c r="AF780" s="21"/>
      <c r="AG780" s="21" t="s">
        <v>2701</v>
      </c>
      <c r="AH780" s="21"/>
      <c r="AI780" s="21"/>
      <c r="AJ780" s="22"/>
      <c r="AK780" s="22"/>
      <c r="AL780" s="21" t="str">
        <f>_xlfn.XLOOKUP(A:A,[1]TAGS!$A:$A,[1]TAGS!$BG:$BG)</f>
        <v>Não Montado</v>
      </c>
      <c r="AM780" s="21" t="s">
        <v>70</v>
      </c>
      <c r="AN780" s="22"/>
      <c r="AO780" s="21" t="str">
        <f>_xlfn.XLOOKUP(A:A,[1]TAGS!$A:$A,[1]TAGS!$BG:$BG)</f>
        <v>Não Montado</v>
      </c>
      <c r="AP780" s="21"/>
      <c r="AQ780" s="21"/>
      <c r="AR780" s="21"/>
      <c r="AS780" s="21"/>
      <c r="AT780" s="21"/>
      <c r="AU780" s="21"/>
    </row>
    <row r="781" spans="1:47" x14ac:dyDescent="0.35">
      <c r="A781" s="19" t="s">
        <v>2704</v>
      </c>
      <c r="B781" s="19" t="s">
        <v>52</v>
      </c>
      <c r="C781" s="19"/>
      <c r="D781" s="19" t="s">
        <v>53</v>
      </c>
      <c r="E781" s="19" t="s">
        <v>460</v>
      </c>
      <c r="F781" s="20" t="s">
        <v>397</v>
      </c>
      <c r="G781" s="20" t="s">
        <v>398</v>
      </c>
      <c r="H781" s="19" t="s">
        <v>2705</v>
      </c>
      <c r="I781" s="20" t="s">
        <v>58</v>
      </c>
      <c r="J781" s="20" t="s">
        <v>400</v>
      </c>
      <c r="K781" s="20" t="s">
        <v>2706</v>
      </c>
      <c r="L781" s="19" t="s">
        <v>61</v>
      </c>
      <c r="M781" s="19" t="s">
        <v>62</v>
      </c>
      <c r="N781" s="19" t="s">
        <v>683</v>
      </c>
      <c r="O781" s="19">
        <v>21</v>
      </c>
      <c r="P781" s="19">
        <v>3.73</v>
      </c>
      <c r="Q781" s="19">
        <v>1</v>
      </c>
      <c r="R781" s="20">
        <v>8</v>
      </c>
      <c r="S781" s="19">
        <v>6.6000000000000003E-2</v>
      </c>
      <c r="T781" s="19" t="s">
        <v>64</v>
      </c>
      <c r="U781" s="19" t="s">
        <v>65</v>
      </c>
      <c r="V781" s="19" t="s">
        <v>66</v>
      </c>
      <c r="W781" s="19" t="s">
        <v>67</v>
      </c>
      <c r="X781" s="19" t="s">
        <v>68</v>
      </c>
      <c r="Y781" s="21" t="s">
        <v>623</v>
      </c>
      <c r="Z781" s="21" t="s">
        <v>2599</v>
      </c>
      <c r="AA781" s="21" t="s">
        <v>692</v>
      </c>
      <c r="AB781" s="21">
        <v>3</v>
      </c>
      <c r="AC781" s="21"/>
      <c r="AD781" s="21"/>
      <c r="AE781" s="21"/>
      <c r="AF781" s="21"/>
      <c r="AG781" s="21" t="s">
        <v>2704</v>
      </c>
      <c r="AH781" s="21"/>
      <c r="AI781" s="21"/>
      <c r="AJ781" s="22"/>
      <c r="AK781" s="22"/>
      <c r="AL781" s="21" t="str">
        <f>_xlfn.XLOOKUP(A:A,[1]TAGS!$A:$A,[1]TAGS!$BG:$BG)</f>
        <v>Não Montado</v>
      </c>
      <c r="AM781" s="21" t="s">
        <v>70</v>
      </c>
      <c r="AN781" s="22"/>
      <c r="AO781" s="21" t="str">
        <f>_xlfn.XLOOKUP(A:A,[1]TAGS!$A:$A,[1]TAGS!$BG:$BG)</f>
        <v>Não Montado</v>
      </c>
      <c r="AP781" s="21"/>
      <c r="AQ781" s="21"/>
      <c r="AR781" s="21"/>
      <c r="AS781" s="21"/>
      <c r="AT781" s="21"/>
      <c r="AU781" s="21"/>
    </row>
    <row r="782" spans="1:47" x14ac:dyDescent="0.35">
      <c r="A782" s="19" t="s">
        <v>2707</v>
      </c>
      <c r="B782" s="19" t="s">
        <v>52</v>
      </c>
      <c r="C782" s="19"/>
      <c r="D782" s="19" t="s">
        <v>53</v>
      </c>
      <c r="E782" s="19" t="s">
        <v>460</v>
      </c>
      <c r="F782" s="20" t="s">
        <v>397</v>
      </c>
      <c r="G782" s="20" t="s">
        <v>398</v>
      </c>
      <c r="H782" s="19" t="s">
        <v>2708</v>
      </c>
      <c r="I782" s="20" t="s">
        <v>58</v>
      </c>
      <c r="J782" s="20" t="s">
        <v>400</v>
      </c>
      <c r="K782" s="20" t="s">
        <v>2709</v>
      </c>
      <c r="L782" s="19" t="s">
        <v>61</v>
      </c>
      <c r="M782" s="19" t="s">
        <v>62</v>
      </c>
      <c r="N782" s="19" t="s">
        <v>683</v>
      </c>
      <c r="O782" s="19">
        <v>21</v>
      </c>
      <c r="P782" s="19">
        <v>3.73</v>
      </c>
      <c r="Q782" s="19">
        <v>1</v>
      </c>
      <c r="R782" s="20">
        <v>8</v>
      </c>
      <c r="S782" s="19">
        <v>6.6000000000000003E-2</v>
      </c>
      <c r="T782" s="19" t="s">
        <v>64</v>
      </c>
      <c r="U782" s="19" t="s">
        <v>65</v>
      </c>
      <c r="V782" s="19" t="s">
        <v>66</v>
      </c>
      <c r="W782" s="19" t="s">
        <v>67</v>
      </c>
      <c r="X782" s="19" t="s">
        <v>68</v>
      </c>
      <c r="Y782" s="21" t="s">
        <v>623</v>
      </c>
      <c r="Z782" s="21" t="s">
        <v>2599</v>
      </c>
      <c r="AA782" s="21" t="s">
        <v>625</v>
      </c>
      <c r="AB782" s="21">
        <v>3</v>
      </c>
      <c r="AC782" s="21"/>
      <c r="AD782" s="21"/>
      <c r="AE782" s="21"/>
      <c r="AF782" s="21"/>
      <c r="AG782" s="21" t="s">
        <v>2707</v>
      </c>
      <c r="AH782" s="21"/>
      <c r="AI782" s="21"/>
      <c r="AJ782" s="22"/>
      <c r="AK782" s="22"/>
      <c r="AL782" s="21" t="str">
        <f>_xlfn.XLOOKUP(A:A,[1]TAGS!$A:$A,[1]TAGS!$BG:$BG)</f>
        <v>Não Montado</v>
      </c>
      <c r="AM782" s="21" t="s">
        <v>70</v>
      </c>
      <c r="AN782" s="22"/>
      <c r="AO782" s="21" t="str">
        <f>_xlfn.XLOOKUP(A:A,[1]TAGS!$A:$A,[1]TAGS!$BG:$BG)</f>
        <v>Não Montado</v>
      </c>
      <c r="AP782" s="21"/>
      <c r="AQ782" s="21"/>
      <c r="AR782" s="21"/>
      <c r="AS782" s="21"/>
      <c r="AT782" s="21"/>
      <c r="AU782" s="21"/>
    </row>
    <row r="783" spans="1:47" x14ac:dyDescent="0.35">
      <c r="A783" s="19" t="s">
        <v>2710</v>
      </c>
      <c r="B783" s="19" t="s">
        <v>52</v>
      </c>
      <c r="C783" s="19"/>
      <c r="D783" s="19" t="s">
        <v>53</v>
      </c>
      <c r="E783" s="19" t="s">
        <v>460</v>
      </c>
      <c r="F783" s="20" t="s">
        <v>397</v>
      </c>
      <c r="G783" s="20" t="s">
        <v>398</v>
      </c>
      <c r="H783" s="19" t="s">
        <v>2711</v>
      </c>
      <c r="I783" s="20" t="s">
        <v>58</v>
      </c>
      <c r="J783" s="20" t="s">
        <v>400</v>
      </c>
      <c r="K783" s="20" t="s">
        <v>2712</v>
      </c>
      <c r="L783" s="19" t="s">
        <v>61</v>
      </c>
      <c r="M783" s="19" t="s">
        <v>62</v>
      </c>
      <c r="N783" s="19" t="s">
        <v>683</v>
      </c>
      <c r="O783" s="19">
        <v>21</v>
      </c>
      <c r="P783" s="19">
        <v>3.73</v>
      </c>
      <c r="Q783" s="19">
        <v>1</v>
      </c>
      <c r="R783" s="20">
        <v>8</v>
      </c>
      <c r="S783" s="19">
        <v>6.6000000000000003E-2</v>
      </c>
      <c r="T783" s="19" t="s">
        <v>64</v>
      </c>
      <c r="U783" s="19" t="s">
        <v>65</v>
      </c>
      <c r="V783" s="19" t="s">
        <v>66</v>
      </c>
      <c r="W783" s="19" t="s">
        <v>67</v>
      </c>
      <c r="X783" s="19" t="s">
        <v>68</v>
      </c>
      <c r="Y783" s="21" t="s">
        <v>623</v>
      </c>
      <c r="Z783" s="21" t="s">
        <v>2606</v>
      </c>
      <c r="AA783" s="21" t="s">
        <v>692</v>
      </c>
      <c r="AB783" s="21">
        <v>3</v>
      </c>
      <c r="AC783" s="21"/>
      <c r="AD783" s="21"/>
      <c r="AE783" s="21"/>
      <c r="AF783" s="21"/>
      <c r="AG783" s="21" t="s">
        <v>2710</v>
      </c>
      <c r="AH783" s="21"/>
      <c r="AI783" s="21"/>
      <c r="AJ783" s="22"/>
      <c r="AK783" s="22"/>
      <c r="AL783" s="21" t="str">
        <f>_xlfn.XLOOKUP(A:A,[1]TAGS!$A:$A,[1]TAGS!$BG:$BG)</f>
        <v>Não Montado</v>
      </c>
      <c r="AM783" s="21" t="s">
        <v>70</v>
      </c>
      <c r="AN783" s="22"/>
      <c r="AO783" s="21" t="str">
        <f>_xlfn.XLOOKUP(A:A,[1]TAGS!$A:$A,[1]TAGS!$BG:$BG)</f>
        <v>Não Montado</v>
      </c>
      <c r="AP783" s="21"/>
      <c r="AQ783" s="21"/>
      <c r="AR783" s="21"/>
      <c r="AS783" s="21"/>
      <c r="AT783" s="21"/>
      <c r="AU783" s="21"/>
    </row>
    <row r="784" spans="1:47" x14ac:dyDescent="0.35">
      <c r="A784" s="19" t="s">
        <v>2713</v>
      </c>
      <c r="B784" s="19" t="s">
        <v>52</v>
      </c>
      <c r="C784" s="19"/>
      <c r="D784" s="19" t="s">
        <v>53</v>
      </c>
      <c r="E784" s="19" t="s">
        <v>460</v>
      </c>
      <c r="F784" s="20" t="s">
        <v>397</v>
      </c>
      <c r="G784" s="20" t="s">
        <v>398</v>
      </c>
      <c r="H784" s="19" t="s">
        <v>2714</v>
      </c>
      <c r="I784" s="20" t="s">
        <v>58</v>
      </c>
      <c r="J784" s="20" t="s">
        <v>400</v>
      </c>
      <c r="K784" s="20" t="s">
        <v>2715</v>
      </c>
      <c r="L784" s="19" t="s">
        <v>61</v>
      </c>
      <c r="M784" s="19" t="s">
        <v>62</v>
      </c>
      <c r="N784" s="20" t="s">
        <v>63</v>
      </c>
      <c r="O784" s="19">
        <v>21</v>
      </c>
      <c r="P784" s="19">
        <v>3.73</v>
      </c>
      <c r="Q784" s="19">
        <v>1</v>
      </c>
      <c r="R784" s="20">
        <v>8</v>
      </c>
      <c r="S784" s="19">
        <v>6.6000000000000003E-2</v>
      </c>
      <c r="T784" s="19" t="s">
        <v>64</v>
      </c>
      <c r="U784" s="19" t="s">
        <v>65</v>
      </c>
      <c r="V784" s="19" t="s">
        <v>66</v>
      </c>
      <c r="W784" s="19" t="s">
        <v>67</v>
      </c>
      <c r="X784" s="19" t="s">
        <v>68</v>
      </c>
      <c r="Y784" s="21" t="s">
        <v>623</v>
      </c>
      <c r="Z784" s="21" t="s">
        <v>2606</v>
      </c>
      <c r="AA784" s="21" t="s">
        <v>625</v>
      </c>
      <c r="AB784" s="21">
        <v>3</v>
      </c>
      <c r="AC784" s="21"/>
      <c r="AD784" s="21"/>
      <c r="AE784" s="21"/>
      <c r="AF784" s="21"/>
      <c r="AG784" s="21" t="s">
        <v>2713</v>
      </c>
      <c r="AH784" s="21"/>
      <c r="AI784" s="21"/>
      <c r="AJ784" s="22"/>
      <c r="AK784" s="22"/>
      <c r="AL784" s="21" t="str">
        <f>_xlfn.XLOOKUP(A:A,[1]TAGS!$A:$A,[1]TAGS!$BG:$BG)</f>
        <v>Não Montado</v>
      </c>
      <c r="AM784" s="21" t="s">
        <v>70</v>
      </c>
      <c r="AN784" s="22"/>
      <c r="AO784" s="21" t="str">
        <f>_xlfn.XLOOKUP(A:A,[1]TAGS!$A:$A,[1]TAGS!$BG:$BG)</f>
        <v>Não Montado</v>
      </c>
      <c r="AP784" s="21"/>
      <c r="AQ784" s="21"/>
      <c r="AR784" s="21"/>
      <c r="AS784" s="21"/>
      <c r="AT784" s="21"/>
      <c r="AU784" s="21"/>
    </row>
    <row r="785" spans="1:47" x14ac:dyDescent="0.35">
      <c r="A785" s="19" t="s">
        <v>2716</v>
      </c>
      <c r="B785" s="19" t="s">
        <v>52</v>
      </c>
      <c r="C785" s="19"/>
      <c r="D785" s="19" t="s">
        <v>53</v>
      </c>
      <c r="E785" s="19" t="s">
        <v>460</v>
      </c>
      <c r="F785" s="20" t="s">
        <v>397</v>
      </c>
      <c r="G785" s="20" t="s">
        <v>398</v>
      </c>
      <c r="H785" s="19" t="s">
        <v>2717</v>
      </c>
      <c r="I785" s="20" t="s">
        <v>58</v>
      </c>
      <c r="J785" s="20" t="s">
        <v>400</v>
      </c>
      <c r="K785" s="20" t="s">
        <v>2718</v>
      </c>
      <c r="L785" s="19" t="s">
        <v>61</v>
      </c>
      <c r="M785" s="19" t="s">
        <v>62</v>
      </c>
      <c r="N785" s="19" t="s">
        <v>683</v>
      </c>
      <c r="O785" s="19">
        <v>21</v>
      </c>
      <c r="P785" s="19">
        <v>3.73</v>
      </c>
      <c r="Q785" s="19">
        <v>1</v>
      </c>
      <c r="R785" s="20">
        <v>8</v>
      </c>
      <c r="S785" s="19">
        <v>6.6000000000000003E-2</v>
      </c>
      <c r="T785" s="19" t="s">
        <v>64</v>
      </c>
      <c r="U785" s="19" t="s">
        <v>65</v>
      </c>
      <c r="V785" s="19" t="s">
        <v>66</v>
      </c>
      <c r="W785" s="19" t="s">
        <v>67</v>
      </c>
      <c r="X785" s="19" t="s">
        <v>68</v>
      </c>
      <c r="Y785" s="21" t="s">
        <v>623</v>
      </c>
      <c r="Z785" s="21" t="s">
        <v>2613</v>
      </c>
      <c r="AA785" s="21" t="s">
        <v>692</v>
      </c>
      <c r="AB785" s="21">
        <v>3</v>
      </c>
      <c r="AC785" s="21"/>
      <c r="AD785" s="21"/>
      <c r="AE785" s="21"/>
      <c r="AF785" s="21"/>
      <c r="AG785" s="21" t="s">
        <v>2716</v>
      </c>
      <c r="AH785" s="21"/>
      <c r="AI785" s="21"/>
      <c r="AJ785" s="22"/>
      <c r="AK785" s="22"/>
      <c r="AL785" s="21" t="str">
        <f>_xlfn.XLOOKUP(A:A,[1]TAGS!$A:$A,[1]TAGS!$BG:$BG)</f>
        <v>Não Montado</v>
      </c>
      <c r="AM785" s="21" t="s">
        <v>70</v>
      </c>
      <c r="AN785" s="22"/>
      <c r="AO785" s="21" t="str">
        <f>_xlfn.XLOOKUP(A:A,[1]TAGS!$A:$A,[1]TAGS!$BG:$BG)</f>
        <v>Não Montado</v>
      </c>
      <c r="AP785" s="21"/>
      <c r="AQ785" s="21"/>
      <c r="AR785" s="21"/>
      <c r="AS785" s="21"/>
      <c r="AT785" s="21"/>
      <c r="AU785" s="21"/>
    </row>
    <row r="786" spans="1:47" x14ac:dyDescent="0.35">
      <c r="A786" s="19" t="s">
        <v>2719</v>
      </c>
      <c r="B786" s="19" t="s">
        <v>52</v>
      </c>
      <c r="C786" s="19"/>
      <c r="D786" s="19" t="s">
        <v>53</v>
      </c>
      <c r="E786" s="19" t="s">
        <v>460</v>
      </c>
      <c r="F786" s="20" t="s">
        <v>397</v>
      </c>
      <c r="G786" s="20" t="s">
        <v>398</v>
      </c>
      <c r="H786" s="19" t="s">
        <v>2720</v>
      </c>
      <c r="I786" s="20" t="s">
        <v>58</v>
      </c>
      <c r="J786" s="20" t="s">
        <v>400</v>
      </c>
      <c r="K786" s="20" t="s">
        <v>2721</v>
      </c>
      <c r="L786" s="19" t="s">
        <v>61</v>
      </c>
      <c r="M786" s="19" t="s">
        <v>62</v>
      </c>
      <c r="N786" s="19" t="s">
        <v>683</v>
      </c>
      <c r="O786" s="19">
        <v>21</v>
      </c>
      <c r="P786" s="19">
        <v>3.73</v>
      </c>
      <c r="Q786" s="19">
        <v>1</v>
      </c>
      <c r="R786" s="20">
        <v>8</v>
      </c>
      <c r="S786" s="19">
        <v>6.6000000000000003E-2</v>
      </c>
      <c r="T786" s="19" t="s">
        <v>64</v>
      </c>
      <c r="U786" s="19" t="s">
        <v>65</v>
      </c>
      <c r="V786" s="19" t="s">
        <v>66</v>
      </c>
      <c r="W786" s="19" t="s">
        <v>67</v>
      </c>
      <c r="X786" s="19" t="s">
        <v>68</v>
      </c>
      <c r="Y786" s="21" t="s">
        <v>623</v>
      </c>
      <c r="Z786" s="21" t="s">
        <v>2613</v>
      </c>
      <c r="AA786" s="21" t="s">
        <v>625</v>
      </c>
      <c r="AB786" s="21">
        <v>3</v>
      </c>
      <c r="AC786" s="21"/>
      <c r="AD786" s="21"/>
      <c r="AE786" s="21"/>
      <c r="AF786" s="21"/>
      <c r="AG786" s="21" t="s">
        <v>2719</v>
      </c>
      <c r="AH786" s="21"/>
      <c r="AI786" s="21"/>
      <c r="AJ786" s="22"/>
      <c r="AK786" s="22"/>
      <c r="AL786" s="21" t="str">
        <f>_xlfn.XLOOKUP(A:A,[1]TAGS!$A:$A,[1]TAGS!$BG:$BG)</f>
        <v>Não Montado</v>
      </c>
      <c r="AM786" s="21" t="s">
        <v>70</v>
      </c>
      <c r="AN786" s="22"/>
      <c r="AO786" s="21" t="str">
        <f>_xlfn.XLOOKUP(A:A,[1]TAGS!$A:$A,[1]TAGS!$BG:$BG)</f>
        <v>Não Montado</v>
      </c>
      <c r="AP786" s="21"/>
      <c r="AQ786" s="21"/>
      <c r="AR786" s="21"/>
      <c r="AS786" s="21"/>
      <c r="AT786" s="21"/>
      <c r="AU786" s="21"/>
    </row>
    <row r="787" spans="1:47" x14ac:dyDescent="0.35">
      <c r="A787" s="19" t="s">
        <v>2722</v>
      </c>
      <c r="B787" s="19" t="s">
        <v>52</v>
      </c>
      <c r="C787" s="19"/>
      <c r="D787" s="19" t="s">
        <v>53</v>
      </c>
      <c r="E787" s="19" t="s">
        <v>460</v>
      </c>
      <c r="F787" s="20" t="s">
        <v>397</v>
      </c>
      <c r="G787" s="20" t="s">
        <v>398</v>
      </c>
      <c r="H787" s="19" t="s">
        <v>2723</v>
      </c>
      <c r="I787" s="20" t="s">
        <v>58</v>
      </c>
      <c r="J787" s="20" t="s">
        <v>400</v>
      </c>
      <c r="K787" s="20" t="s">
        <v>2724</v>
      </c>
      <c r="L787" s="19" t="s">
        <v>61</v>
      </c>
      <c r="M787" s="19" t="s">
        <v>62</v>
      </c>
      <c r="N787" s="19" t="s">
        <v>683</v>
      </c>
      <c r="O787" s="19">
        <v>21</v>
      </c>
      <c r="P787" s="19">
        <v>3.73</v>
      </c>
      <c r="Q787" s="19">
        <v>1</v>
      </c>
      <c r="R787" s="20">
        <v>8</v>
      </c>
      <c r="S787" s="19">
        <v>6.6000000000000003E-2</v>
      </c>
      <c r="T787" s="19" t="s">
        <v>64</v>
      </c>
      <c r="U787" s="19" t="s">
        <v>65</v>
      </c>
      <c r="V787" s="19" t="s">
        <v>66</v>
      </c>
      <c r="W787" s="19" t="s">
        <v>67</v>
      </c>
      <c r="X787" s="19" t="s">
        <v>68</v>
      </c>
      <c r="Y787" s="21" t="s">
        <v>623</v>
      </c>
      <c r="Z787" s="21" t="s">
        <v>2620</v>
      </c>
      <c r="AA787" s="21" t="s">
        <v>692</v>
      </c>
      <c r="AB787" s="21">
        <v>3</v>
      </c>
      <c r="AC787" s="21"/>
      <c r="AD787" s="21"/>
      <c r="AE787" s="21"/>
      <c r="AF787" s="21"/>
      <c r="AG787" s="21" t="s">
        <v>2722</v>
      </c>
      <c r="AH787" s="21"/>
      <c r="AI787" s="21"/>
      <c r="AJ787" s="22"/>
      <c r="AK787" s="22"/>
      <c r="AL787" s="21" t="str">
        <f>_xlfn.XLOOKUP(A:A,[1]TAGS!$A:$A,[1]TAGS!$BG:$BG)</f>
        <v>Não Montado</v>
      </c>
      <c r="AM787" s="21" t="s">
        <v>70</v>
      </c>
      <c r="AN787" s="22"/>
      <c r="AO787" s="21" t="str">
        <f>_xlfn.XLOOKUP(A:A,[1]TAGS!$A:$A,[1]TAGS!$BG:$BG)</f>
        <v>Não Montado</v>
      </c>
      <c r="AP787" s="21"/>
      <c r="AQ787" s="21"/>
      <c r="AR787" s="21"/>
      <c r="AS787" s="21"/>
      <c r="AT787" s="21"/>
      <c r="AU787" s="21"/>
    </row>
    <row r="788" spans="1:47" x14ac:dyDescent="0.35">
      <c r="A788" s="19" t="s">
        <v>2725</v>
      </c>
      <c r="B788" s="19" t="s">
        <v>52</v>
      </c>
      <c r="C788" s="19"/>
      <c r="D788" s="19" t="s">
        <v>53</v>
      </c>
      <c r="E788" s="19" t="s">
        <v>460</v>
      </c>
      <c r="F788" s="20" t="s">
        <v>397</v>
      </c>
      <c r="G788" s="20" t="s">
        <v>398</v>
      </c>
      <c r="H788" s="19" t="s">
        <v>2726</v>
      </c>
      <c r="I788" s="20" t="s">
        <v>58</v>
      </c>
      <c r="J788" s="20" t="s">
        <v>400</v>
      </c>
      <c r="K788" s="20" t="s">
        <v>2727</v>
      </c>
      <c r="L788" s="19" t="s">
        <v>61</v>
      </c>
      <c r="M788" s="19" t="s">
        <v>62</v>
      </c>
      <c r="N788" s="19" t="s">
        <v>683</v>
      </c>
      <c r="O788" s="19">
        <v>21</v>
      </c>
      <c r="P788" s="19">
        <v>3.73</v>
      </c>
      <c r="Q788" s="19">
        <v>1</v>
      </c>
      <c r="R788" s="20">
        <v>8</v>
      </c>
      <c r="S788" s="19">
        <v>6.6000000000000003E-2</v>
      </c>
      <c r="T788" s="19" t="s">
        <v>64</v>
      </c>
      <c r="U788" s="19" t="s">
        <v>65</v>
      </c>
      <c r="V788" s="19" t="s">
        <v>66</v>
      </c>
      <c r="W788" s="19" t="s">
        <v>67</v>
      </c>
      <c r="X788" s="19" t="s">
        <v>68</v>
      </c>
      <c r="Y788" s="21" t="s">
        <v>623</v>
      </c>
      <c r="Z788" s="21" t="s">
        <v>2620</v>
      </c>
      <c r="AA788" s="21" t="s">
        <v>625</v>
      </c>
      <c r="AB788" s="21">
        <v>3</v>
      </c>
      <c r="AC788" s="21"/>
      <c r="AD788" s="21"/>
      <c r="AE788" s="21"/>
      <c r="AF788" s="21"/>
      <c r="AG788" s="21" t="s">
        <v>2725</v>
      </c>
      <c r="AH788" s="21"/>
      <c r="AI788" s="21"/>
      <c r="AJ788" s="22"/>
      <c r="AK788" s="22"/>
      <c r="AL788" s="21" t="str">
        <f>_xlfn.XLOOKUP(A:A,[1]TAGS!$A:$A,[1]TAGS!$BG:$BG)</f>
        <v>Não Montado</v>
      </c>
      <c r="AM788" s="21" t="s">
        <v>70</v>
      </c>
      <c r="AN788" s="22"/>
      <c r="AO788" s="21" t="str">
        <f>_xlfn.XLOOKUP(A:A,[1]TAGS!$A:$A,[1]TAGS!$BG:$BG)</f>
        <v>Não Montado</v>
      </c>
      <c r="AP788" s="21"/>
      <c r="AQ788" s="21"/>
      <c r="AR788" s="21"/>
      <c r="AS788" s="21"/>
      <c r="AT788" s="21"/>
      <c r="AU788" s="21"/>
    </row>
    <row r="789" spans="1:47" x14ac:dyDescent="0.35">
      <c r="A789" s="19" t="s">
        <v>2728</v>
      </c>
      <c r="B789" s="19" t="s">
        <v>52</v>
      </c>
      <c r="C789" s="19"/>
      <c r="D789" s="19" t="s">
        <v>53</v>
      </c>
      <c r="E789" s="19" t="s">
        <v>460</v>
      </c>
      <c r="F789" s="20" t="s">
        <v>397</v>
      </c>
      <c r="G789" s="20" t="s">
        <v>398</v>
      </c>
      <c r="H789" s="19" t="s">
        <v>2729</v>
      </c>
      <c r="I789" s="20" t="s">
        <v>58</v>
      </c>
      <c r="J789" s="20" t="s">
        <v>400</v>
      </c>
      <c r="K789" s="20" t="s">
        <v>2730</v>
      </c>
      <c r="L789" s="19" t="s">
        <v>61</v>
      </c>
      <c r="M789" s="19" t="s">
        <v>62</v>
      </c>
      <c r="N789" s="19" t="s">
        <v>683</v>
      </c>
      <c r="O789" s="19">
        <v>21</v>
      </c>
      <c r="P789" s="19">
        <v>3.73</v>
      </c>
      <c r="Q789" s="19">
        <v>1</v>
      </c>
      <c r="R789" s="20">
        <v>8</v>
      </c>
      <c r="S789" s="19">
        <v>6.6000000000000003E-2</v>
      </c>
      <c r="T789" s="19" t="s">
        <v>64</v>
      </c>
      <c r="U789" s="19" t="s">
        <v>65</v>
      </c>
      <c r="V789" s="19" t="s">
        <v>66</v>
      </c>
      <c r="W789" s="19" t="s">
        <v>67</v>
      </c>
      <c r="X789" s="19" t="s">
        <v>68</v>
      </c>
      <c r="Y789" s="21" t="s">
        <v>623</v>
      </c>
      <c r="Z789" s="21" t="s">
        <v>2627</v>
      </c>
      <c r="AA789" s="21" t="s">
        <v>692</v>
      </c>
      <c r="AB789" s="21">
        <v>3</v>
      </c>
      <c r="AC789" s="21"/>
      <c r="AD789" s="21"/>
      <c r="AE789" s="21"/>
      <c r="AF789" s="21"/>
      <c r="AG789" s="21" t="s">
        <v>2728</v>
      </c>
      <c r="AH789" s="21"/>
      <c r="AI789" s="21"/>
      <c r="AJ789" s="22"/>
      <c r="AK789" s="22"/>
      <c r="AL789" s="21" t="str">
        <f>_xlfn.XLOOKUP(A:A,[1]TAGS!$A:$A,[1]TAGS!$BG:$BG)</f>
        <v>Não Montado</v>
      </c>
      <c r="AM789" s="21" t="s">
        <v>70</v>
      </c>
      <c r="AN789" s="22"/>
      <c r="AO789" s="21" t="str">
        <f>_xlfn.XLOOKUP(A:A,[1]TAGS!$A:$A,[1]TAGS!$BG:$BG)</f>
        <v>Não Montado</v>
      </c>
      <c r="AP789" s="21"/>
      <c r="AQ789" s="21"/>
      <c r="AR789" s="21"/>
      <c r="AS789" s="21"/>
      <c r="AT789" s="21"/>
      <c r="AU789" s="21"/>
    </row>
    <row r="790" spans="1:47" x14ac:dyDescent="0.35">
      <c r="A790" s="19" t="s">
        <v>2731</v>
      </c>
      <c r="B790" s="19" t="s">
        <v>52</v>
      </c>
      <c r="C790" s="19"/>
      <c r="D790" s="19" t="s">
        <v>53</v>
      </c>
      <c r="E790" s="19" t="s">
        <v>460</v>
      </c>
      <c r="F790" s="20" t="s">
        <v>397</v>
      </c>
      <c r="G790" s="20" t="s">
        <v>398</v>
      </c>
      <c r="H790" s="19" t="s">
        <v>2732</v>
      </c>
      <c r="I790" s="20" t="s">
        <v>58</v>
      </c>
      <c r="J790" s="20" t="s">
        <v>400</v>
      </c>
      <c r="K790" s="20" t="s">
        <v>2733</v>
      </c>
      <c r="L790" s="19" t="s">
        <v>61</v>
      </c>
      <c r="M790" s="19" t="s">
        <v>62</v>
      </c>
      <c r="N790" s="19" t="s">
        <v>683</v>
      </c>
      <c r="O790" s="19">
        <v>21</v>
      </c>
      <c r="P790" s="19">
        <v>3.73</v>
      </c>
      <c r="Q790" s="19">
        <v>1</v>
      </c>
      <c r="R790" s="20">
        <v>8</v>
      </c>
      <c r="S790" s="19">
        <v>6.6000000000000003E-2</v>
      </c>
      <c r="T790" s="19" t="s">
        <v>64</v>
      </c>
      <c r="U790" s="19" t="s">
        <v>65</v>
      </c>
      <c r="V790" s="19" t="s">
        <v>66</v>
      </c>
      <c r="W790" s="19" t="s">
        <v>67</v>
      </c>
      <c r="X790" s="19" t="s">
        <v>68</v>
      </c>
      <c r="Y790" s="21" t="s">
        <v>623</v>
      </c>
      <c r="Z790" s="21" t="s">
        <v>2627</v>
      </c>
      <c r="AA790" s="21" t="s">
        <v>625</v>
      </c>
      <c r="AB790" s="21">
        <v>3</v>
      </c>
      <c r="AC790" s="21"/>
      <c r="AD790" s="21"/>
      <c r="AE790" s="21"/>
      <c r="AF790" s="21"/>
      <c r="AG790" s="21" t="s">
        <v>2731</v>
      </c>
      <c r="AH790" s="21"/>
      <c r="AI790" s="21"/>
      <c r="AJ790" s="22"/>
      <c r="AK790" s="22"/>
      <c r="AL790" s="21" t="str">
        <f>_xlfn.XLOOKUP(A:A,[1]TAGS!$A:$A,[1]TAGS!$BG:$BG)</f>
        <v>Não Montado</v>
      </c>
      <c r="AM790" s="21" t="s">
        <v>70</v>
      </c>
      <c r="AN790" s="22"/>
      <c r="AO790" s="21" t="str">
        <f>_xlfn.XLOOKUP(A:A,[1]TAGS!$A:$A,[1]TAGS!$BG:$BG)</f>
        <v>Não Montado</v>
      </c>
      <c r="AP790" s="21"/>
      <c r="AQ790" s="21"/>
      <c r="AR790" s="21"/>
      <c r="AS790" s="21"/>
      <c r="AT790" s="21"/>
      <c r="AU790" s="21"/>
    </row>
    <row r="791" spans="1:47" x14ac:dyDescent="0.35">
      <c r="A791" s="19" t="s">
        <v>2734</v>
      </c>
      <c r="B791" s="19" t="s">
        <v>52</v>
      </c>
      <c r="C791" s="19"/>
      <c r="D791" s="19" t="s">
        <v>53</v>
      </c>
      <c r="E791" s="19" t="s">
        <v>460</v>
      </c>
      <c r="F791" s="20" t="s">
        <v>397</v>
      </c>
      <c r="G791" s="20" t="s">
        <v>398</v>
      </c>
      <c r="H791" s="19" t="s">
        <v>2735</v>
      </c>
      <c r="I791" s="20" t="s">
        <v>58</v>
      </c>
      <c r="J791" s="20" t="s">
        <v>400</v>
      </c>
      <c r="K791" s="20" t="s">
        <v>2736</v>
      </c>
      <c r="L791" s="19" t="s">
        <v>61</v>
      </c>
      <c r="M791" s="19" t="s">
        <v>62</v>
      </c>
      <c r="N791" s="19" t="s">
        <v>683</v>
      </c>
      <c r="O791" s="19">
        <v>21</v>
      </c>
      <c r="P791" s="19">
        <v>3.73</v>
      </c>
      <c r="Q791" s="19">
        <v>1</v>
      </c>
      <c r="R791" s="20">
        <v>8</v>
      </c>
      <c r="S791" s="19">
        <v>6.6000000000000003E-2</v>
      </c>
      <c r="T791" s="19" t="s">
        <v>64</v>
      </c>
      <c r="U791" s="19" t="s">
        <v>65</v>
      </c>
      <c r="V791" s="19" t="s">
        <v>66</v>
      </c>
      <c r="W791" s="19" t="s">
        <v>67</v>
      </c>
      <c r="X791" s="19" t="s">
        <v>68</v>
      </c>
      <c r="Y791" s="21" t="s">
        <v>623</v>
      </c>
      <c r="Z791" s="21" t="s">
        <v>2634</v>
      </c>
      <c r="AA791" s="21" t="s">
        <v>692</v>
      </c>
      <c r="AB791" s="21">
        <v>3</v>
      </c>
      <c r="AC791" s="21"/>
      <c r="AD791" s="21"/>
      <c r="AE791" s="21"/>
      <c r="AF791" s="21"/>
      <c r="AG791" s="21" t="s">
        <v>2734</v>
      </c>
      <c r="AH791" s="21"/>
      <c r="AI791" s="21"/>
      <c r="AJ791" s="22"/>
      <c r="AK791" s="22"/>
      <c r="AL791" s="21" t="str">
        <f>_xlfn.XLOOKUP(A:A,[1]TAGS!$A:$A,[1]TAGS!$BG:$BG)</f>
        <v>Não Montado</v>
      </c>
      <c r="AM791" s="21" t="s">
        <v>70</v>
      </c>
      <c r="AN791" s="22"/>
      <c r="AO791" s="21" t="str">
        <f>_xlfn.XLOOKUP(A:A,[1]TAGS!$A:$A,[1]TAGS!$BG:$BG)</f>
        <v>Não Montado</v>
      </c>
      <c r="AP791" s="21"/>
      <c r="AQ791" s="21"/>
      <c r="AR791" s="21"/>
      <c r="AS791" s="21"/>
      <c r="AT791" s="21"/>
      <c r="AU791" s="21"/>
    </row>
    <row r="792" spans="1:47" x14ac:dyDescent="0.35">
      <c r="A792" s="19" t="s">
        <v>2737</v>
      </c>
      <c r="B792" s="19" t="s">
        <v>52</v>
      </c>
      <c r="C792" s="19"/>
      <c r="D792" s="19" t="s">
        <v>53</v>
      </c>
      <c r="E792" s="19" t="s">
        <v>460</v>
      </c>
      <c r="F792" s="20" t="s">
        <v>397</v>
      </c>
      <c r="G792" s="20" t="s">
        <v>398</v>
      </c>
      <c r="H792" s="19" t="s">
        <v>2738</v>
      </c>
      <c r="I792" s="20" t="s">
        <v>58</v>
      </c>
      <c r="J792" s="20" t="s">
        <v>400</v>
      </c>
      <c r="K792" s="20" t="s">
        <v>2739</v>
      </c>
      <c r="L792" s="19" t="s">
        <v>61</v>
      </c>
      <c r="M792" s="19" t="s">
        <v>62</v>
      </c>
      <c r="N792" s="20" t="s">
        <v>63</v>
      </c>
      <c r="O792" s="19">
        <v>21</v>
      </c>
      <c r="P792" s="19">
        <v>3.73</v>
      </c>
      <c r="Q792" s="19">
        <v>1</v>
      </c>
      <c r="R792" s="20">
        <v>8</v>
      </c>
      <c r="S792" s="19">
        <v>6.6000000000000003E-2</v>
      </c>
      <c r="T792" s="19" t="s">
        <v>64</v>
      </c>
      <c r="U792" s="19" t="s">
        <v>65</v>
      </c>
      <c r="V792" s="19" t="s">
        <v>66</v>
      </c>
      <c r="W792" s="19" t="s">
        <v>67</v>
      </c>
      <c r="X792" s="19" t="s">
        <v>68</v>
      </c>
      <c r="Y792" s="21" t="s">
        <v>623</v>
      </c>
      <c r="Z792" s="21" t="s">
        <v>2570</v>
      </c>
      <c r="AA792" s="21" t="s">
        <v>692</v>
      </c>
      <c r="AB792" s="21">
        <v>4</v>
      </c>
      <c r="AC792" s="21"/>
      <c r="AD792" s="21"/>
      <c r="AE792" s="21"/>
      <c r="AF792" s="21"/>
      <c r="AG792" s="21" t="s">
        <v>2737</v>
      </c>
      <c r="AH792" s="21"/>
      <c r="AI792" s="21"/>
      <c r="AJ792" s="22"/>
      <c r="AK792" s="22"/>
      <c r="AL792" s="21" t="str">
        <f>_xlfn.XLOOKUP(A:A,[1]TAGS!$A:$A,[1]TAGS!$BG:$BG)</f>
        <v>Não Montado</v>
      </c>
      <c r="AM792" s="21" t="s">
        <v>70</v>
      </c>
      <c r="AN792" s="22"/>
      <c r="AO792" s="21" t="str">
        <f>_xlfn.XLOOKUP(A:A,[1]TAGS!$A:$A,[1]TAGS!$BG:$BG)</f>
        <v>Não Montado</v>
      </c>
      <c r="AP792" s="21"/>
      <c r="AQ792" s="21"/>
      <c r="AR792" s="21"/>
      <c r="AS792" s="21"/>
      <c r="AT792" s="21"/>
      <c r="AU792" s="21"/>
    </row>
    <row r="793" spans="1:47" x14ac:dyDescent="0.35">
      <c r="A793" s="19" t="s">
        <v>2740</v>
      </c>
      <c r="B793" s="19" t="s">
        <v>52</v>
      </c>
      <c r="C793" s="19"/>
      <c r="D793" s="19" t="s">
        <v>53</v>
      </c>
      <c r="E793" s="19" t="s">
        <v>460</v>
      </c>
      <c r="F793" s="20" t="s">
        <v>397</v>
      </c>
      <c r="G793" s="20" t="s">
        <v>398</v>
      </c>
      <c r="H793" s="19" t="s">
        <v>2741</v>
      </c>
      <c r="I793" s="20" t="s">
        <v>58</v>
      </c>
      <c r="J793" s="20" t="s">
        <v>400</v>
      </c>
      <c r="K793" s="20" t="s">
        <v>2742</v>
      </c>
      <c r="L793" s="19" t="s">
        <v>61</v>
      </c>
      <c r="M793" s="19" t="s">
        <v>62</v>
      </c>
      <c r="N793" s="20" t="s">
        <v>63</v>
      </c>
      <c r="O793" s="19">
        <v>21</v>
      </c>
      <c r="P793" s="19">
        <v>3.73</v>
      </c>
      <c r="Q793" s="19">
        <v>1</v>
      </c>
      <c r="R793" s="20">
        <v>8</v>
      </c>
      <c r="S793" s="19">
        <v>6.6000000000000003E-2</v>
      </c>
      <c r="T793" s="19" t="s">
        <v>64</v>
      </c>
      <c r="U793" s="19" t="s">
        <v>65</v>
      </c>
      <c r="V793" s="19" t="s">
        <v>66</v>
      </c>
      <c r="W793" s="19" t="s">
        <v>67</v>
      </c>
      <c r="X793" s="19" t="s">
        <v>68</v>
      </c>
      <c r="Y793" s="21" t="s">
        <v>623</v>
      </c>
      <c r="Z793" s="21" t="s">
        <v>2570</v>
      </c>
      <c r="AA793" s="21" t="s">
        <v>625</v>
      </c>
      <c r="AB793" s="21">
        <v>4</v>
      </c>
      <c r="AC793" s="21"/>
      <c r="AD793" s="21"/>
      <c r="AE793" s="21"/>
      <c r="AF793" s="21"/>
      <c r="AG793" s="21" t="s">
        <v>2740</v>
      </c>
      <c r="AH793" s="21"/>
      <c r="AI793" s="21"/>
      <c r="AJ793" s="22"/>
      <c r="AK793" s="22"/>
      <c r="AL793" s="21" t="str">
        <f>_xlfn.XLOOKUP(A:A,[1]TAGS!$A:$A,[1]TAGS!$BG:$BG)</f>
        <v>Não Montado</v>
      </c>
      <c r="AM793" s="21" t="s">
        <v>70</v>
      </c>
      <c r="AN793" s="22"/>
      <c r="AO793" s="21" t="str">
        <f>_xlfn.XLOOKUP(A:A,[1]TAGS!$A:$A,[1]TAGS!$BG:$BG)</f>
        <v>Não Montado</v>
      </c>
      <c r="AP793" s="21"/>
      <c r="AQ793" s="21"/>
      <c r="AR793" s="21"/>
      <c r="AS793" s="21"/>
      <c r="AT793" s="21"/>
      <c r="AU793" s="21"/>
    </row>
    <row r="794" spans="1:47" x14ac:dyDescent="0.35">
      <c r="A794" s="19" t="s">
        <v>2743</v>
      </c>
      <c r="B794" s="19" t="s">
        <v>52</v>
      </c>
      <c r="C794" s="19"/>
      <c r="D794" s="19" t="s">
        <v>53</v>
      </c>
      <c r="E794" s="19" t="s">
        <v>460</v>
      </c>
      <c r="F794" s="20" t="s">
        <v>397</v>
      </c>
      <c r="G794" s="20" t="s">
        <v>398</v>
      </c>
      <c r="H794" s="19" t="s">
        <v>2744</v>
      </c>
      <c r="I794" s="20" t="s">
        <v>58</v>
      </c>
      <c r="J794" s="20" t="s">
        <v>400</v>
      </c>
      <c r="K794" s="20" t="s">
        <v>2745</v>
      </c>
      <c r="L794" s="19" t="s">
        <v>61</v>
      </c>
      <c r="M794" s="19" t="s">
        <v>62</v>
      </c>
      <c r="N794" s="20" t="s">
        <v>63</v>
      </c>
      <c r="O794" s="19">
        <v>21</v>
      </c>
      <c r="P794" s="19">
        <v>3.73</v>
      </c>
      <c r="Q794" s="19">
        <v>1</v>
      </c>
      <c r="R794" s="20">
        <v>8</v>
      </c>
      <c r="S794" s="19">
        <v>6.6000000000000003E-2</v>
      </c>
      <c r="T794" s="19" t="s">
        <v>64</v>
      </c>
      <c r="U794" s="19" t="s">
        <v>65</v>
      </c>
      <c r="V794" s="19" t="s">
        <v>66</v>
      </c>
      <c r="W794" s="19" t="s">
        <v>67</v>
      </c>
      <c r="X794" s="19" t="s">
        <v>68</v>
      </c>
      <c r="Y794" s="21" t="s">
        <v>623</v>
      </c>
      <c r="Z794" s="21" t="s">
        <v>2592</v>
      </c>
      <c r="AA794" s="21" t="s">
        <v>692</v>
      </c>
      <c r="AB794" s="21">
        <v>4</v>
      </c>
      <c r="AC794" s="21"/>
      <c r="AD794" s="21"/>
      <c r="AE794" s="21"/>
      <c r="AF794" s="21"/>
      <c r="AG794" s="21" t="s">
        <v>2743</v>
      </c>
      <c r="AH794" s="21"/>
      <c r="AI794" s="21"/>
      <c r="AJ794" s="22"/>
      <c r="AK794" s="22"/>
      <c r="AL794" s="21" t="str">
        <f>_xlfn.XLOOKUP(A:A,[1]TAGS!$A:$A,[1]TAGS!$BG:$BG)</f>
        <v>Não Montado</v>
      </c>
      <c r="AM794" s="21" t="s">
        <v>70</v>
      </c>
      <c r="AN794" s="22"/>
      <c r="AO794" s="21" t="str">
        <f>_xlfn.XLOOKUP(A:A,[1]TAGS!$A:$A,[1]TAGS!$BG:$BG)</f>
        <v>Não Montado</v>
      </c>
      <c r="AP794" s="21"/>
      <c r="AQ794" s="21"/>
      <c r="AR794" s="21"/>
      <c r="AS794" s="21"/>
      <c r="AT794" s="21"/>
      <c r="AU794" s="21"/>
    </row>
    <row r="795" spans="1:47" x14ac:dyDescent="0.35">
      <c r="A795" s="19" t="s">
        <v>2746</v>
      </c>
      <c r="B795" s="19" t="s">
        <v>52</v>
      </c>
      <c r="C795" s="19"/>
      <c r="D795" s="19" t="s">
        <v>53</v>
      </c>
      <c r="E795" s="19" t="s">
        <v>460</v>
      </c>
      <c r="F795" s="20" t="s">
        <v>397</v>
      </c>
      <c r="G795" s="20" t="s">
        <v>398</v>
      </c>
      <c r="H795" s="19" t="s">
        <v>2747</v>
      </c>
      <c r="I795" s="20" t="s">
        <v>58</v>
      </c>
      <c r="J795" s="20" t="s">
        <v>400</v>
      </c>
      <c r="K795" s="20" t="s">
        <v>2748</v>
      </c>
      <c r="L795" s="19" t="s">
        <v>61</v>
      </c>
      <c r="M795" s="19" t="s">
        <v>62</v>
      </c>
      <c r="N795" s="20" t="s">
        <v>63</v>
      </c>
      <c r="O795" s="19">
        <v>21</v>
      </c>
      <c r="P795" s="19">
        <v>3.73</v>
      </c>
      <c r="Q795" s="19">
        <v>1</v>
      </c>
      <c r="R795" s="20">
        <v>8</v>
      </c>
      <c r="S795" s="19">
        <v>6.6000000000000003E-2</v>
      </c>
      <c r="T795" s="19" t="s">
        <v>64</v>
      </c>
      <c r="U795" s="19" t="s">
        <v>65</v>
      </c>
      <c r="V795" s="19" t="s">
        <v>66</v>
      </c>
      <c r="W795" s="19" t="s">
        <v>67</v>
      </c>
      <c r="X795" s="19" t="s">
        <v>68</v>
      </c>
      <c r="Y795" s="21" t="s">
        <v>623</v>
      </c>
      <c r="Z795" s="21" t="s">
        <v>2592</v>
      </c>
      <c r="AA795" s="21" t="s">
        <v>625</v>
      </c>
      <c r="AB795" s="21">
        <v>4</v>
      </c>
      <c r="AC795" s="21"/>
      <c r="AD795" s="21"/>
      <c r="AE795" s="21"/>
      <c r="AF795" s="21"/>
      <c r="AG795" s="21" t="s">
        <v>2746</v>
      </c>
      <c r="AH795" s="21"/>
      <c r="AI795" s="21"/>
      <c r="AJ795" s="22"/>
      <c r="AK795" s="22"/>
      <c r="AL795" s="21" t="str">
        <f>_xlfn.XLOOKUP(A:A,[1]TAGS!$A:$A,[1]TAGS!$BG:$BG)</f>
        <v>Não Montado</v>
      </c>
      <c r="AM795" s="21" t="s">
        <v>70</v>
      </c>
      <c r="AN795" s="22"/>
      <c r="AO795" s="21" t="str">
        <f>_xlfn.XLOOKUP(A:A,[1]TAGS!$A:$A,[1]TAGS!$BG:$BG)</f>
        <v>Não Montado</v>
      </c>
      <c r="AP795" s="21"/>
      <c r="AQ795" s="21"/>
      <c r="AR795" s="21"/>
      <c r="AS795" s="21"/>
      <c r="AT795" s="21"/>
      <c r="AU795" s="21"/>
    </row>
    <row r="796" spans="1:47" x14ac:dyDescent="0.35">
      <c r="A796" s="19" t="s">
        <v>2749</v>
      </c>
      <c r="B796" s="19" t="s">
        <v>52</v>
      </c>
      <c r="C796" s="19"/>
      <c r="D796" s="19" t="s">
        <v>53</v>
      </c>
      <c r="E796" s="19" t="s">
        <v>460</v>
      </c>
      <c r="F796" s="20" t="s">
        <v>397</v>
      </c>
      <c r="G796" s="20" t="s">
        <v>398</v>
      </c>
      <c r="H796" s="19" t="s">
        <v>2750</v>
      </c>
      <c r="I796" s="20" t="s">
        <v>58</v>
      </c>
      <c r="J796" s="20" t="s">
        <v>400</v>
      </c>
      <c r="K796" s="20" t="s">
        <v>2751</v>
      </c>
      <c r="L796" s="19" t="s">
        <v>61</v>
      </c>
      <c r="M796" s="19" t="s">
        <v>62</v>
      </c>
      <c r="N796" s="19" t="s">
        <v>683</v>
      </c>
      <c r="O796" s="19">
        <v>21</v>
      </c>
      <c r="P796" s="19">
        <v>3.73</v>
      </c>
      <c r="Q796" s="19">
        <v>1</v>
      </c>
      <c r="R796" s="20">
        <v>8</v>
      </c>
      <c r="S796" s="19">
        <v>6.6000000000000003E-2</v>
      </c>
      <c r="T796" s="19" t="s">
        <v>64</v>
      </c>
      <c r="U796" s="19" t="s">
        <v>65</v>
      </c>
      <c r="V796" s="19" t="s">
        <v>66</v>
      </c>
      <c r="W796" s="19" t="s">
        <v>67</v>
      </c>
      <c r="X796" s="19" t="s">
        <v>68</v>
      </c>
      <c r="Y796" s="21" t="s">
        <v>623</v>
      </c>
      <c r="Z796" s="21" t="s">
        <v>2599</v>
      </c>
      <c r="AA796" s="21" t="s">
        <v>692</v>
      </c>
      <c r="AB796" s="21">
        <v>4</v>
      </c>
      <c r="AC796" s="21"/>
      <c r="AD796" s="21"/>
      <c r="AE796" s="21"/>
      <c r="AF796" s="21"/>
      <c r="AG796" s="21" t="s">
        <v>2749</v>
      </c>
      <c r="AH796" s="21"/>
      <c r="AI796" s="21"/>
      <c r="AJ796" s="22"/>
      <c r="AK796" s="22"/>
      <c r="AL796" s="21" t="str">
        <f>_xlfn.XLOOKUP(A:A,[1]TAGS!$A:$A,[1]TAGS!$BG:$BG)</f>
        <v>Não Montado</v>
      </c>
      <c r="AM796" s="21" t="s">
        <v>70</v>
      </c>
      <c r="AN796" s="22"/>
      <c r="AO796" s="21" t="str">
        <f>_xlfn.XLOOKUP(A:A,[1]TAGS!$A:$A,[1]TAGS!$BG:$BG)</f>
        <v>Não Montado</v>
      </c>
      <c r="AP796" s="21"/>
      <c r="AQ796" s="21"/>
      <c r="AR796" s="21"/>
      <c r="AS796" s="21"/>
      <c r="AT796" s="21"/>
      <c r="AU796" s="21"/>
    </row>
    <row r="797" spans="1:47" x14ac:dyDescent="0.35">
      <c r="A797" s="19" t="s">
        <v>2752</v>
      </c>
      <c r="B797" s="19" t="s">
        <v>52</v>
      </c>
      <c r="C797" s="19"/>
      <c r="D797" s="19" t="s">
        <v>53</v>
      </c>
      <c r="E797" s="19" t="s">
        <v>460</v>
      </c>
      <c r="F797" s="20" t="s">
        <v>397</v>
      </c>
      <c r="G797" s="20" t="s">
        <v>398</v>
      </c>
      <c r="H797" s="19" t="s">
        <v>2753</v>
      </c>
      <c r="I797" s="20" t="s">
        <v>58</v>
      </c>
      <c r="J797" s="20" t="s">
        <v>400</v>
      </c>
      <c r="K797" s="20" t="s">
        <v>2754</v>
      </c>
      <c r="L797" s="19" t="s">
        <v>61</v>
      </c>
      <c r="M797" s="19" t="s">
        <v>62</v>
      </c>
      <c r="N797" s="19" t="s">
        <v>683</v>
      </c>
      <c r="O797" s="19">
        <v>21</v>
      </c>
      <c r="P797" s="19">
        <v>3.73</v>
      </c>
      <c r="Q797" s="19">
        <v>1</v>
      </c>
      <c r="R797" s="20">
        <v>8</v>
      </c>
      <c r="S797" s="19">
        <v>6.6000000000000003E-2</v>
      </c>
      <c r="T797" s="19" t="s">
        <v>64</v>
      </c>
      <c r="U797" s="19" t="s">
        <v>65</v>
      </c>
      <c r="V797" s="19" t="s">
        <v>66</v>
      </c>
      <c r="W797" s="19" t="s">
        <v>67</v>
      </c>
      <c r="X797" s="19" t="s">
        <v>68</v>
      </c>
      <c r="Y797" s="21" t="s">
        <v>623</v>
      </c>
      <c r="Z797" s="21" t="s">
        <v>2599</v>
      </c>
      <c r="AA797" s="21" t="s">
        <v>625</v>
      </c>
      <c r="AB797" s="21">
        <v>4</v>
      </c>
      <c r="AC797" s="21"/>
      <c r="AD797" s="21"/>
      <c r="AE797" s="21"/>
      <c r="AF797" s="21"/>
      <c r="AG797" s="21" t="s">
        <v>2752</v>
      </c>
      <c r="AH797" s="21"/>
      <c r="AI797" s="21"/>
      <c r="AJ797" s="22"/>
      <c r="AK797" s="22"/>
      <c r="AL797" s="21" t="str">
        <f>_xlfn.XLOOKUP(A:A,[1]TAGS!$A:$A,[1]TAGS!$BG:$BG)</f>
        <v>Não Montado</v>
      </c>
      <c r="AM797" s="21" t="s">
        <v>70</v>
      </c>
      <c r="AN797" s="22"/>
      <c r="AO797" s="21" t="str">
        <f>_xlfn.XLOOKUP(A:A,[1]TAGS!$A:$A,[1]TAGS!$BG:$BG)</f>
        <v>Não Montado</v>
      </c>
      <c r="AP797" s="21"/>
      <c r="AQ797" s="21"/>
      <c r="AR797" s="21"/>
      <c r="AS797" s="21"/>
      <c r="AT797" s="21"/>
      <c r="AU797" s="21"/>
    </row>
    <row r="798" spans="1:47" x14ac:dyDescent="0.35">
      <c r="A798" s="19" t="s">
        <v>2755</v>
      </c>
      <c r="B798" s="19" t="s">
        <v>52</v>
      </c>
      <c r="C798" s="19"/>
      <c r="D798" s="19" t="s">
        <v>53</v>
      </c>
      <c r="E798" s="19" t="s">
        <v>460</v>
      </c>
      <c r="F798" s="20" t="s">
        <v>397</v>
      </c>
      <c r="G798" s="20" t="s">
        <v>398</v>
      </c>
      <c r="H798" s="19" t="s">
        <v>2756</v>
      </c>
      <c r="I798" s="20" t="s">
        <v>58</v>
      </c>
      <c r="J798" s="20" t="s">
        <v>400</v>
      </c>
      <c r="K798" s="20" t="s">
        <v>2757</v>
      </c>
      <c r="L798" s="19" t="s">
        <v>61</v>
      </c>
      <c r="M798" s="19" t="s">
        <v>62</v>
      </c>
      <c r="N798" s="19" t="s">
        <v>683</v>
      </c>
      <c r="O798" s="19">
        <v>21</v>
      </c>
      <c r="P798" s="19">
        <v>3.73</v>
      </c>
      <c r="Q798" s="19">
        <v>1</v>
      </c>
      <c r="R798" s="20">
        <v>8</v>
      </c>
      <c r="S798" s="19">
        <v>6.6000000000000003E-2</v>
      </c>
      <c r="T798" s="19" t="s">
        <v>64</v>
      </c>
      <c r="U798" s="19" t="s">
        <v>65</v>
      </c>
      <c r="V798" s="19" t="s">
        <v>66</v>
      </c>
      <c r="W798" s="19" t="s">
        <v>67</v>
      </c>
      <c r="X798" s="19" t="s">
        <v>68</v>
      </c>
      <c r="Y798" s="21" t="s">
        <v>623</v>
      </c>
      <c r="Z798" s="21" t="s">
        <v>2606</v>
      </c>
      <c r="AA798" s="21" t="s">
        <v>692</v>
      </c>
      <c r="AB798" s="21">
        <v>4</v>
      </c>
      <c r="AC798" s="21"/>
      <c r="AD798" s="21"/>
      <c r="AE798" s="21"/>
      <c r="AF798" s="21"/>
      <c r="AG798" s="21" t="s">
        <v>2755</v>
      </c>
      <c r="AH798" s="21"/>
      <c r="AI798" s="21"/>
      <c r="AJ798" s="22"/>
      <c r="AK798" s="22"/>
      <c r="AL798" s="21" t="str">
        <f>_xlfn.XLOOKUP(A:A,[1]TAGS!$A:$A,[1]TAGS!$BG:$BG)</f>
        <v>Não Montado</v>
      </c>
      <c r="AM798" s="21" t="s">
        <v>70</v>
      </c>
      <c r="AN798" s="22"/>
      <c r="AO798" s="21" t="str">
        <f>_xlfn.XLOOKUP(A:A,[1]TAGS!$A:$A,[1]TAGS!$BG:$BG)</f>
        <v>Não Montado</v>
      </c>
      <c r="AP798" s="21"/>
      <c r="AQ798" s="21"/>
      <c r="AR798" s="21"/>
      <c r="AS798" s="21"/>
      <c r="AT798" s="21"/>
      <c r="AU798" s="21"/>
    </row>
    <row r="799" spans="1:47" x14ac:dyDescent="0.35">
      <c r="A799" s="19" t="s">
        <v>2758</v>
      </c>
      <c r="B799" s="19" t="s">
        <v>52</v>
      </c>
      <c r="C799" s="19"/>
      <c r="D799" s="19" t="s">
        <v>53</v>
      </c>
      <c r="E799" s="19" t="s">
        <v>460</v>
      </c>
      <c r="F799" s="20" t="s">
        <v>397</v>
      </c>
      <c r="G799" s="20" t="s">
        <v>398</v>
      </c>
      <c r="H799" s="19" t="s">
        <v>2759</v>
      </c>
      <c r="I799" s="20" t="s">
        <v>58</v>
      </c>
      <c r="J799" s="20" t="s">
        <v>400</v>
      </c>
      <c r="K799" s="20" t="s">
        <v>2760</v>
      </c>
      <c r="L799" s="19" t="s">
        <v>61</v>
      </c>
      <c r="M799" s="19" t="s">
        <v>62</v>
      </c>
      <c r="N799" s="19" t="s">
        <v>683</v>
      </c>
      <c r="O799" s="19">
        <v>21</v>
      </c>
      <c r="P799" s="19">
        <v>3.73</v>
      </c>
      <c r="Q799" s="19">
        <v>1</v>
      </c>
      <c r="R799" s="20">
        <v>8</v>
      </c>
      <c r="S799" s="19">
        <v>6.6000000000000003E-2</v>
      </c>
      <c r="T799" s="19" t="s">
        <v>64</v>
      </c>
      <c r="U799" s="19" t="s">
        <v>65</v>
      </c>
      <c r="V799" s="19" t="s">
        <v>66</v>
      </c>
      <c r="W799" s="19" t="s">
        <v>67</v>
      </c>
      <c r="X799" s="19" t="s">
        <v>68</v>
      </c>
      <c r="Y799" s="21" t="s">
        <v>623</v>
      </c>
      <c r="Z799" s="21" t="s">
        <v>2606</v>
      </c>
      <c r="AA799" s="21" t="s">
        <v>625</v>
      </c>
      <c r="AB799" s="21">
        <v>4</v>
      </c>
      <c r="AC799" s="21"/>
      <c r="AD799" s="21"/>
      <c r="AE799" s="21"/>
      <c r="AF799" s="21"/>
      <c r="AG799" s="21" t="s">
        <v>2758</v>
      </c>
      <c r="AH799" s="21"/>
      <c r="AI799" s="21"/>
      <c r="AJ799" s="22"/>
      <c r="AK799" s="22"/>
      <c r="AL799" s="21" t="str">
        <f>_xlfn.XLOOKUP(A:A,[1]TAGS!$A:$A,[1]TAGS!$BG:$BG)</f>
        <v>Não Montado</v>
      </c>
      <c r="AM799" s="21" t="s">
        <v>70</v>
      </c>
      <c r="AN799" s="22"/>
      <c r="AO799" s="21" t="str">
        <f>_xlfn.XLOOKUP(A:A,[1]TAGS!$A:$A,[1]TAGS!$BG:$BG)</f>
        <v>Não Montado</v>
      </c>
      <c r="AP799" s="21"/>
      <c r="AQ799" s="21"/>
      <c r="AR799" s="21"/>
      <c r="AS799" s="21"/>
      <c r="AT799" s="21"/>
      <c r="AU799" s="21"/>
    </row>
    <row r="800" spans="1:47" x14ac:dyDescent="0.35">
      <c r="A800" s="19" t="s">
        <v>2761</v>
      </c>
      <c r="B800" s="19" t="s">
        <v>52</v>
      </c>
      <c r="C800" s="19"/>
      <c r="D800" s="19" t="s">
        <v>53</v>
      </c>
      <c r="E800" s="19" t="s">
        <v>460</v>
      </c>
      <c r="F800" s="20" t="s">
        <v>397</v>
      </c>
      <c r="G800" s="20" t="s">
        <v>398</v>
      </c>
      <c r="H800" s="19" t="s">
        <v>2762</v>
      </c>
      <c r="I800" s="20" t="s">
        <v>58</v>
      </c>
      <c r="J800" s="20" t="s">
        <v>400</v>
      </c>
      <c r="K800" s="20" t="s">
        <v>2763</v>
      </c>
      <c r="L800" s="19" t="s">
        <v>61</v>
      </c>
      <c r="M800" s="19" t="s">
        <v>62</v>
      </c>
      <c r="N800" s="19" t="s">
        <v>683</v>
      </c>
      <c r="O800" s="19">
        <v>21</v>
      </c>
      <c r="P800" s="19">
        <v>3.73</v>
      </c>
      <c r="Q800" s="19">
        <v>1</v>
      </c>
      <c r="R800" s="20">
        <v>8</v>
      </c>
      <c r="S800" s="19">
        <v>6.6000000000000003E-2</v>
      </c>
      <c r="T800" s="19" t="s">
        <v>64</v>
      </c>
      <c r="U800" s="19" t="s">
        <v>65</v>
      </c>
      <c r="V800" s="19" t="s">
        <v>66</v>
      </c>
      <c r="W800" s="19" t="s">
        <v>67</v>
      </c>
      <c r="X800" s="19" t="s">
        <v>68</v>
      </c>
      <c r="Y800" s="21" t="s">
        <v>623</v>
      </c>
      <c r="Z800" s="21" t="s">
        <v>2613</v>
      </c>
      <c r="AA800" s="21" t="s">
        <v>692</v>
      </c>
      <c r="AB800" s="21">
        <v>4</v>
      </c>
      <c r="AC800" s="21"/>
      <c r="AD800" s="21"/>
      <c r="AE800" s="21"/>
      <c r="AF800" s="21"/>
      <c r="AG800" s="21" t="s">
        <v>2761</v>
      </c>
      <c r="AH800" s="21"/>
      <c r="AI800" s="21"/>
      <c r="AJ800" s="22"/>
      <c r="AK800" s="22"/>
      <c r="AL800" s="21" t="str">
        <f>_xlfn.XLOOKUP(A:A,[1]TAGS!$A:$A,[1]TAGS!$BG:$BG)</f>
        <v>Não Montado</v>
      </c>
      <c r="AM800" s="21" t="s">
        <v>70</v>
      </c>
      <c r="AN800" s="22"/>
      <c r="AO800" s="21" t="str">
        <f>_xlfn.XLOOKUP(A:A,[1]TAGS!$A:$A,[1]TAGS!$BG:$BG)</f>
        <v>Não Montado</v>
      </c>
      <c r="AP800" s="21"/>
      <c r="AQ800" s="21"/>
      <c r="AR800" s="21"/>
      <c r="AS800" s="21"/>
      <c r="AT800" s="21"/>
      <c r="AU800" s="21"/>
    </row>
    <row r="801" spans="1:47" x14ac:dyDescent="0.35">
      <c r="A801" s="19" t="s">
        <v>2764</v>
      </c>
      <c r="B801" s="19" t="s">
        <v>52</v>
      </c>
      <c r="C801" s="19"/>
      <c r="D801" s="19" t="s">
        <v>53</v>
      </c>
      <c r="E801" s="19" t="s">
        <v>460</v>
      </c>
      <c r="F801" s="20" t="s">
        <v>397</v>
      </c>
      <c r="G801" s="20" t="s">
        <v>398</v>
      </c>
      <c r="H801" s="19" t="s">
        <v>2765</v>
      </c>
      <c r="I801" s="20" t="s">
        <v>58</v>
      </c>
      <c r="J801" s="20" t="s">
        <v>400</v>
      </c>
      <c r="K801" s="20" t="s">
        <v>2766</v>
      </c>
      <c r="L801" s="19" t="s">
        <v>61</v>
      </c>
      <c r="M801" s="19" t="s">
        <v>62</v>
      </c>
      <c r="N801" s="19" t="s">
        <v>683</v>
      </c>
      <c r="O801" s="19">
        <v>21</v>
      </c>
      <c r="P801" s="19">
        <v>3.73</v>
      </c>
      <c r="Q801" s="19">
        <v>1</v>
      </c>
      <c r="R801" s="20">
        <v>8</v>
      </c>
      <c r="S801" s="19">
        <v>6.6000000000000003E-2</v>
      </c>
      <c r="T801" s="19" t="s">
        <v>64</v>
      </c>
      <c r="U801" s="19" t="s">
        <v>65</v>
      </c>
      <c r="V801" s="19" t="s">
        <v>66</v>
      </c>
      <c r="W801" s="19" t="s">
        <v>67</v>
      </c>
      <c r="X801" s="19" t="s">
        <v>68</v>
      </c>
      <c r="Y801" s="21" t="s">
        <v>623</v>
      </c>
      <c r="Z801" s="21" t="s">
        <v>2613</v>
      </c>
      <c r="AA801" s="21" t="s">
        <v>625</v>
      </c>
      <c r="AB801" s="21">
        <v>4</v>
      </c>
      <c r="AC801" s="21"/>
      <c r="AD801" s="21"/>
      <c r="AE801" s="21"/>
      <c r="AF801" s="21"/>
      <c r="AG801" s="21" t="s">
        <v>2764</v>
      </c>
      <c r="AH801" s="21"/>
      <c r="AI801" s="21"/>
      <c r="AJ801" s="22"/>
      <c r="AK801" s="22"/>
      <c r="AL801" s="21" t="str">
        <f>_xlfn.XLOOKUP(A:A,[1]TAGS!$A:$A,[1]TAGS!$BG:$BG)</f>
        <v>Não Montado</v>
      </c>
      <c r="AM801" s="21" t="s">
        <v>70</v>
      </c>
      <c r="AN801" s="22"/>
      <c r="AO801" s="21" t="str">
        <f>_xlfn.XLOOKUP(A:A,[1]TAGS!$A:$A,[1]TAGS!$BG:$BG)</f>
        <v>Não Montado</v>
      </c>
      <c r="AP801" s="21"/>
      <c r="AQ801" s="21"/>
      <c r="AR801" s="21"/>
      <c r="AS801" s="21"/>
      <c r="AT801" s="21"/>
      <c r="AU801" s="21"/>
    </row>
    <row r="802" spans="1:47" x14ac:dyDescent="0.35">
      <c r="A802" s="19" t="s">
        <v>2767</v>
      </c>
      <c r="B802" s="19" t="s">
        <v>52</v>
      </c>
      <c r="C802" s="19"/>
      <c r="D802" s="19" t="s">
        <v>53</v>
      </c>
      <c r="E802" s="19" t="s">
        <v>460</v>
      </c>
      <c r="F802" s="20" t="s">
        <v>397</v>
      </c>
      <c r="G802" s="20" t="s">
        <v>398</v>
      </c>
      <c r="H802" s="19" t="s">
        <v>2768</v>
      </c>
      <c r="I802" s="20" t="s">
        <v>58</v>
      </c>
      <c r="J802" s="20" t="s">
        <v>400</v>
      </c>
      <c r="K802" s="20" t="s">
        <v>2769</v>
      </c>
      <c r="L802" s="19" t="s">
        <v>61</v>
      </c>
      <c r="M802" s="19" t="s">
        <v>62</v>
      </c>
      <c r="N802" s="19" t="s">
        <v>683</v>
      </c>
      <c r="O802" s="19">
        <v>21</v>
      </c>
      <c r="P802" s="19">
        <v>3.73</v>
      </c>
      <c r="Q802" s="19">
        <v>1</v>
      </c>
      <c r="R802" s="20">
        <v>8</v>
      </c>
      <c r="S802" s="19">
        <v>6.6000000000000003E-2</v>
      </c>
      <c r="T802" s="19" t="s">
        <v>64</v>
      </c>
      <c r="U802" s="19" t="s">
        <v>65</v>
      </c>
      <c r="V802" s="19" t="s">
        <v>66</v>
      </c>
      <c r="W802" s="19" t="s">
        <v>67</v>
      </c>
      <c r="X802" s="19" t="s">
        <v>68</v>
      </c>
      <c r="Y802" s="21" t="s">
        <v>623</v>
      </c>
      <c r="Z802" s="21" t="s">
        <v>2620</v>
      </c>
      <c r="AA802" s="21" t="s">
        <v>692</v>
      </c>
      <c r="AB802" s="21">
        <v>4</v>
      </c>
      <c r="AC802" s="21"/>
      <c r="AD802" s="21"/>
      <c r="AE802" s="21"/>
      <c r="AF802" s="21"/>
      <c r="AG802" s="21" t="s">
        <v>2767</v>
      </c>
      <c r="AH802" s="21"/>
      <c r="AI802" s="21"/>
      <c r="AJ802" s="22"/>
      <c r="AK802" s="22"/>
      <c r="AL802" s="21" t="str">
        <f>_xlfn.XLOOKUP(A:A,[1]TAGS!$A:$A,[1]TAGS!$BG:$BG)</f>
        <v>Não Montado</v>
      </c>
      <c r="AM802" s="21" t="s">
        <v>70</v>
      </c>
      <c r="AN802" s="22"/>
      <c r="AO802" s="21" t="str">
        <f>_xlfn.XLOOKUP(A:A,[1]TAGS!$A:$A,[1]TAGS!$BG:$BG)</f>
        <v>Não Montado</v>
      </c>
      <c r="AP802" s="21"/>
      <c r="AQ802" s="21"/>
      <c r="AR802" s="21"/>
      <c r="AS802" s="21"/>
      <c r="AT802" s="21"/>
      <c r="AU802" s="21"/>
    </row>
    <row r="803" spans="1:47" x14ac:dyDescent="0.35">
      <c r="A803" s="19" t="s">
        <v>2770</v>
      </c>
      <c r="B803" s="19" t="s">
        <v>52</v>
      </c>
      <c r="C803" s="19"/>
      <c r="D803" s="19" t="s">
        <v>53</v>
      </c>
      <c r="E803" s="19" t="s">
        <v>460</v>
      </c>
      <c r="F803" s="20" t="s">
        <v>397</v>
      </c>
      <c r="G803" s="20" t="s">
        <v>398</v>
      </c>
      <c r="H803" s="19" t="s">
        <v>2771</v>
      </c>
      <c r="I803" s="20" t="s">
        <v>58</v>
      </c>
      <c r="J803" s="20" t="s">
        <v>400</v>
      </c>
      <c r="K803" s="20" t="s">
        <v>2772</v>
      </c>
      <c r="L803" s="19" t="s">
        <v>61</v>
      </c>
      <c r="M803" s="19" t="s">
        <v>62</v>
      </c>
      <c r="N803" s="19" t="s">
        <v>683</v>
      </c>
      <c r="O803" s="19">
        <v>21</v>
      </c>
      <c r="P803" s="19">
        <v>3.73</v>
      </c>
      <c r="Q803" s="19">
        <v>1</v>
      </c>
      <c r="R803" s="20">
        <v>8</v>
      </c>
      <c r="S803" s="19">
        <v>6.6000000000000003E-2</v>
      </c>
      <c r="T803" s="19" t="s">
        <v>64</v>
      </c>
      <c r="U803" s="19" t="s">
        <v>65</v>
      </c>
      <c r="V803" s="19" t="s">
        <v>66</v>
      </c>
      <c r="W803" s="19" t="s">
        <v>67</v>
      </c>
      <c r="X803" s="19" t="s">
        <v>68</v>
      </c>
      <c r="Y803" s="21" t="s">
        <v>623</v>
      </c>
      <c r="Z803" s="21" t="s">
        <v>2620</v>
      </c>
      <c r="AA803" s="21" t="s">
        <v>625</v>
      </c>
      <c r="AB803" s="21">
        <v>4</v>
      </c>
      <c r="AC803" s="21"/>
      <c r="AD803" s="21"/>
      <c r="AE803" s="21"/>
      <c r="AF803" s="21"/>
      <c r="AG803" s="21" t="s">
        <v>2770</v>
      </c>
      <c r="AH803" s="21"/>
      <c r="AI803" s="21"/>
      <c r="AJ803" s="22"/>
      <c r="AK803" s="22"/>
      <c r="AL803" s="21" t="str">
        <f>_xlfn.XLOOKUP(A:A,[1]TAGS!$A:$A,[1]TAGS!$BG:$BG)</f>
        <v>Não Montado</v>
      </c>
      <c r="AM803" s="21" t="s">
        <v>70</v>
      </c>
      <c r="AN803" s="22"/>
      <c r="AO803" s="21" t="str">
        <f>_xlfn.XLOOKUP(A:A,[1]TAGS!$A:$A,[1]TAGS!$BG:$BG)</f>
        <v>Não Montado</v>
      </c>
      <c r="AP803" s="21"/>
      <c r="AQ803" s="21"/>
      <c r="AR803" s="21"/>
      <c r="AS803" s="21"/>
      <c r="AT803" s="21"/>
      <c r="AU803" s="21"/>
    </row>
    <row r="804" spans="1:47" x14ac:dyDescent="0.35">
      <c r="A804" s="19" t="s">
        <v>2773</v>
      </c>
      <c r="B804" s="19" t="s">
        <v>52</v>
      </c>
      <c r="C804" s="19"/>
      <c r="D804" s="19" t="s">
        <v>53</v>
      </c>
      <c r="E804" s="19" t="s">
        <v>460</v>
      </c>
      <c r="F804" s="20" t="s">
        <v>397</v>
      </c>
      <c r="G804" s="20" t="s">
        <v>398</v>
      </c>
      <c r="H804" s="19" t="s">
        <v>2774</v>
      </c>
      <c r="I804" s="20" t="s">
        <v>58</v>
      </c>
      <c r="J804" s="20" t="s">
        <v>400</v>
      </c>
      <c r="K804" s="20" t="s">
        <v>2775</v>
      </c>
      <c r="L804" s="19" t="s">
        <v>61</v>
      </c>
      <c r="M804" s="19" t="s">
        <v>62</v>
      </c>
      <c r="N804" s="20" t="s">
        <v>63</v>
      </c>
      <c r="O804" s="19">
        <v>21</v>
      </c>
      <c r="P804" s="19">
        <v>3.73</v>
      </c>
      <c r="Q804" s="19">
        <v>1</v>
      </c>
      <c r="R804" s="20">
        <v>8</v>
      </c>
      <c r="S804" s="19">
        <v>6.6000000000000003E-2</v>
      </c>
      <c r="T804" s="19" t="s">
        <v>64</v>
      </c>
      <c r="U804" s="19" t="s">
        <v>65</v>
      </c>
      <c r="V804" s="19" t="s">
        <v>66</v>
      </c>
      <c r="W804" s="19" t="s">
        <v>67</v>
      </c>
      <c r="X804" s="19" t="s">
        <v>68</v>
      </c>
      <c r="Y804" s="21" t="s">
        <v>623</v>
      </c>
      <c r="Z804" s="21" t="s">
        <v>2627</v>
      </c>
      <c r="AA804" s="21" t="s">
        <v>692</v>
      </c>
      <c r="AB804" s="21">
        <v>4</v>
      </c>
      <c r="AC804" s="21"/>
      <c r="AD804" s="21"/>
      <c r="AE804" s="21"/>
      <c r="AF804" s="21"/>
      <c r="AG804" s="21" t="s">
        <v>2773</v>
      </c>
      <c r="AH804" s="21"/>
      <c r="AI804" s="21"/>
      <c r="AJ804" s="22"/>
      <c r="AK804" s="22"/>
      <c r="AL804" s="21" t="str">
        <f>_xlfn.XLOOKUP(A:A,[1]TAGS!$A:$A,[1]TAGS!$BG:$BG)</f>
        <v>Não Montado</v>
      </c>
      <c r="AM804" s="21" t="s">
        <v>70</v>
      </c>
      <c r="AN804" s="22"/>
      <c r="AO804" s="21" t="str">
        <f>_xlfn.XLOOKUP(A:A,[1]TAGS!$A:$A,[1]TAGS!$BG:$BG)</f>
        <v>Não Montado</v>
      </c>
      <c r="AP804" s="21"/>
      <c r="AQ804" s="21"/>
      <c r="AR804" s="21"/>
      <c r="AS804" s="21"/>
      <c r="AT804" s="21"/>
      <c r="AU804" s="21"/>
    </row>
    <row r="805" spans="1:47" x14ac:dyDescent="0.35">
      <c r="A805" s="19" t="s">
        <v>2776</v>
      </c>
      <c r="B805" s="19" t="s">
        <v>52</v>
      </c>
      <c r="C805" s="19"/>
      <c r="D805" s="19" t="s">
        <v>53</v>
      </c>
      <c r="E805" s="19" t="s">
        <v>460</v>
      </c>
      <c r="F805" s="20" t="s">
        <v>397</v>
      </c>
      <c r="G805" s="20" t="s">
        <v>398</v>
      </c>
      <c r="H805" s="19" t="s">
        <v>2777</v>
      </c>
      <c r="I805" s="20" t="s">
        <v>58</v>
      </c>
      <c r="J805" s="20" t="s">
        <v>400</v>
      </c>
      <c r="K805" s="20" t="s">
        <v>2778</v>
      </c>
      <c r="L805" s="19" t="s">
        <v>61</v>
      </c>
      <c r="M805" s="19" t="s">
        <v>62</v>
      </c>
      <c r="N805" s="19" t="s">
        <v>683</v>
      </c>
      <c r="O805" s="19">
        <v>21</v>
      </c>
      <c r="P805" s="19">
        <v>3.73</v>
      </c>
      <c r="Q805" s="19">
        <v>1</v>
      </c>
      <c r="R805" s="20">
        <v>8</v>
      </c>
      <c r="S805" s="19">
        <v>6.6000000000000003E-2</v>
      </c>
      <c r="T805" s="19" t="s">
        <v>64</v>
      </c>
      <c r="U805" s="19" t="s">
        <v>65</v>
      </c>
      <c r="V805" s="19" t="s">
        <v>66</v>
      </c>
      <c r="W805" s="19" t="s">
        <v>67</v>
      </c>
      <c r="X805" s="19" t="s">
        <v>68</v>
      </c>
      <c r="Y805" s="21" t="s">
        <v>623</v>
      </c>
      <c r="Z805" s="21" t="s">
        <v>2627</v>
      </c>
      <c r="AA805" s="21" t="s">
        <v>625</v>
      </c>
      <c r="AB805" s="21">
        <v>4</v>
      </c>
      <c r="AC805" s="21"/>
      <c r="AD805" s="21"/>
      <c r="AE805" s="21"/>
      <c r="AF805" s="21"/>
      <c r="AG805" s="21" t="s">
        <v>2776</v>
      </c>
      <c r="AH805" s="21"/>
      <c r="AI805" s="21"/>
      <c r="AJ805" s="22"/>
      <c r="AK805" s="22"/>
      <c r="AL805" s="21" t="str">
        <f>_xlfn.XLOOKUP(A:A,[1]TAGS!$A:$A,[1]TAGS!$BG:$BG)</f>
        <v>Não Montado</v>
      </c>
      <c r="AM805" s="21" t="s">
        <v>70</v>
      </c>
      <c r="AN805" s="22"/>
      <c r="AO805" s="21" t="str">
        <f>_xlfn.XLOOKUP(A:A,[1]TAGS!$A:$A,[1]TAGS!$BG:$BG)</f>
        <v>Não Montado</v>
      </c>
      <c r="AP805" s="21"/>
      <c r="AQ805" s="21"/>
      <c r="AR805" s="21"/>
      <c r="AS805" s="21"/>
      <c r="AT805" s="21"/>
      <c r="AU805" s="21"/>
    </row>
    <row r="806" spans="1:47" x14ac:dyDescent="0.35">
      <c r="A806" s="19" t="s">
        <v>2779</v>
      </c>
      <c r="B806" s="19" t="s">
        <v>52</v>
      </c>
      <c r="C806" s="19"/>
      <c r="D806" s="19" t="s">
        <v>53</v>
      </c>
      <c r="E806" s="19" t="s">
        <v>460</v>
      </c>
      <c r="F806" s="20" t="s">
        <v>397</v>
      </c>
      <c r="G806" s="20" t="s">
        <v>398</v>
      </c>
      <c r="H806" s="19" t="s">
        <v>2780</v>
      </c>
      <c r="I806" s="20" t="s">
        <v>58</v>
      </c>
      <c r="J806" s="20" t="s">
        <v>400</v>
      </c>
      <c r="K806" s="20" t="s">
        <v>2781</v>
      </c>
      <c r="L806" s="19" t="s">
        <v>61</v>
      </c>
      <c r="M806" s="19" t="s">
        <v>62</v>
      </c>
      <c r="N806" s="19" t="s">
        <v>683</v>
      </c>
      <c r="O806" s="19">
        <v>21</v>
      </c>
      <c r="P806" s="19">
        <v>3.73</v>
      </c>
      <c r="Q806" s="19">
        <v>1</v>
      </c>
      <c r="R806" s="20">
        <v>8</v>
      </c>
      <c r="S806" s="19">
        <v>6.6000000000000003E-2</v>
      </c>
      <c r="T806" s="19" t="s">
        <v>64</v>
      </c>
      <c r="U806" s="19" t="s">
        <v>65</v>
      </c>
      <c r="V806" s="19" t="s">
        <v>66</v>
      </c>
      <c r="W806" s="19" t="s">
        <v>67</v>
      </c>
      <c r="X806" s="19" t="s">
        <v>68</v>
      </c>
      <c r="Y806" s="21" t="s">
        <v>623</v>
      </c>
      <c r="Z806" s="21" t="s">
        <v>2634</v>
      </c>
      <c r="AA806" s="21" t="s">
        <v>692</v>
      </c>
      <c r="AB806" s="21">
        <v>4</v>
      </c>
      <c r="AC806" s="21"/>
      <c r="AD806" s="21"/>
      <c r="AE806" s="21"/>
      <c r="AF806" s="21"/>
      <c r="AG806" s="21" t="s">
        <v>2779</v>
      </c>
      <c r="AH806" s="21"/>
      <c r="AI806" s="21"/>
      <c r="AJ806" s="22"/>
      <c r="AK806" s="22"/>
      <c r="AL806" s="21" t="str">
        <f>_xlfn.XLOOKUP(A:A,[1]TAGS!$A:$A,[1]TAGS!$BG:$BG)</f>
        <v>Não Montado</v>
      </c>
      <c r="AM806" s="21" t="s">
        <v>70</v>
      </c>
      <c r="AN806" s="22"/>
      <c r="AO806" s="21" t="str">
        <f>_xlfn.XLOOKUP(A:A,[1]TAGS!$A:$A,[1]TAGS!$BG:$BG)</f>
        <v>Não Montado</v>
      </c>
      <c r="AP806" s="21"/>
      <c r="AQ806" s="21"/>
      <c r="AR806" s="21"/>
      <c r="AS806" s="21"/>
      <c r="AT806" s="21"/>
      <c r="AU806" s="21"/>
    </row>
    <row r="807" spans="1:47" x14ac:dyDescent="0.35">
      <c r="A807" s="24" t="s">
        <v>2782</v>
      </c>
      <c r="B807" s="24" t="s">
        <v>52</v>
      </c>
      <c r="C807" s="24"/>
      <c r="D807" s="24" t="s">
        <v>53</v>
      </c>
      <c r="E807" s="19" t="s">
        <v>460</v>
      </c>
      <c r="F807" s="20" t="s">
        <v>397</v>
      </c>
      <c r="G807" s="20" t="s">
        <v>398</v>
      </c>
      <c r="H807" s="24" t="s">
        <v>2783</v>
      </c>
      <c r="I807" s="20" t="s">
        <v>58</v>
      </c>
      <c r="J807" s="20" t="s">
        <v>400</v>
      </c>
      <c r="K807" s="25" t="s">
        <v>2784</v>
      </c>
      <c r="L807" s="24" t="s">
        <v>61</v>
      </c>
      <c r="M807" s="24" t="s">
        <v>62</v>
      </c>
      <c r="N807" s="20" t="s">
        <v>63</v>
      </c>
      <c r="O807" s="24">
        <v>21</v>
      </c>
      <c r="P807" s="24">
        <v>3.73</v>
      </c>
      <c r="Q807" s="24">
        <v>1</v>
      </c>
      <c r="R807" s="20">
        <v>33</v>
      </c>
      <c r="S807" s="24">
        <v>6.6000000000000003E-2</v>
      </c>
      <c r="T807" s="24" t="s">
        <v>64</v>
      </c>
      <c r="U807" s="24" t="s">
        <v>65</v>
      </c>
      <c r="V807" s="24" t="s">
        <v>66</v>
      </c>
      <c r="W807" s="24" t="s">
        <v>67</v>
      </c>
      <c r="X807" s="24" t="s">
        <v>68</v>
      </c>
      <c r="Y807" s="21" t="s">
        <v>463</v>
      </c>
      <c r="Z807" s="21" t="s">
        <v>2785</v>
      </c>
      <c r="AA807" s="21"/>
      <c r="AB807" s="21">
        <v>3</v>
      </c>
      <c r="AC807" s="21">
        <v>216</v>
      </c>
      <c r="AD807" s="21"/>
      <c r="AE807" s="21"/>
      <c r="AF807" s="21"/>
      <c r="AG807" s="21" t="s">
        <v>2782</v>
      </c>
      <c r="AH807" s="21"/>
      <c r="AI807" s="21"/>
      <c r="AJ807" s="22"/>
      <c r="AK807" s="22"/>
      <c r="AL807" s="21" t="str">
        <f>_xlfn.XLOOKUP(A:A,[1]TAGS!$A:$A,[1]TAGS!$BG:$BG)</f>
        <v>Não Montado</v>
      </c>
      <c r="AM807" s="21" t="s">
        <v>70</v>
      </c>
      <c r="AN807" s="22"/>
      <c r="AO807" s="21" t="str">
        <f>_xlfn.XLOOKUP(A:A,[1]TAGS!$A:$A,[1]TAGS!$BG:$BG)</f>
        <v>Não Montado</v>
      </c>
      <c r="AP807" s="21"/>
      <c r="AQ807" s="21"/>
      <c r="AR807" s="21"/>
      <c r="AS807" s="21"/>
      <c r="AT807" s="21"/>
      <c r="AU807" s="21"/>
    </row>
    <row r="808" spans="1:47" x14ac:dyDescent="0.35">
      <c r="A808" s="25" t="s">
        <v>475</v>
      </c>
      <c r="B808" s="24" t="s">
        <v>52</v>
      </c>
      <c r="C808" s="24"/>
      <c r="D808" s="24" t="s">
        <v>53</v>
      </c>
      <c r="E808" s="19" t="s">
        <v>54</v>
      </c>
      <c r="F808" s="20" t="s">
        <v>376</v>
      </c>
      <c r="G808" s="20" t="s">
        <v>377</v>
      </c>
      <c r="H808" s="25"/>
      <c r="I808" s="20" t="s">
        <v>58</v>
      </c>
      <c r="J808" s="20" t="s">
        <v>379</v>
      </c>
      <c r="K808" s="25" t="s">
        <v>2786</v>
      </c>
      <c r="L808" s="24" t="s">
        <v>61</v>
      </c>
      <c r="M808" s="24" t="s">
        <v>62</v>
      </c>
      <c r="N808" s="20" t="s">
        <v>63</v>
      </c>
      <c r="O808" s="24">
        <v>21</v>
      </c>
      <c r="P808" s="24">
        <v>3.73</v>
      </c>
      <c r="Q808" s="24">
        <v>1</v>
      </c>
      <c r="R808" s="20">
        <v>7</v>
      </c>
      <c r="S808" s="24">
        <v>6.6000000000000003E-2</v>
      </c>
      <c r="T808" s="24" t="s">
        <v>64</v>
      </c>
      <c r="U808" s="24" t="s">
        <v>65</v>
      </c>
      <c r="V808" s="24" t="s">
        <v>66</v>
      </c>
      <c r="W808" s="24" t="s">
        <v>67</v>
      </c>
      <c r="X808" s="24" t="s">
        <v>68</v>
      </c>
      <c r="Y808" s="21" t="s">
        <v>2787</v>
      </c>
      <c r="Z808" s="26" t="s">
        <v>475</v>
      </c>
      <c r="AA808" s="21"/>
      <c r="AB808" s="21"/>
      <c r="AC808" s="21"/>
      <c r="AD808" s="21"/>
      <c r="AE808" s="21"/>
      <c r="AF808" s="21">
        <v>101013</v>
      </c>
      <c r="AG808" s="21"/>
      <c r="AH808" s="21" t="s">
        <v>2788</v>
      </c>
      <c r="AI808" s="21"/>
      <c r="AJ808" s="21" t="s">
        <v>70</v>
      </c>
      <c r="AK808" s="21" t="s">
        <v>70</v>
      </c>
      <c r="AL808" s="22"/>
      <c r="AM808" s="22"/>
      <c r="AN808" s="22"/>
      <c r="AO808" s="21" t="str">
        <f>_xlfn.XLOOKUP(A:A,[1]TAGS!$A:$A,[1]TAGS!$BG:$BG)</f>
        <v>Não Montado</v>
      </c>
      <c r="AP808" s="21">
        <f t="shared" ref="AP808:AP851" si="0">COUNTIFS($Y$3:$Y$1500,"VÁLVULA*",$Z$3:$Z$1500,$Z808,$AL$3:$AL$1500,"Montado")</f>
        <v>0</v>
      </c>
      <c r="AQ808" s="21">
        <f t="shared" ref="AQ808:AQ851" si="1">COUNTIFS($Y$3:$Y$1500,"VÁLVULA*",$Z$3:$Z$1500,$Z808)</f>
        <v>10</v>
      </c>
      <c r="AR808" s="21">
        <f t="shared" ref="AR808:AR851" si="2">COUNTIFS($Y$3:$Y$1500,"VÁLVULA*",$Z$3:$Z$1500,$Z808,$AM$3:$AM$1500,"Montado")</f>
        <v>0</v>
      </c>
      <c r="AS808" s="21">
        <f t="shared" ref="AS808:AS851" si="3">COUNTIFS($Y$3:$Y$1500,"VÁLVULA*",$Z$3:$Z$1500,$Z808,$AM$3:$AM$1500,"&lt;&gt;")</f>
        <v>7</v>
      </c>
      <c r="AT808" s="27">
        <f t="shared" ref="AT808:AT851" si="4">IFERROR((IF(AJ808="Montado",1,0)+IF(AK808="Montado",1,0)+AP808+AR808)/(2+AQ808+AS808),0)</f>
        <v>0</v>
      </c>
      <c r="AU808" s="21"/>
    </row>
    <row r="809" spans="1:47" x14ac:dyDescent="0.35">
      <c r="A809" s="25" t="s">
        <v>468</v>
      </c>
      <c r="B809" s="24" t="s">
        <v>52</v>
      </c>
      <c r="C809" s="24"/>
      <c r="D809" s="24" t="s">
        <v>53</v>
      </c>
      <c r="E809" s="19" t="s">
        <v>54</v>
      </c>
      <c r="F809" s="20" t="s">
        <v>376</v>
      </c>
      <c r="G809" s="20" t="s">
        <v>377</v>
      </c>
      <c r="H809" s="25"/>
      <c r="I809" s="20" t="s">
        <v>58</v>
      </c>
      <c r="J809" s="20" t="s">
        <v>379</v>
      </c>
      <c r="K809" s="25" t="s">
        <v>2789</v>
      </c>
      <c r="L809" s="24" t="s">
        <v>61</v>
      </c>
      <c r="M809" s="24" t="s">
        <v>62</v>
      </c>
      <c r="N809" s="20" t="s">
        <v>63</v>
      </c>
      <c r="O809" s="24">
        <v>21</v>
      </c>
      <c r="P809" s="24">
        <v>3.73</v>
      </c>
      <c r="Q809" s="24">
        <v>1</v>
      </c>
      <c r="R809" s="20">
        <v>7</v>
      </c>
      <c r="S809" s="24">
        <v>6.6000000000000003E-2</v>
      </c>
      <c r="T809" s="24" t="s">
        <v>64</v>
      </c>
      <c r="U809" s="24" t="s">
        <v>65</v>
      </c>
      <c r="V809" s="24" t="s">
        <v>66</v>
      </c>
      <c r="W809" s="24" t="s">
        <v>67</v>
      </c>
      <c r="X809" s="24" t="s">
        <v>68</v>
      </c>
      <c r="Y809" s="21" t="s">
        <v>2787</v>
      </c>
      <c r="Z809" s="26" t="s">
        <v>468</v>
      </c>
      <c r="AA809" s="21"/>
      <c r="AB809" s="21"/>
      <c r="AC809" s="21"/>
      <c r="AD809" s="21"/>
      <c r="AE809" s="21"/>
      <c r="AF809" s="21">
        <v>101013</v>
      </c>
      <c r="AG809" s="21"/>
      <c r="AH809" s="21" t="s">
        <v>2788</v>
      </c>
      <c r="AI809" s="21"/>
      <c r="AJ809" s="21" t="s">
        <v>70</v>
      </c>
      <c r="AK809" s="21" t="s">
        <v>70</v>
      </c>
      <c r="AL809" s="22"/>
      <c r="AM809" s="22"/>
      <c r="AN809" s="22"/>
      <c r="AO809" s="21" t="str">
        <f>_xlfn.XLOOKUP(A:A,[1]TAGS!$A:$A,[1]TAGS!$BG:$BG)</f>
        <v>Não Montado</v>
      </c>
      <c r="AP809" s="21">
        <f t="shared" si="0"/>
        <v>0</v>
      </c>
      <c r="AQ809" s="21">
        <f t="shared" si="1"/>
        <v>7</v>
      </c>
      <c r="AR809" s="21">
        <f t="shared" si="2"/>
        <v>0</v>
      </c>
      <c r="AS809" s="21">
        <f t="shared" si="3"/>
        <v>6</v>
      </c>
      <c r="AT809" s="27">
        <f t="shared" si="4"/>
        <v>0</v>
      </c>
      <c r="AU809" s="21"/>
    </row>
    <row r="810" spans="1:47" x14ac:dyDescent="0.35">
      <c r="A810" s="25" t="s">
        <v>488</v>
      </c>
      <c r="B810" s="24" t="s">
        <v>52</v>
      </c>
      <c r="C810" s="24"/>
      <c r="D810" s="24" t="s">
        <v>53</v>
      </c>
      <c r="E810" s="19" t="s">
        <v>54</v>
      </c>
      <c r="F810" s="20" t="s">
        <v>376</v>
      </c>
      <c r="G810" s="20" t="s">
        <v>377</v>
      </c>
      <c r="H810" s="25"/>
      <c r="I810" s="20" t="s">
        <v>58</v>
      </c>
      <c r="J810" s="20" t="s">
        <v>379</v>
      </c>
      <c r="K810" s="25" t="s">
        <v>2790</v>
      </c>
      <c r="L810" s="24" t="s">
        <v>61</v>
      </c>
      <c r="M810" s="24" t="s">
        <v>62</v>
      </c>
      <c r="N810" s="20" t="s">
        <v>63</v>
      </c>
      <c r="O810" s="24">
        <v>21</v>
      </c>
      <c r="P810" s="24">
        <v>3.73</v>
      </c>
      <c r="Q810" s="24">
        <v>1</v>
      </c>
      <c r="R810" s="20">
        <v>7</v>
      </c>
      <c r="S810" s="24">
        <v>6.6000000000000003E-2</v>
      </c>
      <c r="T810" s="24" t="s">
        <v>64</v>
      </c>
      <c r="U810" s="24" t="s">
        <v>65</v>
      </c>
      <c r="V810" s="24" t="s">
        <v>66</v>
      </c>
      <c r="W810" s="24" t="s">
        <v>67</v>
      </c>
      <c r="X810" s="24" t="s">
        <v>68</v>
      </c>
      <c r="Y810" s="21" t="s">
        <v>2787</v>
      </c>
      <c r="Z810" s="26" t="s">
        <v>488</v>
      </c>
      <c r="AA810" s="21"/>
      <c r="AB810" s="21"/>
      <c r="AC810" s="21"/>
      <c r="AD810" s="21"/>
      <c r="AE810" s="21"/>
      <c r="AF810" s="21">
        <v>101013</v>
      </c>
      <c r="AG810" s="21"/>
      <c r="AH810" s="21" t="s">
        <v>2791</v>
      </c>
      <c r="AI810" s="21"/>
      <c r="AJ810" s="21" t="s">
        <v>70</v>
      </c>
      <c r="AK810" s="21" t="s">
        <v>70</v>
      </c>
      <c r="AL810" s="22"/>
      <c r="AM810" s="22"/>
      <c r="AN810" s="22"/>
      <c r="AO810" s="21" t="str">
        <f>_xlfn.XLOOKUP(A:A,[1]TAGS!$A:$A,[1]TAGS!$BG:$BG)</f>
        <v>Não Montado</v>
      </c>
      <c r="AP810" s="21">
        <f t="shared" si="0"/>
        <v>0</v>
      </c>
      <c r="AQ810" s="21">
        <f t="shared" si="1"/>
        <v>7</v>
      </c>
      <c r="AR810" s="21">
        <f t="shared" si="2"/>
        <v>0</v>
      </c>
      <c r="AS810" s="21">
        <f t="shared" si="3"/>
        <v>7</v>
      </c>
      <c r="AT810" s="27">
        <f t="shared" si="4"/>
        <v>0</v>
      </c>
      <c r="AU810" s="21"/>
    </row>
    <row r="811" spans="1:47" x14ac:dyDescent="0.35">
      <c r="A811" s="25" t="s">
        <v>464</v>
      </c>
      <c r="B811" s="24" t="s">
        <v>52</v>
      </c>
      <c r="C811" s="24"/>
      <c r="D811" s="24" t="s">
        <v>53</v>
      </c>
      <c r="E811" s="19" t="s">
        <v>54</v>
      </c>
      <c r="F811" s="20" t="s">
        <v>376</v>
      </c>
      <c r="G811" s="20" t="s">
        <v>377</v>
      </c>
      <c r="H811" s="25"/>
      <c r="I811" s="20" t="s">
        <v>58</v>
      </c>
      <c r="J811" s="20" t="s">
        <v>379</v>
      </c>
      <c r="K811" s="25" t="s">
        <v>2792</v>
      </c>
      <c r="L811" s="24" t="s">
        <v>61</v>
      </c>
      <c r="M811" s="24" t="s">
        <v>62</v>
      </c>
      <c r="N811" s="20" t="s">
        <v>63</v>
      </c>
      <c r="O811" s="24">
        <v>21</v>
      </c>
      <c r="P811" s="24">
        <v>3.73</v>
      </c>
      <c r="Q811" s="24">
        <v>1</v>
      </c>
      <c r="R811" s="20">
        <v>7</v>
      </c>
      <c r="S811" s="24">
        <v>6.6000000000000003E-2</v>
      </c>
      <c r="T811" s="24" t="s">
        <v>64</v>
      </c>
      <c r="U811" s="24" t="s">
        <v>65</v>
      </c>
      <c r="V811" s="24" t="s">
        <v>66</v>
      </c>
      <c r="W811" s="24" t="s">
        <v>67</v>
      </c>
      <c r="X811" s="24" t="s">
        <v>68</v>
      </c>
      <c r="Y811" s="21" t="s">
        <v>2787</v>
      </c>
      <c r="Z811" s="26" t="s">
        <v>464</v>
      </c>
      <c r="AA811" s="21"/>
      <c r="AB811" s="21"/>
      <c r="AC811" s="21"/>
      <c r="AD811" s="21"/>
      <c r="AE811" s="21"/>
      <c r="AF811" s="21">
        <v>101013</v>
      </c>
      <c r="AG811" s="21"/>
      <c r="AH811" s="21" t="s">
        <v>2791</v>
      </c>
      <c r="AI811" s="21"/>
      <c r="AJ811" s="21" t="s">
        <v>70</v>
      </c>
      <c r="AK811" s="21" t="s">
        <v>70</v>
      </c>
      <c r="AL811" s="22"/>
      <c r="AM811" s="22"/>
      <c r="AN811" s="22"/>
      <c r="AO811" s="21" t="str">
        <f>_xlfn.XLOOKUP(A:A,[1]TAGS!$A:$A,[1]TAGS!$BG:$BG)</f>
        <v>Não Montado</v>
      </c>
      <c r="AP811" s="21">
        <f t="shared" si="0"/>
        <v>0</v>
      </c>
      <c r="AQ811" s="21">
        <f t="shared" si="1"/>
        <v>6</v>
      </c>
      <c r="AR811" s="21">
        <f t="shared" si="2"/>
        <v>0</v>
      </c>
      <c r="AS811" s="21">
        <f t="shared" si="3"/>
        <v>5</v>
      </c>
      <c r="AT811" s="27">
        <f t="shared" si="4"/>
        <v>0</v>
      </c>
      <c r="AU811" s="21"/>
    </row>
    <row r="812" spans="1:47" x14ac:dyDescent="0.35">
      <c r="A812" s="25" t="s">
        <v>522</v>
      </c>
      <c r="B812" s="24" t="s">
        <v>52</v>
      </c>
      <c r="C812" s="24"/>
      <c r="D812" s="24" t="s">
        <v>53</v>
      </c>
      <c r="E812" s="19" t="s">
        <v>54</v>
      </c>
      <c r="F812" s="20" t="s">
        <v>376</v>
      </c>
      <c r="G812" s="20" t="s">
        <v>377</v>
      </c>
      <c r="H812" s="25"/>
      <c r="I812" s="20" t="s">
        <v>58</v>
      </c>
      <c r="J812" s="20" t="s">
        <v>379</v>
      </c>
      <c r="K812" s="25" t="s">
        <v>2793</v>
      </c>
      <c r="L812" s="24" t="s">
        <v>61</v>
      </c>
      <c r="M812" s="24" t="s">
        <v>62</v>
      </c>
      <c r="N812" s="20" t="s">
        <v>63</v>
      </c>
      <c r="O812" s="24">
        <v>21</v>
      </c>
      <c r="P812" s="24">
        <v>3.73</v>
      </c>
      <c r="Q812" s="24">
        <v>1</v>
      </c>
      <c r="R812" s="20">
        <v>7</v>
      </c>
      <c r="S812" s="24">
        <v>6.6000000000000003E-2</v>
      </c>
      <c r="T812" s="24" t="s">
        <v>64</v>
      </c>
      <c r="U812" s="24" t="s">
        <v>65</v>
      </c>
      <c r="V812" s="24" t="s">
        <v>66</v>
      </c>
      <c r="W812" s="24" t="s">
        <v>67</v>
      </c>
      <c r="X812" s="24" t="s">
        <v>68</v>
      </c>
      <c r="Y812" s="21" t="s">
        <v>2787</v>
      </c>
      <c r="Z812" s="26" t="s">
        <v>522</v>
      </c>
      <c r="AA812" s="21"/>
      <c r="AB812" s="21"/>
      <c r="AC812" s="21"/>
      <c r="AD812" s="21"/>
      <c r="AE812" s="21"/>
      <c r="AF812" s="21">
        <v>101013</v>
      </c>
      <c r="AG812" s="21"/>
      <c r="AH812" s="21" t="s">
        <v>2794</v>
      </c>
      <c r="AI812" s="21"/>
      <c r="AJ812" s="21" t="s">
        <v>70</v>
      </c>
      <c r="AK812" s="21" t="s">
        <v>70</v>
      </c>
      <c r="AL812" s="22"/>
      <c r="AM812" s="22"/>
      <c r="AN812" s="22"/>
      <c r="AO812" s="21" t="str">
        <f>_xlfn.XLOOKUP(A:A,[1]TAGS!$A:$A,[1]TAGS!$BG:$BG)</f>
        <v>Não Montado</v>
      </c>
      <c r="AP812" s="21">
        <f t="shared" si="0"/>
        <v>0</v>
      </c>
      <c r="AQ812" s="21">
        <f t="shared" si="1"/>
        <v>8</v>
      </c>
      <c r="AR812" s="21">
        <f t="shared" si="2"/>
        <v>0</v>
      </c>
      <c r="AS812" s="21">
        <f t="shared" si="3"/>
        <v>8</v>
      </c>
      <c r="AT812" s="27">
        <f t="shared" si="4"/>
        <v>0</v>
      </c>
      <c r="AU812" s="21"/>
    </row>
    <row r="813" spans="1:47" x14ac:dyDescent="0.35">
      <c r="A813" s="25" t="s">
        <v>548</v>
      </c>
      <c r="B813" s="24" t="s">
        <v>52</v>
      </c>
      <c r="C813" s="24"/>
      <c r="D813" s="24" t="s">
        <v>53</v>
      </c>
      <c r="E813" s="19" t="s">
        <v>54</v>
      </c>
      <c r="F813" s="20" t="s">
        <v>376</v>
      </c>
      <c r="G813" s="20" t="s">
        <v>377</v>
      </c>
      <c r="H813" s="25"/>
      <c r="I813" s="20" t="s">
        <v>58</v>
      </c>
      <c r="J813" s="20" t="s">
        <v>379</v>
      </c>
      <c r="K813" s="25" t="s">
        <v>2795</v>
      </c>
      <c r="L813" s="24" t="s">
        <v>61</v>
      </c>
      <c r="M813" s="24" t="s">
        <v>62</v>
      </c>
      <c r="N813" s="20" t="s">
        <v>63</v>
      </c>
      <c r="O813" s="24">
        <v>21</v>
      </c>
      <c r="P813" s="24">
        <v>3.73</v>
      </c>
      <c r="Q813" s="24">
        <v>1</v>
      </c>
      <c r="R813" s="20">
        <v>7</v>
      </c>
      <c r="S813" s="24">
        <v>6.6000000000000003E-2</v>
      </c>
      <c r="T813" s="24" t="s">
        <v>64</v>
      </c>
      <c r="U813" s="24" t="s">
        <v>65</v>
      </c>
      <c r="V813" s="24" t="s">
        <v>66</v>
      </c>
      <c r="W813" s="24" t="s">
        <v>67</v>
      </c>
      <c r="X813" s="24" t="s">
        <v>68</v>
      </c>
      <c r="Y813" s="21" t="s">
        <v>2787</v>
      </c>
      <c r="Z813" s="26" t="s">
        <v>548</v>
      </c>
      <c r="AA813" s="21"/>
      <c r="AB813" s="21"/>
      <c r="AC813" s="21"/>
      <c r="AD813" s="21"/>
      <c r="AE813" s="21"/>
      <c r="AF813" s="21">
        <v>101013</v>
      </c>
      <c r="AG813" s="21"/>
      <c r="AH813" s="21" t="s">
        <v>2794</v>
      </c>
      <c r="AI813" s="21"/>
      <c r="AJ813" s="21" t="s">
        <v>70</v>
      </c>
      <c r="AK813" s="21" t="s">
        <v>70</v>
      </c>
      <c r="AL813" s="22"/>
      <c r="AM813" s="22"/>
      <c r="AN813" s="22"/>
      <c r="AO813" s="21" t="str">
        <f>_xlfn.XLOOKUP(A:A,[1]TAGS!$A:$A,[1]TAGS!$BG:$BG)</f>
        <v>Não Montado</v>
      </c>
      <c r="AP813" s="21">
        <f t="shared" si="0"/>
        <v>0</v>
      </c>
      <c r="AQ813" s="21">
        <f t="shared" si="1"/>
        <v>8</v>
      </c>
      <c r="AR813" s="21">
        <f t="shared" si="2"/>
        <v>0</v>
      </c>
      <c r="AS813" s="21">
        <f t="shared" si="3"/>
        <v>5</v>
      </c>
      <c r="AT813" s="27">
        <f t="shared" si="4"/>
        <v>0</v>
      </c>
      <c r="AU813" s="21"/>
    </row>
    <row r="814" spans="1:47" x14ac:dyDescent="0.35">
      <c r="A814" s="25" t="s">
        <v>573</v>
      </c>
      <c r="B814" s="24" t="s">
        <v>52</v>
      </c>
      <c r="C814" s="24"/>
      <c r="D814" s="24" t="s">
        <v>53</v>
      </c>
      <c r="E814" s="19" t="s">
        <v>54</v>
      </c>
      <c r="F814" s="20" t="s">
        <v>376</v>
      </c>
      <c r="G814" s="20" t="s">
        <v>377</v>
      </c>
      <c r="H814" s="25"/>
      <c r="I814" s="20" t="s">
        <v>58</v>
      </c>
      <c r="J814" s="20" t="s">
        <v>379</v>
      </c>
      <c r="K814" s="25" t="s">
        <v>2796</v>
      </c>
      <c r="L814" s="24" t="s">
        <v>61</v>
      </c>
      <c r="M814" s="24" t="s">
        <v>62</v>
      </c>
      <c r="N814" s="20" t="s">
        <v>63</v>
      </c>
      <c r="O814" s="24">
        <v>21</v>
      </c>
      <c r="P814" s="24">
        <v>3.73</v>
      </c>
      <c r="Q814" s="24">
        <v>1</v>
      </c>
      <c r="R814" s="20">
        <v>7</v>
      </c>
      <c r="S814" s="24">
        <v>6.6000000000000003E-2</v>
      </c>
      <c r="T814" s="24" t="s">
        <v>64</v>
      </c>
      <c r="U814" s="24" t="s">
        <v>65</v>
      </c>
      <c r="V814" s="24" t="s">
        <v>66</v>
      </c>
      <c r="W814" s="24" t="s">
        <v>67</v>
      </c>
      <c r="X814" s="24" t="s">
        <v>68</v>
      </c>
      <c r="Y814" s="21" t="s">
        <v>2787</v>
      </c>
      <c r="Z814" s="26" t="s">
        <v>573</v>
      </c>
      <c r="AA814" s="21"/>
      <c r="AB814" s="21"/>
      <c r="AC814" s="21"/>
      <c r="AD814" s="21"/>
      <c r="AE814" s="21"/>
      <c r="AF814" s="21">
        <v>101013</v>
      </c>
      <c r="AG814" s="21"/>
      <c r="AH814" s="21" t="s">
        <v>2794</v>
      </c>
      <c r="AI814" s="21"/>
      <c r="AJ814" s="21" t="s">
        <v>70</v>
      </c>
      <c r="AK814" s="21" t="s">
        <v>70</v>
      </c>
      <c r="AL814" s="22"/>
      <c r="AM814" s="22"/>
      <c r="AN814" s="22"/>
      <c r="AO814" s="21" t="str">
        <f>_xlfn.XLOOKUP(A:A,[1]TAGS!$A:$A,[1]TAGS!$BG:$BG)</f>
        <v>Não Montado</v>
      </c>
      <c r="AP814" s="21">
        <f t="shared" si="0"/>
        <v>0</v>
      </c>
      <c r="AQ814" s="21">
        <f t="shared" si="1"/>
        <v>10</v>
      </c>
      <c r="AR814" s="21">
        <f t="shared" si="2"/>
        <v>0</v>
      </c>
      <c r="AS814" s="21">
        <f t="shared" si="3"/>
        <v>5</v>
      </c>
      <c r="AT814" s="27">
        <f t="shared" si="4"/>
        <v>0</v>
      </c>
      <c r="AU814" s="21"/>
    </row>
    <row r="815" spans="1:47" x14ac:dyDescent="0.35">
      <c r="A815" s="25" t="s">
        <v>532</v>
      </c>
      <c r="B815" s="24" t="s">
        <v>52</v>
      </c>
      <c r="C815" s="24"/>
      <c r="D815" s="24" t="s">
        <v>53</v>
      </c>
      <c r="E815" s="19" t="s">
        <v>54</v>
      </c>
      <c r="F815" s="20" t="s">
        <v>376</v>
      </c>
      <c r="G815" s="20" t="s">
        <v>377</v>
      </c>
      <c r="H815" s="25"/>
      <c r="I815" s="20" t="s">
        <v>58</v>
      </c>
      <c r="J815" s="20" t="s">
        <v>379</v>
      </c>
      <c r="K815" s="25" t="s">
        <v>2797</v>
      </c>
      <c r="L815" s="24" t="s">
        <v>61</v>
      </c>
      <c r="M815" s="24" t="s">
        <v>62</v>
      </c>
      <c r="N815" s="20" t="s">
        <v>63</v>
      </c>
      <c r="O815" s="24">
        <v>21</v>
      </c>
      <c r="P815" s="24">
        <v>3.73</v>
      </c>
      <c r="Q815" s="24">
        <v>1</v>
      </c>
      <c r="R815" s="20">
        <v>7</v>
      </c>
      <c r="S815" s="24">
        <v>6.6000000000000003E-2</v>
      </c>
      <c r="T815" s="24" t="s">
        <v>64</v>
      </c>
      <c r="U815" s="24" t="s">
        <v>65</v>
      </c>
      <c r="V815" s="24" t="s">
        <v>66</v>
      </c>
      <c r="W815" s="24" t="s">
        <v>67</v>
      </c>
      <c r="X815" s="24" t="s">
        <v>68</v>
      </c>
      <c r="Y815" s="21" t="s">
        <v>2787</v>
      </c>
      <c r="Z815" s="26" t="s">
        <v>532</v>
      </c>
      <c r="AA815" s="21"/>
      <c r="AB815" s="21"/>
      <c r="AC815" s="21"/>
      <c r="AD815" s="21"/>
      <c r="AE815" s="21"/>
      <c r="AF815" s="21">
        <v>101013</v>
      </c>
      <c r="AG815" s="21"/>
      <c r="AH815" s="21" t="s">
        <v>2794</v>
      </c>
      <c r="AI815" s="21"/>
      <c r="AJ815" s="21" t="s">
        <v>70</v>
      </c>
      <c r="AK815" s="21" t="s">
        <v>70</v>
      </c>
      <c r="AL815" s="22"/>
      <c r="AM815" s="22"/>
      <c r="AN815" s="22"/>
      <c r="AO815" s="21" t="str">
        <f>_xlfn.XLOOKUP(A:A,[1]TAGS!$A:$A,[1]TAGS!$BG:$BG)</f>
        <v>Não Montado</v>
      </c>
      <c r="AP815" s="21">
        <f t="shared" si="0"/>
        <v>0</v>
      </c>
      <c r="AQ815" s="21">
        <f t="shared" si="1"/>
        <v>11</v>
      </c>
      <c r="AR815" s="21">
        <f t="shared" si="2"/>
        <v>0</v>
      </c>
      <c r="AS815" s="21">
        <f t="shared" si="3"/>
        <v>9</v>
      </c>
      <c r="AT815" s="27">
        <f t="shared" si="4"/>
        <v>0</v>
      </c>
      <c r="AU815" s="21"/>
    </row>
    <row r="816" spans="1:47" x14ac:dyDescent="0.35">
      <c r="A816" s="25" t="s">
        <v>563</v>
      </c>
      <c r="B816" s="24" t="s">
        <v>52</v>
      </c>
      <c r="C816" s="24"/>
      <c r="D816" s="24" t="s">
        <v>53</v>
      </c>
      <c r="E816" s="19" t="s">
        <v>54</v>
      </c>
      <c r="F816" s="20" t="s">
        <v>376</v>
      </c>
      <c r="G816" s="20" t="s">
        <v>377</v>
      </c>
      <c r="H816" s="25"/>
      <c r="I816" s="20" t="s">
        <v>58</v>
      </c>
      <c r="J816" s="20" t="s">
        <v>379</v>
      </c>
      <c r="K816" s="25" t="s">
        <v>2798</v>
      </c>
      <c r="L816" s="24" t="s">
        <v>61</v>
      </c>
      <c r="M816" s="24" t="s">
        <v>62</v>
      </c>
      <c r="N816" s="20" t="s">
        <v>63</v>
      </c>
      <c r="O816" s="24">
        <v>21</v>
      </c>
      <c r="P816" s="24">
        <v>3.73</v>
      </c>
      <c r="Q816" s="24">
        <v>1</v>
      </c>
      <c r="R816" s="20">
        <v>7</v>
      </c>
      <c r="S816" s="24">
        <v>6.6000000000000003E-2</v>
      </c>
      <c r="T816" s="24" t="s">
        <v>64</v>
      </c>
      <c r="U816" s="24" t="s">
        <v>65</v>
      </c>
      <c r="V816" s="24" t="s">
        <v>66</v>
      </c>
      <c r="W816" s="24" t="s">
        <v>67</v>
      </c>
      <c r="X816" s="24" t="s">
        <v>68</v>
      </c>
      <c r="Y816" s="21" t="s">
        <v>2787</v>
      </c>
      <c r="Z816" s="26" t="s">
        <v>563</v>
      </c>
      <c r="AA816" s="21"/>
      <c r="AB816" s="21"/>
      <c r="AC816" s="21"/>
      <c r="AD816" s="21"/>
      <c r="AE816" s="21"/>
      <c r="AF816" s="21">
        <v>101013</v>
      </c>
      <c r="AG816" s="21"/>
      <c r="AH816" s="21" t="s">
        <v>2794</v>
      </c>
      <c r="AI816" s="21"/>
      <c r="AJ816" s="21" t="s">
        <v>70</v>
      </c>
      <c r="AK816" s="21" t="s">
        <v>70</v>
      </c>
      <c r="AL816" s="22"/>
      <c r="AM816" s="22"/>
      <c r="AN816" s="22"/>
      <c r="AO816" s="21" t="str">
        <f>_xlfn.XLOOKUP(A:A,[1]TAGS!$A:$A,[1]TAGS!$BG:$BG)</f>
        <v>Não Montado</v>
      </c>
      <c r="AP816" s="21">
        <f t="shared" si="0"/>
        <v>0</v>
      </c>
      <c r="AQ816" s="21">
        <f t="shared" si="1"/>
        <v>8</v>
      </c>
      <c r="AR816" s="21">
        <f t="shared" si="2"/>
        <v>0</v>
      </c>
      <c r="AS816" s="21">
        <f t="shared" si="3"/>
        <v>7</v>
      </c>
      <c r="AT816" s="27">
        <f t="shared" si="4"/>
        <v>0</v>
      </c>
      <c r="AU816" s="21"/>
    </row>
    <row r="817" spans="1:47" x14ac:dyDescent="0.35">
      <c r="A817" s="25" t="s">
        <v>583</v>
      </c>
      <c r="B817" s="24" t="s">
        <v>52</v>
      </c>
      <c r="C817" s="24"/>
      <c r="D817" s="24" t="s">
        <v>53</v>
      </c>
      <c r="E817" s="19" t="s">
        <v>54</v>
      </c>
      <c r="F817" s="20" t="s">
        <v>376</v>
      </c>
      <c r="G817" s="20" t="s">
        <v>377</v>
      </c>
      <c r="H817" s="25"/>
      <c r="I817" s="20" t="s">
        <v>58</v>
      </c>
      <c r="J817" s="20" t="s">
        <v>379</v>
      </c>
      <c r="K817" s="25" t="s">
        <v>2799</v>
      </c>
      <c r="L817" s="24" t="s">
        <v>61</v>
      </c>
      <c r="M817" s="24" t="s">
        <v>62</v>
      </c>
      <c r="N817" s="20" t="s">
        <v>63</v>
      </c>
      <c r="O817" s="24">
        <v>21</v>
      </c>
      <c r="P817" s="24">
        <v>3.73</v>
      </c>
      <c r="Q817" s="24">
        <v>1</v>
      </c>
      <c r="R817" s="20">
        <v>7</v>
      </c>
      <c r="S817" s="24">
        <v>6.6000000000000003E-2</v>
      </c>
      <c r="T817" s="24" t="s">
        <v>64</v>
      </c>
      <c r="U817" s="24" t="s">
        <v>65</v>
      </c>
      <c r="V817" s="24" t="s">
        <v>66</v>
      </c>
      <c r="W817" s="24" t="s">
        <v>67</v>
      </c>
      <c r="X817" s="24" t="s">
        <v>68</v>
      </c>
      <c r="Y817" s="21" t="s">
        <v>2787</v>
      </c>
      <c r="Z817" s="26" t="s">
        <v>583</v>
      </c>
      <c r="AA817" s="21"/>
      <c r="AB817" s="21"/>
      <c r="AC817" s="21"/>
      <c r="AD817" s="21"/>
      <c r="AE817" s="21"/>
      <c r="AF817" s="21">
        <v>101013</v>
      </c>
      <c r="AG817" s="21"/>
      <c r="AH817" s="21" t="s">
        <v>2800</v>
      </c>
      <c r="AI817" s="21"/>
      <c r="AJ817" s="21" t="s">
        <v>70</v>
      </c>
      <c r="AK817" s="21" t="s">
        <v>70</v>
      </c>
      <c r="AL817" s="22"/>
      <c r="AM817" s="22"/>
      <c r="AN817" s="22"/>
      <c r="AO817" s="21" t="str">
        <f>_xlfn.XLOOKUP(A:A,[1]TAGS!$A:$A,[1]TAGS!$BG:$BG)</f>
        <v>Não Montado</v>
      </c>
      <c r="AP817" s="21">
        <f t="shared" si="0"/>
        <v>0</v>
      </c>
      <c r="AQ817" s="21">
        <f t="shared" si="1"/>
        <v>8</v>
      </c>
      <c r="AR817" s="21">
        <f t="shared" si="2"/>
        <v>0</v>
      </c>
      <c r="AS817" s="21">
        <f t="shared" si="3"/>
        <v>6</v>
      </c>
      <c r="AT817" s="27">
        <f t="shared" si="4"/>
        <v>0</v>
      </c>
      <c r="AU817" s="21"/>
    </row>
    <row r="818" spans="1:47" x14ac:dyDescent="0.35">
      <c r="A818" s="25" t="s">
        <v>602</v>
      </c>
      <c r="B818" s="24" t="s">
        <v>52</v>
      </c>
      <c r="C818" s="24"/>
      <c r="D818" s="24" t="s">
        <v>53</v>
      </c>
      <c r="E818" s="19" t="s">
        <v>54</v>
      </c>
      <c r="F818" s="20" t="s">
        <v>376</v>
      </c>
      <c r="G818" s="20" t="s">
        <v>377</v>
      </c>
      <c r="H818" s="25"/>
      <c r="I818" s="20" t="s">
        <v>58</v>
      </c>
      <c r="J818" s="20" t="s">
        <v>379</v>
      </c>
      <c r="K818" s="25" t="s">
        <v>2801</v>
      </c>
      <c r="L818" s="24" t="s">
        <v>61</v>
      </c>
      <c r="M818" s="24" t="s">
        <v>62</v>
      </c>
      <c r="N818" s="20" t="s">
        <v>63</v>
      </c>
      <c r="O818" s="24">
        <v>21</v>
      </c>
      <c r="P818" s="24">
        <v>3.73</v>
      </c>
      <c r="Q818" s="24">
        <v>1</v>
      </c>
      <c r="R818" s="20">
        <v>7</v>
      </c>
      <c r="S818" s="24">
        <v>6.6000000000000003E-2</v>
      </c>
      <c r="T818" s="24" t="s">
        <v>64</v>
      </c>
      <c r="U818" s="24" t="s">
        <v>65</v>
      </c>
      <c r="V818" s="24" t="s">
        <v>66</v>
      </c>
      <c r="W818" s="24" t="s">
        <v>67</v>
      </c>
      <c r="X818" s="24" t="s">
        <v>68</v>
      </c>
      <c r="Y818" s="21" t="s">
        <v>2787</v>
      </c>
      <c r="Z818" s="26" t="s">
        <v>602</v>
      </c>
      <c r="AA818" s="21"/>
      <c r="AB818" s="21"/>
      <c r="AC818" s="21"/>
      <c r="AD818" s="21"/>
      <c r="AE818" s="21"/>
      <c r="AF818" s="21">
        <v>101013</v>
      </c>
      <c r="AG818" s="21"/>
      <c r="AH818" s="21" t="s">
        <v>2800</v>
      </c>
      <c r="AI818" s="21"/>
      <c r="AJ818" s="21" t="s">
        <v>70</v>
      </c>
      <c r="AK818" s="21" t="s">
        <v>70</v>
      </c>
      <c r="AL818" s="22"/>
      <c r="AM818" s="22"/>
      <c r="AN818" s="22"/>
      <c r="AO818" s="21" t="str">
        <f>_xlfn.XLOOKUP(A:A,[1]TAGS!$A:$A,[1]TAGS!$BG:$BG)</f>
        <v>Não Montado</v>
      </c>
      <c r="AP818" s="21">
        <f t="shared" si="0"/>
        <v>0</v>
      </c>
      <c r="AQ818" s="21">
        <f t="shared" si="1"/>
        <v>4</v>
      </c>
      <c r="AR818" s="21">
        <f t="shared" si="2"/>
        <v>0</v>
      </c>
      <c r="AS818" s="21">
        <f t="shared" si="3"/>
        <v>3</v>
      </c>
      <c r="AT818" s="27">
        <f t="shared" si="4"/>
        <v>0</v>
      </c>
      <c r="AU818" s="21"/>
    </row>
    <row r="819" spans="1:47" x14ac:dyDescent="0.35">
      <c r="A819" s="25" t="s">
        <v>2126</v>
      </c>
      <c r="B819" s="24" t="s">
        <v>52</v>
      </c>
      <c r="C819" s="24"/>
      <c r="D819" s="24" t="s">
        <v>53</v>
      </c>
      <c r="E819" s="19" t="s">
        <v>54</v>
      </c>
      <c r="F819" s="20" t="s">
        <v>376</v>
      </c>
      <c r="G819" s="20" t="s">
        <v>377</v>
      </c>
      <c r="H819" s="25"/>
      <c r="I819" s="20" t="s">
        <v>58</v>
      </c>
      <c r="J819" s="20" t="s">
        <v>379</v>
      </c>
      <c r="K819" s="25" t="s">
        <v>2802</v>
      </c>
      <c r="L819" s="24" t="s">
        <v>61</v>
      </c>
      <c r="M819" s="24" t="s">
        <v>62</v>
      </c>
      <c r="N819" s="20" t="s">
        <v>63</v>
      </c>
      <c r="O819" s="24">
        <v>21</v>
      </c>
      <c r="P819" s="24">
        <v>3.73</v>
      </c>
      <c r="Q819" s="24">
        <v>1</v>
      </c>
      <c r="R819" s="20">
        <v>7</v>
      </c>
      <c r="S819" s="24">
        <v>6.6000000000000003E-2</v>
      </c>
      <c r="T819" s="24" t="s">
        <v>64</v>
      </c>
      <c r="U819" s="24" t="s">
        <v>65</v>
      </c>
      <c r="V819" s="24" t="s">
        <v>66</v>
      </c>
      <c r="W819" s="24" t="s">
        <v>67</v>
      </c>
      <c r="X819" s="24" t="s">
        <v>68</v>
      </c>
      <c r="Y819" s="21" t="s">
        <v>2787</v>
      </c>
      <c r="Z819" s="26" t="s">
        <v>2126</v>
      </c>
      <c r="AA819" s="21"/>
      <c r="AB819" s="21"/>
      <c r="AC819" s="21"/>
      <c r="AD819" s="21"/>
      <c r="AE819" s="21"/>
      <c r="AF819" s="21">
        <v>101013</v>
      </c>
      <c r="AG819" s="21"/>
      <c r="AH819" s="21" t="s">
        <v>2800</v>
      </c>
      <c r="AI819" s="21"/>
      <c r="AJ819" s="21" t="s">
        <v>70</v>
      </c>
      <c r="AK819" s="21" t="s">
        <v>70</v>
      </c>
      <c r="AL819" s="22"/>
      <c r="AM819" s="22"/>
      <c r="AN819" s="22"/>
      <c r="AO819" s="21" t="str">
        <f>_xlfn.XLOOKUP(A:A,[1]TAGS!$A:$A,[1]TAGS!$BG:$BG)</f>
        <v>Não Montado</v>
      </c>
      <c r="AP819" s="21">
        <f t="shared" si="0"/>
        <v>0</v>
      </c>
      <c r="AQ819" s="21">
        <f t="shared" si="1"/>
        <v>7</v>
      </c>
      <c r="AR819" s="21">
        <f t="shared" si="2"/>
        <v>0</v>
      </c>
      <c r="AS819" s="21">
        <f t="shared" si="3"/>
        <v>7</v>
      </c>
      <c r="AT819" s="27">
        <f t="shared" si="4"/>
        <v>0</v>
      </c>
      <c r="AU819" s="21"/>
    </row>
    <row r="820" spans="1:47" x14ac:dyDescent="0.35">
      <c r="A820" s="25" t="s">
        <v>897</v>
      </c>
      <c r="B820" s="24" t="s">
        <v>52</v>
      </c>
      <c r="C820" s="24"/>
      <c r="D820" s="24" t="s">
        <v>53</v>
      </c>
      <c r="E820" s="19" t="s">
        <v>54</v>
      </c>
      <c r="F820" s="20" t="s">
        <v>376</v>
      </c>
      <c r="G820" s="20" t="s">
        <v>377</v>
      </c>
      <c r="H820" s="25"/>
      <c r="I820" s="20" t="s">
        <v>58</v>
      </c>
      <c r="J820" s="20" t="s">
        <v>379</v>
      </c>
      <c r="K820" s="25" t="s">
        <v>2803</v>
      </c>
      <c r="L820" s="24" t="s">
        <v>61</v>
      </c>
      <c r="M820" s="24" t="s">
        <v>62</v>
      </c>
      <c r="N820" s="20" t="s">
        <v>63</v>
      </c>
      <c r="O820" s="24">
        <v>21</v>
      </c>
      <c r="P820" s="24">
        <v>3.73</v>
      </c>
      <c r="Q820" s="24">
        <v>1</v>
      </c>
      <c r="R820" s="20">
        <v>7</v>
      </c>
      <c r="S820" s="24">
        <v>6.6000000000000003E-2</v>
      </c>
      <c r="T820" s="24" t="s">
        <v>64</v>
      </c>
      <c r="U820" s="24" t="s">
        <v>65</v>
      </c>
      <c r="V820" s="24" t="s">
        <v>66</v>
      </c>
      <c r="W820" s="24" t="s">
        <v>67</v>
      </c>
      <c r="X820" s="24" t="s">
        <v>68</v>
      </c>
      <c r="Y820" s="21" t="s">
        <v>2787</v>
      </c>
      <c r="Z820" s="26" t="s">
        <v>897</v>
      </c>
      <c r="AA820" s="21"/>
      <c r="AB820" s="21"/>
      <c r="AC820" s="21"/>
      <c r="AD820" s="21"/>
      <c r="AE820" s="21"/>
      <c r="AF820" s="21">
        <v>101013</v>
      </c>
      <c r="AG820" s="21"/>
      <c r="AH820" s="21" t="s">
        <v>2794</v>
      </c>
      <c r="AI820" s="21"/>
      <c r="AJ820" s="21" t="s">
        <v>70</v>
      </c>
      <c r="AK820" s="21" t="s">
        <v>70</v>
      </c>
      <c r="AL820" s="22"/>
      <c r="AM820" s="22"/>
      <c r="AN820" s="22"/>
      <c r="AO820" s="21" t="str">
        <f>_xlfn.XLOOKUP(A:A,[1]TAGS!$A:$A,[1]TAGS!$BG:$BG)</f>
        <v>Não Montado</v>
      </c>
      <c r="AP820" s="21">
        <f t="shared" si="0"/>
        <v>0</v>
      </c>
      <c r="AQ820" s="21">
        <f t="shared" si="1"/>
        <v>7</v>
      </c>
      <c r="AR820" s="21">
        <f t="shared" si="2"/>
        <v>0</v>
      </c>
      <c r="AS820" s="21">
        <f t="shared" si="3"/>
        <v>6</v>
      </c>
      <c r="AT820" s="27">
        <f t="shared" si="4"/>
        <v>0</v>
      </c>
      <c r="AU820" s="21"/>
    </row>
    <row r="821" spans="1:47" x14ac:dyDescent="0.35">
      <c r="A821" s="25" t="s">
        <v>506</v>
      </c>
      <c r="B821" s="24" t="s">
        <v>52</v>
      </c>
      <c r="C821" s="24"/>
      <c r="D821" s="24" t="s">
        <v>53</v>
      </c>
      <c r="E821" s="19" t="s">
        <v>54</v>
      </c>
      <c r="F821" s="20" t="s">
        <v>376</v>
      </c>
      <c r="G821" s="20" t="s">
        <v>377</v>
      </c>
      <c r="H821" s="25"/>
      <c r="I821" s="20" t="s">
        <v>58</v>
      </c>
      <c r="J821" s="20" t="s">
        <v>379</v>
      </c>
      <c r="K821" s="25" t="s">
        <v>2804</v>
      </c>
      <c r="L821" s="24" t="s">
        <v>61</v>
      </c>
      <c r="M821" s="24" t="s">
        <v>62</v>
      </c>
      <c r="N821" s="20" t="s">
        <v>63</v>
      </c>
      <c r="O821" s="24">
        <v>21</v>
      </c>
      <c r="P821" s="24">
        <v>3.73</v>
      </c>
      <c r="Q821" s="24">
        <v>1</v>
      </c>
      <c r="R821" s="20">
        <v>7</v>
      </c>
      <c r="S821" s="24">
        <v>6.6000000000000003E-2</v>
      </c>
      <c r="T821" s="24" t="s">
        <v>64</v>
      </c>
      <c r="U821" s="24" t="s">
        <v>65</v>
      </c>
      <c r="V821" s="24" t="s">
        <v>66</v>
      </c>
      <c r="W821" s="24" t="s">
        <v>67</v>
      </c>
      <c r="X821" s="24" t="s">
        <v>68</v>
      </c>
      <c r="Y821" s="21" t="s">
        <v>2787</v>
      </c>
      <c r="Z821" s="26" t="s">
        <v>506</v>
      </c>
      <c r="AA821" s="21"/>
      <c r="AB821" s="21"/>
      <c r="AC821" s="21"/>
      <c r="AD821" s="21"/>
      <c r="AE821" s="21"/>
      <c r="AF821" s="21">
        <v>101013</v>
      </c>
      <c r="AG821" s="21"/>
      <c r="AH821" s="21" t="s">
        <v>2794</v>
      </c>
      <c r="AI821" s="21"/>
      <c r="AJ821" s="21" t="s">
        <v>70</v>
      </c>
      <c r="AK821" s="21" t="s">
        <v>70</v>
      </c>
      <c r="AL821" s="22"/>
      <c r="AM821" s="22"/>
      <c r="AN821" s="22"/>
      <c r="AO821" s="21" t="str">
        <f>_xlfn.XLOOKUP(A:A,[1]TAGS!$A:$A,[1]TAGS!$BG:$BG)</f>
        <v>Não Montado</v>
      </c>
      <c r="AP821" s="21">
        <f t="shared" si="0"/>
        <v>0</v>
      </c>
      <c r="AQ821" s="21">
        <f t="shared" si="1"/>
        <v>6</v>
      </c>
      <c r="AR821" s="21">
        <f t="shared" si="2"/>
        <v>0</v>
      </c>
      <c r="AS821" s="21">
        <f t="shared" si="3"/>
        <v>6</v>
      </c>
      <c r="AT821" s="27">
        <f t="shared" si="4"/>
        <v>0</v>
      </c>
      <c r="AU821" s="21"/>
    </row>
    <row r="822" spans="1:47" x14ac:dyDescent="0.35">
      <c r="A822" s="25" t="s">
        <v>498</v>
      </c>
      <c r="B822" s="24" t="s">
        <v>52</v>
      </c>
      <c r="C822" s="24"/>
      <c r="D822" s="24" t="s">
        <v>53</v>
      </c>
      <c r="E822" s="19" t="s">
        <v>54</v>
      </c>
      <c r="F822" s="20" t="s">
        <v>376</v>
      </c>
      <c r="G822" s="20" t="s">
        <v>377</v>
      </c>
      <c r="H822" s="25"/>
      <c r="I822" s="20" t="s">
        <v>58</v>
      </c>
      <c r="J822" s="20" t="s">
        <v>379</v>
      </c>
      <c r="K822" s="25" t="s">
        <v>2805</v>
      </c>
      <c r="L822" s="24" t="s">
        <v>61</v>
      </c>
      <c r="M822" s="24" t="s">
        <v>62</v>
      </c>
      <c r="N822" s="20" t="s">
        <v>63</v>
      </c>
      <c r="O822" s="24">
        <v>21</v>
      </c>
      <c r="P822" s="24">
        <v>3.73</v>
      </c>
      <c r="Q822" s="24">
        <v>1</v>
      </c>
      <c r="R822" s="20">
        <v>7</v>
      </c>
      <c r="S822" s="24">
        <v>6.6000000000000003E-2</v>
      </c>
      <c r="T822" s="24" t="s">
        <v>64</v>
      </c>
      <c r="U822" s="24" t="s">
        <v>65</v>
      </c>
      <c r="V822" s="24" t="s">
        <v>66</v>
      </c>
      <c r="W822" s="24" t="s">
        <v>67</v>
      </c>
      <c r="X822" s="24" t="s">
        <v>68</v>
      </c>
      <c r="Y822" s="21" t="s">
        <v>2787</v>
      </c>
      <c r="Z822" s="26" t="s">
        <v>498</v>
      </c>
      <c r="AA822" s="21"/>
      <c r="AB822" s="21"/>
      <c r="AC822" s="21"/>
      <c r="AD822" s="21"/>
      <c r="AE822" s="21"/>
      <c r="AF822" s="21">
        <v>101013</v>
      </c>
      <c r="AG822" s="21"/>
      <c r="AH822" s="21" t="s">
        <v>2800</v>
      </c>
      <c r="AI822" s="21"/>
      <c r="AJ822" s="21" t="s">
        <v>70</v>
      </c>
      <c r="AK822" s="21" t="s">
        <v>70</v>
      </c>
      <c r="AL822" s="22"/>
      <c r="AM822" s="22"/>
      <c r="AN822" s="22"/>
      <c r="AO822" s="21" t="str">
        <f>_xlfn.XLOOKUP(A:A,[1]TAGS!$A:$A,[1]TAGS!$BG:$BG)</f>
        <v>Não Montado</v>
      </c>
      <c r="AP822" s="21">
        <f t="shared" si="0"/>
        <v>0</v>
      </c>
      <c r="AQ822" s="21">
        <f t="shared" si="1"/>
        <v>6</v>
      </c>
      <c r="AR822" s="21">
        <f t="shared" si="2"/>
        <v>0</v>
      </c>
      <c r="AS822" s="21">
        <f t="shared" si="3"/>
        <v>6</v>
      </c>
      <c r="AT822" s="27">
        <f t="shared" si="4"/>
        <v>0</v>
      </c>
      <c r="AU822" s="21"/>
    </row>
    <row r="823" spans="1:47" x14ac:dyDescent="0.35">
      <c r="A823" s="25" t="s">
        <v>502</v>
      </c>
      <c r="B823" s="24" t="s">
        <v>52</v>
      </c>
      <c r="C823" s="24"/>
      <c r="D823" s="24" t="s">
        <v>53</v>
      </c>
      <c r="E823" s="19" t="s">
        <v>54</v>
      </c>
      <c r="F823" s="20" t="s">
        <v>376</v>
      </c>
      <c r="G823" s="20" t="s">
        <v>377</v>
      </c>
      <c r="H823" s="25"/>
      <c r="I823" s="20" t="s">
        <v>58</v>
      </c>
      <c r="J823" s="20" t="s">
        <v>379</v>
      </c>
      <c r="K823" s="25" t="s">
        <v>2806</v>
      </c>
      <c r="L823" s="24" t="s">
        <v>61</v>
      </c>
      <c r="M823" s="24" t="s">
        <v>62</v>
      </c>
      <c r="N823" s="20" t="s">
        <v>63</v>
      </c>
      <c r="O823" s="24">
        <v>21</v>
      </c>
      <c r="P823" s="24">
        <v>3.73</v>
      </c>
      <c r="Q823" s="24">
        <v>1</v>
      </c>
      <c r="R823" s="20">
        <v>7</v>
      </c>
      <c r="S823" s="24">
        <v>6.6000000000000003E-2</v>
      </c>
      <c r="T823" s="24" t="s">
        <v>64</v>
      </c>
      <c r="U823" s="24" t="s">
        <v>65</v>
      </c>
      <c r="V823" s="24" t="s">
        <v>66</v>
      </c>
      <c r="W823" s="24" t="s">
        <v>67</v>
      </c>
      <c r="X823" s="24" t="s">
        <v>68</v>
      </c>
      <c r="Y823" s="21" t="s">
        <v>2787</v>
      </c>
      <c r="Z823" s="26" t="s">
        <v>502</v>
      </c>
      <c r="AA823" s="21"/>
      <c r="AB823" s="21"/>
      <c r="AC823" s="21"/>
      <c r="AD823" s="21"/>
      <c r="AE823" s="21"/>
      <c r="AF823" s="21">
        <v>101013</v>
      </c>
      <c r="AG823" s="21"/>
      <c r="AH823" s="21" t="s">
        <v>2807</v>
      </c>
      <c r="AI823" s="21"/>
      <c r="AJ823" s="21" t="s">
        <v>70</v>
      </c>
      <c r="AK823" s="21" t="s">
        <v>70</v>
      </c>
      <c r="AL823" s="22"/>
      <c r="AM823" s="22"/>
      <c r="AN823" s="22"/>
      <c r="AO823" s="21" t="str">
        <f>_xlfn.XLOOKUP(A:A,[1]TAGS!$A:$A,[1]TAGS!$BG:$BG)</f>
        <v>Não Montado</v>
      </c>
      <c r="AP823" s="21">
        <f t="shared" si="0"/>
        <v>0</v>
      </c>
      <c r="AQ823" s="21">
        <f t="shared" si="1"/>
        <v>6</v>
      </c>
      <c r="AR823" s="21">
        <f t="shared" si="2"/>
        <v>0</v>
      </c>
      <c r="AS823" s="21">
        <f t="shared" si="3"/>
        <v>4</v>
      </c>
      <c r="AT823" s="27">
        <f t="shared" si="4"/>
        <v>0</v>
      </c>
      <c r="AU823" s="21"/>
    </row>
    <row r="824" spans="1:47" x14ac:dyDescent="0.35">
      <c r="A824" s="25" t="s">
        <v>559</v>
      </c>
      <c r="B824" s="24" t="s">
        <v>52</v>
      </c>
      <c r="C824" s="24"/>
      <c r="D824" s="24" t="s">
        <v>53</v>
      </c>
      <c r="E824" s="19" t="s">
        <v>54</v>
      </c>
      <c r="F824" s="20" t="s">
        <v>376</v>
      </c>
      <c r="G824" s="20" t="s">
        <v>377</v>
      </c>
      <c r="H824" s="25"/>
      <c r="I824" s="20" t="s">
        <v>58</v>
      </c>
      <c r="J824" s="20" t="s">
        <v>379</v>
      </c>
      <c r="K824" s="25" t="s">
        <v>2808</v>
      </c>
      <c r="L824" s="24" t="s">
        <v>61</v>
      </c>
      <c r="M824" s="24" t="s">
        <v>62</v>
      </c>
      <c r="N824" s="20" t="s">
        <v>63</v>
      </c>
      <c r="O824" s="24">
        <v>21</v>
      </c>
      <c r="P824" s="24">
        <v>3.73</v>
      </c>
      <c r="Q824" s="24">
        <v>1</v>
      </c>
      <c r="R824" s="20">
        <v>7</v>
      </c>
      <c r="S824" s="24">
        <v>6.6000000000000003E-2</v>
      </c>
      <c r="T824" s="24" t="s">
        <v>64</v>
      </c>
      <c r="U824" s="24" t="s">
        <v>65</v>
      </c>
      <c r="V824" s="24" t="s">
        <v>66</v>
      </c>
      <c r="W824" s="24" t="s">
        <v>67</v>
      </c>
      <c r="X824" s="24" t="s">
        <v>68</v>
      </c>
      <c r="Y824" s="21" t="s">
        <v>2787</v>
      </c>
      <c r="Z824" s="26" t="s">
        <v>559</v>
      </c>
      <c r="AA824" s="21"/>
      <c r="AB824" s="21"/>
      <c r="AC824" s="21"/>
      <c r="AD824" s="21"/>
      <c r="AE824" s="21"/>
      <c r="AF824" s="21">
        <v>101013</v>
      </c>
      <c r="AG824" s="21"/>
      <c r="AH824" s="21" t="s">
        <v>2807</v>
      </c>
      <c r="AI824" s="21"/>
      <c r="AJ824" s="21" t="s">
        <v>70</v>
      </c>
      <c r="AK824" s="21" t="s">
        <v>70</v>
      </c>
      <c r="AL824" s="22"/>
      <c r="AM824" s="22"/>
      <c r="AN824" s="22"/>
      <c r="AO824" s="21" t="str">
        <f>_xlfn.XLOOKUP(A:A,[1]TAGS!$A:$A,[1]TAGS!$BG:$BG)</f>
        <v>Não Montado</v>
      </c>
      <c r="AP824" s="21">
        <f t="shared" si="0"/>
        <v>0</v>
      </c>
      <c r="AQ824" s="21">
        <f t="shared" si="1"/>
        <v>6</v>
      </c>
      <c r="AR824" s="21">
        <f t="shared" si="2"/>
        <v>0</v>
      </c>
      <c r="AS824" s="21">
        <f t="shared" si="3"/>
        <v>6</v>
      </c>
      <c r="AT824" s="27">
        <f t="shared" si="4"/>
        <v>0</v>
      </c>
      <c r="AU824" s="21"/>
    </row>
    <row r="825" spans="1:47" x14ac:dyDescent="0.35">
      <c r="A825" s="25" t="s">
        <v>555</v>
      </c>
      <c r="B825" s="24" t="s">
        <v>52</v>
      </c>
      <c r="C825" s="24"/>
      <c r="D825" s="24" t="s">
        <v>53</v>
      </c>
      <c r="E825" s="19" t="s">
        <v>54</v>
      </c>
      <c r="F825" s="20" t="s">
        <v>376</v>
      </c>
      <c r="G825" s="20" t="s">
        <v>377</v>
      </c>
      <c r="H825" s="25"/>
      <c r="I825" s="20" t="s">
        <v>58</v>
      </c>
      <c r="J825" s="20" t="s">
        <v>379</v>
      </c>
      <c r="K825" s="25" t="s">
        <v>2809</v>
      </c>
      <c r="L825" s="24" t="s">
        <v>61</v>
      </c>
      <c r="M825" s="24" t="s">
        <v>62</v>
      </c>
      <c r="N825" s="20" t="s">
        <v>63</v>
      </c>
      <c r="O825" s="24">
        <v>21</v>
      </c>
      <c r="P825" s="24">
        <v>3.73</v>
      </c>
      <c r="Q825" s="24">
        <v>1</v>
      </c>
      <c r="R825" s="20">
        <v>7</v>
      </c>
      <c r="S825" s="24">
        <v>6.6000000000000003E-2</v>
      </c>
      <c r="T825" s="24" t="s">
        <v>64</v>
      </c>
      <c r="U825" s="24" t="s">
        <v>65</v>
      </c>
      <c r="V825" s="24" t="s">
        <v>66</v>
      </c>
      <c r="W825" s="24" t="s">
        <v>67</v>
      </c>
      <c r="X825" s="24" t="s">
        <v>68</v>
      </c>
      <c r="Y825" s="21" t="s">
        <v>2787</v>
      </c>
      <c r="Z825" s="26" t="s">
        <v>555</v>
      </c>
      <c r="AA825" s="21"/>
      <c r="AB825" s="21"/>
      <c r="AC825" s="21"/>
      <c r="AD825" s="21"/>
      <c r="AE825" s="21"/>
      <c r="AF825" s="21">
        <v>101013</v>
      </c>
      <c r="AG825" s="21"/>
      <c r="AH825" s="21" t="s">
        <v>2807</v>
      </c>
      <c r="AI825" s="21"/>
      <c r="AJ825" s="21" t="s">
        <v>70</v>
      </c>
      <c r="AK825" s="21" t="s">
        <v>70</v>
      </c>
      <c r="AL825" s="22"/>
      <c r="AM825" s="22"/>
      <c r="AN825" s="22"/>
      <c r="AO825" s="21" t="str">
        <f>_xlfn.XLOOKUP(A:A,[1]TAGS!$A:$A,[1]TAGS!$BG:$BG)</f>
        <v>Não Montado</v>
      </c>
      <c r="AP825" s="21">
        <f t="shared" si="0"/>
        <v>0</v>
      </c>
      <c r="AQ825" s="21">
        <f t="shared" si="1"/>
        <v>3</v>
      </c>
      <c r="AR825" s="21">
        <f t="shared" si="2"/>
        <v>0</v>
      </c>
      <c r="AS825" s="21">
        <f t="shared" si="3"/>
        <v>3</v>
      </c>
      <c r="AT825" s="27">
        <f t="shared" si="4"/>
        <v>0</v>
      </c>
      <c r="AU825" s="21"/>
    </row>
    <row r="826" spans="1:47" x14ac:dyDescent="0.35">
      <c r="A826" s="25" t="s">
        <v>2785</v>
      </c>
      <c r="B826" s="24" t="s">
        <v>52</v>
      </c>
      <c r="C826" s="24"/>
      <c r="D826" s="24" t="s">
        <v>53</v>
      </c>
      <c r="E826" s="19" t="s">
        <v>54</v>
      </c>
      <c r="F826" s="20" t="s">
        <v>376</v>
      </c>
      <c r="G826" s="20" t="s">
        <v>377</v>
      </c>
      <c r="H826" s="25"/>
      <c r="I826" s="20" t="s">
        <v>58</v>
      </c>
      <c r="J826" s="20" t="s">
        <v>379</v>
      </c>
      <c r="K826" s="25" t="s">
        <v>2810</v>
      </c>
      <c r="L826" s="24" t="s">
        <v>61</v>
      </c>
      <c r="M826" s="24" t="s">
        <v>62</v>
      </c>
      <c r="N826" s="20" t="s">
        <v>63</v>
      </c>
      <c r="O826" s="24">
        <v>21</v>
      </c>
      <c r="P826" s="24">
        <v>3.73</v>
      </c>
      <c r="Q826" s="24">
        <v>1</v>
      </c>
      <c r="R826" s="20">
        <v>7</v>
      </c>
      <c r="S826" s="24">
        <v>6.6000000000000003E-2</v>
      </c>
      <c r="T826" s="24" t="s">
        <v>64</v>
      </c>
      <c r="U826" s="24" t="s">
        <v>65</v>
      </c>
      <c r="V826" s="24" t="s">
        <v>66</v>
      </c>
      <c r="W826" s="24" t="s">
        <v>67</v>
      </c>
      <c r="X826" s="24" t="s">
        <v>68</v>
      </c>
      <c r="Y826" s="21" t="s">
        <v>2787</v>
      </c>
      <c r="Z826" s="26" t="s">
        <v>2785</v>
      </c>
      <c r="AA826" s="21"/>
      <c r="AB826" s="21"/>
      <c r="AC826" s="21"/>
      <c r="AD826" s="21"/>
      <c r="AE826" s="21"/>
      <c r="AF826" s="21">
        <v>101013</v>
      </c>
      <c r="AG826" s="21"/>
      <c r="AH826" s="21" t="s">
        <v>2811</v>
      </c>
      <c r="AI826" s="21"/>
      <c r="AJ826" s="21" t="s">
        <v>70</v>
      </c>
      <c r="AK826" s="21" t="s">
        <v>70</v>
      </c>
      <c r="AL826" s="22"/>
      <c r="AM826" s="22"/>
      <c r="AN826" s="22"/>
      <c r="AO826" s="21" t="str">
        <f>_xlfn.XLOOKUP(A:A,[1]TAGS!$A:$A,[1]TAGS!$BG:$BG)</f>
        <v>Não Montado</v>
      </c>
      <c r="AP826" s="21">
        <f t="shared" si="0"/>
        <v>0</v>
      </c>
      <c r="AQ826" s="21">
        <f t="shared" si="1"/>
        <v>3</v>
      </c>
      <c r="AR826" s="21">
        <f t="shared" si="2"/>
        <v>0</v>
      </c>
      <c r="AS826" s="21">
        <f t="shared" si="3"/>
        <v>1</v>
      </c>
      <c r="AT826" s="27">
        <f t="shared" si="4"/>
        <v>0</v>
      </c>
      <c r="AU826" s="21"/>
    </row>
    <row r="827" spans="1:47" x14ac:dyDescent="0.35">
      <c r="A827" s="25" t="s">
        <v>2812</v>
      </c>
      <c r="B827" s="24" t="s">
        <v>52</v>
      </c>
      <c r="C827" s="24"/>
      <c r="D827" s="24" t="s">
        <v>53</v>
      </c>
      <c r="E827" s="19" t="s">
        <v>54</v>
      </c>
      <c r="F827" s="20"/>
      <c r="G827" s="20"/>
      <c r="H827" s="25"/>
      <c r="I827" s="20"/>
      <c r="J827" s="20"/>
      <c r="K827" s="25" t="s">
        <v>2813</v>
      </c>
      <c r="L827" s="24" t="s">
        <v>61</v>
      </c>
      <c r="M827" s="24" t="s">
        <v>62</v>
      </c>
      <c r="N827" s="20" t="s">
        <v>63</v>
      </c>
      <c r="O827" s="24">
        <v>21</v>
      </c>
      <c r="P827" s="24">
        <v>3.73</v>
      </c>
      <c r="Q827" s="24">
        <v>1</v>
      </c>
      <c r="R827" s="20">
        <v>7</v>
      </c>
      <c r="S827" s="24">
        <v>6.6000000000000003E-2</v>
      </c>
      <c r="T827" s="24" t="s">
        <v>64</v>
      </c>
      <c r="U827" s="24" t="s">
        <v>65</v>
      </c>
      <c r="V827" s="24" t="s">
        <v>66</v>
      </c>
      <c r="W827" s="24" t="s">
        <v>67</v>
      </c>
      <c r="X827" s="24" t="s">
        <v>68</v>
      </c>
      <c r="Y827" s="21" t="s">
        <v>2787</v>
      </c>
      <c r="Z827" s="26" t="s">
        <v>2812</v>
      </c>
      <c r="AA827" s="21"/>
      <c r="AB827" s="21"/>
      <c r="AC827" s="21"/>
      <c r="AD827" s="21"/>
      <c r="AE827" s="21"/>
      <c r="AF827" s="21">
        <v>112938</v>
      </c>
      <c r="AG827" s="21"/>
      <c r="AH827" s="21" t="s">
        <v>2814</v>
      </c>
      <c r="AI827" s="21"/>
      <c r="AJ827" s="21" t="s">
        <v>70</v>
      </c>
      <c r="AK827" s="21" t="s">
        <v>70</v>
      </c>
      <c r="AL827" s="22"/>
      <c r="AM827" s="22"/>
      <c r="AN827" s="22"/>
      <c r="AO827" s="21" t="e">
        <f>_xlfn.XLOOKUP(A:A,[1]TAGS!$A:$A,[1]TAGS!$BG:$BG)</f>
        <v>#N/A</v>
      </c>
      <c r="AP827" s="21">
        <f t="shared" si="0"/>
        <v>0</v>
      </c>
      <c r="AQ827" s="21">
        <f t="shared" si="1"/>
        <v>3</v>
      </c>
      <c r="AR827" s="21">
        <f t="shared" si="2"/>
        <v>0</v>
      </c>
      <c r="AS827" s="21">
        <f t="shared" si="3"/>
        <v>0</v>
      </c>
      <c r="AT827" s="27">
        <f t="shared" si="4"/>
        <v>0</v>
      </c>
      <c r="AU827" s="21" t="s">
        <v>890</v>
      </c>
    </row>
    <row r="828" spans="1:47" x14ac:dyDescent="0.35">
      <c r="A828" t="s">
        <v>684</v>
      </c>
      <c r="B828" t="s">
        <v>52</v>
      </c>
      <c r="F828" t="s">
        <v>397</v>
      </c>
      <c r="G828" t="s">
        <v>398</v>
      </c>
      <c r="I828" t="s">
        <v>58</v>
      </c>
      <c r="J828" t="s">
        <v>400</v>
      </c>
      <c r="Y828" s="21" t="s">
        <v>2815</v>
      </c>
      <c r="Z828" s="26" t="s">
        <v>684</v>
      </c>
      <c r="AA828" s="21"/>
      <c r="AB828" s="21"/>
      <c r="AC828" s="21"/>
      <c r="AD828" s="21"/>
      <c r="AE828" s="21"/>
      <c r="AF828" s="21"/>
      <c r="AG828" s="21"/>
      <c r="AH828" s="21" t="s">
        <v>2816</v>
      </c>
      <c r="AI828" s="21">
        <v>1</v>
      </c>
      <c r="AJ828" s="21" t="s">
        <v>70</v>
      </c>
      <c r="AK828" s="21" t="s">
        <v>70</v>
      </c>
      <c r="AL828" s="22"/>
      <c r="AM828" s="22"/>
      <c r="AN828" s="22"/>
      <c r="AO828" s="21" t="e">
        <f>_xlfn.XLOOKUP(A:A,[1]TAGS!$A:$A,[1]TAGS!$BG:$BG)</f>
        <v>#N/A</v>
      </c>
      <c r="AP828" s="21">
        <f t="shared" si="0"/>
        <v>0</v>
      </c>
      <c r="AQ828" s="21">
        <f t="shared" si="1"/>
        <v>9</v>
      </c>
      <c r="AR828" s="21">
        <f t="shared" si="2"/>
        <v>0</v>
      </c>
      <c r="AS828" s="21">
        <f t="shared" si="3"/>
        <v>9</v>
      </c>
      <c r="AT828" s="27">
        <f t="shared" si="4"/>
        <v>0</v>
      </c>
      <c r="AU828" s="21" t="s">
        <v>2817</v>
      </c>
    </row>
    <row r="829" spans="1:47" x14ac:dyDescent="0.35">
      <c r="A829" t="s">
        <v>2148</v>
      </c>
      <c r="B829" t="s">
        <v>52</v>
      </c>
      <c r="F829" t="s">
        <v>370</v>
      </c>
      <c r="G829" t="s">
        <v>371</v>
      </c>
      <c r="I829" t="s">
        <v>58</v>
      </c>
      <c r="J829" t="s">
        <v>373</v>
      </c>
      <c r="Y829" s="21" t="s">
        <v>2815</v>
      </c>
      <c r="Z829" s="26" t="s">
        <v>2148</v>
      </c>
      <c r="AA829" s="21"/>
      <c r="AB829" s="21"/>
      <c r="AC829" s="21"/>
      <c r="AD829" s="21"/>
      <c r="AE829" s="21"/>
      <c r="AF829" s="21"/>
      <c r="AG829" s="21"/>
      <c r="AH829" s="21" t="s">
        <v>2816</v>
      </c>
      <c r="AI829" s="21">
        <v>1</v>
      </c>
      <c r="AJ829" s="21" t="s">
        <v>70</v>
      </c>
      <c r="AK829" s="21" t="s">
        <v>70</v>
      </c>
      <c r="AL829" s="22"/>
      <c r="AM829" s="22"/>
      <c r="AN829" s="22"/>
      <c r="AO829" s="21" t="e">
        <f>_xlfn.XLOOKUP(A:A,[1]TAGS!$A:$A,[1]TAGS!$BG:$BG)</f>
        <v>#N/A</v>
      </c>
      <c r="AP829" s="21">
        <f t="shared" si="0"/>
        <v>0</v>
      </c>
      <c r="AQ829" s="21">
        <f t="shared" si="1"/>
        <v>6</v>
      </c>
      <c r="AR829" s="21">
        <f t="shared" si="2"/>
        <v>0</v>
      </c>
      <c r="AS829" s="21">
        <f t="shared" si="3"/>
        <v>5</v>
      </c>
      <c r="AT829" s="27">
        <f t="shared" si="4"/>
        <v>0</v>
      </c>
      <c r="AU829" s="21" t="s">
        <v>2817</v>
      </c>
    </row>
    <row r="830" spans="1:47" x14ac:dyDescent="0.35">
      <c r="A830" t="s">
        <v>2333</v>
      </c>
      <c r="B830" t="s">
        <v>52</v>
      </c>
      <c r="F830" t="s">
        <v>370</v>
      </c>
      <c r="G830" t="s">
        <v>371</v>
      </c>
      <c r="I830" t="s">
        <v>58</v>
      </c>
      <c r="J830" t="s">
        <v>373</v>
      </c>
      <c r="Y830" s="21" t="s">
        <v>2815</v>
      </c>
      <c r="Z830" s="26" t="s">
        <v>2333</v>
      </c>
      <c r="AA830" s="21"/>
      <c r="AB830" s="21"/>
      <c r="AC830" s="21"/>
      <c r="AD830" s="21"/>
      <c r="AE830" s="21"/>
      <c r="AF830" s="21"/>
      <c r="AG830" s="21"/>
      <c r="AH830" s="21" t="s">
        <v>2816</v>
      </c>
      <c r="AI830" s="21">
        <v>1</v>
      </c>
      <c r="AJ830" s="21" t="s">
        <v>70</v>
      </c>
      <c r="AK830" s="21" t="s">
        <v>70</v>
      </c>
      <c r="AL830" s="22"/>
      <c r="AM830" s="22"/>
      <c r="AN830" s="22"/>
      <c r="AO830" s="21" t="e">
        <f>_xlfn.XLOOKUP(A:A,[1]TAGS!$A:$A,[1]TAGS!$BG:$BG)</f>
        <v>#N/A</v>
      </c>
      <c r="AP830" s="21">
        <f t="shared" si="0"/>
        <v>0</v>
      </c>
      <c r="AQ830" s="21">
        <f t="shared" si="1"/>
        <v>6</v>
      </c>
      <c r="AR830" s="21">
        <f t="shared" si="2"/>
        <v>0</v>
      </c>
      <c r="AS830" s="21">
        <f t="shared" si="3"/>
        <v>6</v>
      </c>
      <c r="AT830" s="27">
        <f t="shared" si="4"/>
        <v>0</v>
      </c>
      <c r="AU830" s="21" t="s">
        <v>2817</v>
      </c>
    </row>
    <row r="831" spans="1:47" x14ac:dyDescent="0.35">
      <c r="A831" t="s">
        <v>2343</v>
      </c>
      <c r="B831" t="s">
        <v>52</v>
      </c>
      <c r="F831" t="s">
        <v>370</v>
      </c>
      <c r="G831" t="s">
        <v>371</v>
      </c>
      <c r="I831" t="s">
        <v>58</v>
      </c>
      <c r="J831" t="s">
        <v>373</v>
      </c>
      <c r="Y831" s="21" t="s">
        <v>2815</v>
      </c>
      <c r="Z831" s="26" t="s">
        <v>2343</v>
      </c>
      <c r="AA831" s="21"/>
      <c r="AB831" s="21"/>
      <c r="AC831" s="21"/>
      <c r="AD831" s="21"/>
      <c r="AE831" s="21"/>
      <c r="AF831" s="21"/>
      <c r="AG831" s="21"/>
      <c r="AH831" s="21" t="s">
        <v>2816</v>
      </c>
      <c r="AI831" s="21">
        <v>1</v>
      </c>
      <c r="AJ831" s="21" t="s">
        <v>70</v>
      </c>
      <c r="AK831" s="21" t="s">
        <v>70</v>
      </c>
      <c r="AL831" s="22"/>
      <c r="AM831" s="22"/>
      <c r="AN831" s="22"/>
      <c r="AO831" s="21" t="e">
        <f>_xlfn.XLOOKUP(A:A,[1]TAGS!$A:$A,[1]TAGS!$BG:$BG)</f>
        <v>#N/A</v>
      </c>
      <c r="AP831" s="21">
        <f t="shared" si="0"/>
        <v>0</v>
      </c>
      <c r="AQ831" s="21">
        <f t="shared" si="1"/>
        <v>8</v>
      </c>
      <c r="AR831" s="21">
        <f t="shared" si="2"/>
        <v>0</v>
      </c>
      <c r="AS831" s="21">
        <f t="shared" si="3"/>
        <v>8</v>
      </c>
      <c r="AT831" s="27">
        <f t="shared" si="4"/>
        <v>0</v>
      </c>
      <c r="AU831" s="21" t="s">
        <v>2817</v>
      </c>
    </row>
    <row r="832" spans="1:47" x14ac:dyDescent="0.35">
      <c r="A832" t="s">
        <v>2350</v>
      </c>
      <c r="B832" t="s">
        <v>52</v>
      </c>
      <c r="F832" t="s">
        <v>370</v>
      </c>
      <c r="G832" t="s">
        <v>371</v>
      </c>
      <c r="I832" t="s">
        <v>58</v>
      </c>
      <c r="J832" t="s">
        <v>373</v>
      </c>
      <c r="Y832" s="21" t="s">
        <v>2815</v>
      </c>
      <c r="Z832" s="26" t="s">
        <v>2350</v>
      </c>
      <c r="AA832" s="21"/>
      <c r="AB832" s="21"/>
      <c r="AC832" s="21"/>
      <c r="AD832" s="21"/>
      <c r="AE832" s="21"/>
      <c r="AF832" s="21"/>
      <c r="AG832" s="21"/>
      <c r="AH832" s="21" t="s">
        <v>2816</v>
      </c>
      <c r="AI832" s="21">
        <v>1</v>
      </c>
      <c r="AJ832" s="21" t="s">
        <v>70</v>
      </c>
      <c r="AK832" s="21" t="s">
        <v>70</v>
      </c>
      <c r="AL832" s="22"/>
      <c r="AM832" s="22"/>
      <c r="AN832" s="22"/>
      <c r="AO832" s="21" t="e">
        <f>_xlfn.XLOOKUP(A:A,[1]TAGS!$A:$A,[1]TAGS!$BG:$BG)</f>
        <v>#N/A</v>
      </c>
      <c r="AP832" s="21">
        <f t="shared" si="0"/>
        <v>0</v>
      </c>
      <c r="AQ832" s="21">
        <f t="shared" si="1"/>
        <v>8</v>
      </c>
      <c r="AR832" s="21">
        <f t="shared" si="2"/>
        <v>0</v>
      </c>
      <c r="AS832" s="21">
        <f t="shared" si="3"/>
        <v>8</v>
      </c>
      <c r="AT832" s="27">
        <f t="shared" si="4"/>
        <v>0</v>
      </c>
      <c r="AU832" s="21" t="s">
        <v>2817</v>
      </c>
    </row>
    <row r="833" spans="1:47" x14ac:dyDescent="0.35">
      <c r="A833" t="s">
        <v>2357</v>
      </c>
      <c r="B833" t="s">
        <v>52</v>
      </c>
      <c r="F833" t="s">
        <v>370</v>
      </c>
      <c r="G833" t="s">
        <v>371</v>
      </c>
      <c r="I833" t="s">
        <v>58</v>
      </c>
      <c r="J833" t="s">
        <v>373</v>
      </c>
      <c r="Y833" s="21" t="s">
        <v>2815</v>
      </c>
      <c r="Z833" s="26" t="s">
        <v>2357</v>
      </c>
      <c r="AA833" s="21"/>
      <c r="AB833" s="21"/>
      <c r="AC833" s="21"/>
      <c r="AD833" s="21"/>
      <c r="AE833" s="21"/>
      <c r="AF833" s="21"/>
      <c r="AG833" s="21"/>
      <c r="AH833" s="21" t="s">
        <v>2816</v>
      </c>
      <c r="AI833" s="21">
        <v>1</v>
      </c>
      <c r="AJ833" s="21" t="s">
        <v>70</v>
      </c>
      <c r="AK833" s="21" t="s">
        <v>70</v>
      </c>
      <c r="AL833" s="22"/>
      <c r="AM833" s="22"/>
      <c r="AN833" s="22"/>
      <c r="AO833" s="21" t="e">
        <f>_xlfn.XLOOKUP(A:A,[1]TAGS!$A:$A,[1]TAGS!$BG:$BG)</f>
        <v>#N/A</v>
      </c>
      <c r="AP833" s="21">
        <f t="shared" si="0"/>
        <v>0</v>
      </c>
      <c r="AQ833" s="21">
        <f t="shared" si="1"/>
        <v>8</v>
      </c>
      <c r="AR833" s="21">
        <f t="shared" si="2"/>
        <v>0</v>
      </c>
      <c r="AS833" s="21">
        <f t="shared" si="3"/>
        <v>8</v>
      </c>
      <c r="AT833" s="27">
        <f t="shared" si="4"/>
        <v>0</v>
      </c>
      <c r="AU833" s="21" t="s">
        <v>2817</v>
      </c>
    </row>
    <row r="834" spans="1:47" x14ac:dyDescent="0.35">
      <c r="A834" t="s">
        <v>2364</v>
      </c>
      <c r="B834" t="s">
        <v>52</v>
      </c>
      <c r="F834" t="s">
        <v>370</v>
      </c>
      <c r="G834" t="s">
        <v>371</v>
      </c>
      <c r="I834" t="s">
        <v>58</v>
      </c>
      <c r="J834" t="s">
        <v>373</v>
      </c>
      <c r="Y834" s="21" t="s">
        <v>2815</v>
      </c>
      <c r="Z834" s="26" t="s">
        <v>2364</v>
      </c>
      <c r="AA834" s="21"/>
      <c r="AB834" s="21"/>
      <c r="AC834" s="21"/>
      <c r="AD834" s="21"/>
      <c r="AE834" s="21"/>
      <c r="AF834" s="21"/>
      <c r="AG834" s="21"/>
      <c r="AH834" s="21" t="s">
        <v>2816</v>
      </c>
      <c r="AI834" s="21">
        <v>1</v>
      </c>
      <c r="AJ834" s="21" t="s">
        <v>70</v>
      </c>
      <c r="AK834" s="21" t="s">
        <v>70</v>
      </c>
      <c r="AL834" s="22"/>
      <c r="AM834" s="22"/>
      <c r="AN834" s="22"/>
      <c r="AO834" s="21" t="e">
        <f>_xlfn.XLOOKUP(A:A,[1]TAGS!$A:$A,[1]TAGS!$BG:$BG)</f>
        <v>#N/A</v>
      </c>
      <c r="AP834" s="21">
        <f t="shared" si="0"/>
        <v>0</v>
      </c>
      <c r="AQ834" s="21">
        <f t="shared" si="1"/>
        <v>8</v>
      </c>
      <c r="AR834" s="21">
        <f t="shared" si="2"/>
        <v>0</v>
      </c>
      <c r="AS834" s="21">
        <f t="shared" si="3"/>
        <v>8</v>
      </c>
      <c r="AT834" s="27">
        <f t="shared" si="4"/>
        <v>0</v>
      </c>
      <c r="AU834" s="21" t="s">
        <v>2817</v>
      </c>
    </row>
    <row r="835" spans="1:47" x14ac:dyDescent="0.35">
      <c r="A835" t="s">
        <v>624</v>
      </c>
      <c r="B835" t="s">
        <v>52</v>
      </c>
      <c r="F835" t="s">
        <v>55</v>
      </c>
      <c r="G835" t="s">
        <v>56</v>
      </c>
      <c r="I835" t="s">
        <v>58</v>
      </c>
      <c r="J835" t="s">
        <v>59</v>
      </c>
      <c r="Y835" s="21" t="s">
        <v>2815</v>
      </c>
      <c r="Z835" s="26" t="s">
        <v>624</v>
      </c>
      <c r="AA835" s="21"/>
      <c r="AB835" s="21"/>
      <c r="AC835" s="21"/>
      <c r="AD835" s="21"/>
      <c r="AE835" s="21"/>
      <c r="AF835" s="21"/>
      <c r="AG835" s="21"/>
      <c r="AH835" s="21" t="s">
        <v>2816</v>
      </c>
      <c r="AI835" s="21">
        <v>2</v>
      </c>
      <c r="AJ835" s="21" t="s">
        <v>70</v>
      </c>
      <c r="AK835" s="21" t="s">
        <v>70</v>
      </c>
      <c r="AL835" s="22"/>
      <c r="AM835" s="22"/>
      <c r="AN835" s="22"/>
      <c r="AO835" s="21" t="e">
        <f>_xlfn.XLOOKUP(A:A,[1]TAGS!$A:$A,[1]TAGS!$BG:$BG)</f>
        <v>#N/A</v>
      </c>
      <c r="AP835" s="21">
        <f t="shared" si="0"/>
        <v>0</v>
      </c>
      <c r="AQ835" s="21">
        <f t="shared" si="1"/>
        <v>8</v>
      </c>
      <c r="AR835" s="21">
        <f t="shared" si="2"/>
        <v>0</v>
      </c>
      <c r="AS835" s="21">
        <f t="shared" si="3"/>
        <v>8</v>
      </c>
      <c r="AT835" s="27">
        <f t="shared" si="4"/>
        <v>0</v>
      </c>
      <c r="AU835" s="21" t="s">
        <v>2817</v>
      </c>
    </row>
    <row r="836" spans="1:47" x14ac:dyDescent="0.35">
      <c r="A836" t="s">
        <v>2371</v>
      </c>
      <c r="B836" t="s">
        <v>52</v>
      </c>
      <c r="F836" t="s">
        <v>370</v>
      </c>
      <c r="G836" t="s">
        <v>371</v>
      </c>
      <c r="I836" t="s">
        <v>58</v>
      </c>
      <c r="J836" t="s">
        <v>373</v>
      </c>
      <c r="Y836" s="21" t="s">
        <v>2815</v>
      </c>
      <c r="Z836" s="26" t="s">
        <v>2371</v>
      </c>
      <c r="AA836" s="21"/>
      <c r="AB836" s="21"/>
      <c r="AC836" s="21"/>
      <c r="AD836" s="21"/>
      <c r="AE836" s="21"/>
      <c r="AF836" s="21"/>
      <c r="AG836" s="21"/>
      <c r="AH836" s="21" t="s">
        <v>2816</v>
      </c>
      <c r="AI836" s="21">
        <v>2</v>
      </c>
      <c r="AJ836" s="21" t="s">
        <v>70</v>
      </c>
      <c r="AK836" s="21" t="s">
        <v>70</v>
      </c>
      <c r="AL836" s="22"/>
      <c r="AM836" s="22"/>
      <c r="AN836" s="22"/>
      <c r="AO836" s="21" t="e">
        <f>_xlfn.XLOOKUP(A:A,[1]TAGS!$A:$A,[1]TAGS!$BG:$BG)</f>
        <v>#N/A</v>
      </c>
      <c r="AP836" s="21">
        <f t="shared" si="0"/>
        <v>0</v>
      </c>
      <c r="AQ836" s="21">
        <f t="shared" si="1"/>
        <v>8</v>
      </c>
      <c r="AR836" s="21">
        <f t="shared" si="2"/>
        <v>0</v>
      </c>
      <c r="AS836" s="21">
        <f t="shared" si="3"/>
        <v>8</v>
      </c>
      <c r="AT836" s="27">
        <f t="shared" si="4"/>
        <v>0</v>
      </c>
      <c r="AU836" s="21" t="s">
        <v>2817</v>
      </c>
    </row>
    <row r="837" spans="1:47" x14ac:dyDescent="0.35">
      <c r="A837" t="s">
        <v>2378</v>
      </c>
      <c r="B837" t="s">
        <v>52</v>
      </c>
      <c r="F837" t="s">
        <v>370</v>
      </c>
      <c r="G837" t="s">
        <v>371</v>
      </c>
      <c r="I837" t="s">
        <v>58</v>
      </c>
      <c r="J837" t="s">
        <v>373</v>
      </c>
      <c r="Y837" s="21" t="s">
        <v>2815</v>
      </c>
      <c r="Z837" s="26" t="s">
        <v>2378</v>
      </c>
      <c r="AA837" s="21"/>
      <c r="AB837" s="21"/>
      <c r="AC837" s="21"/>
      <c r="AD837" s="21"/>
      <c r="AE837" s="21"/>
      <c r="AF837" s="21"/>
      <c r="AG837" s="21"/>
      <c r="AH837" s="21" t="s">
        <v>2816</v>
      </c>
      <c r="AI837" s="21">
        <v>2</v>
      </c>
      <c r="AJ837" s="21" t="s">
        <v>70</v>
      </c>
      <c r="AK837" s="21" t="s">
        <v>70</v>
      </c>
      <c r="AL837" s="22"/>
      <c r="AM837" s="22"/>
      <c r="AN837" s="22"/>
      <c r="AO837" s="21" t="e">
        <f>_xlfn.XLOOKUP(A:A,[1]TAGS!$A:$A,[1]TAGS!$BG:$BG)</f>
        <v>#N/A</v>
      </c>
      <c r="AP837" s="21">
        <f t="shared" si="0"/>
        <v>0</v>
      </c>
      <c r="AQ837" s="21">
        <f t="shared" si="1"/>
        <v>8</v>
      </c>
      <c r="AR837" s="21">
        <f t="shared" si="2"/>
        <v>0</v>
      </c>
      <c r="AS837" s="21">
        <f t="shared" si="3"/>
        <v>8</v>
      </c>
      <c r="AT837" s="27">
        <f t="shared" si="4"/>
        <v>0</v>
      </c>
      <c r="AU837" s="21" t="s">
        <v>2817</v>
      </c>
    </row>
    <row r="838" spans="1:47" x14ac:dyDescent="0.35">
      <c r="A838" t="s">
        <v>2385</v>
      </c>
      <c r="B838" t="s">
        <v>52</v>
      </c>
      <c r="F838" t="s">
        <v>370</v>
      </c>
      <c r="G838" t="s">
        <v>371</v>
      </c>
      <c r="I838" t="s">
        <v>58</v>
      </c>
      <c r="J838" t="s">
        <v>373</v>
      </c>
      <c r="Y838" s="21" t="s">
        <v>2815</v>
      </c>
      <c r="Z838" s="26" t="s">
        <v>2385</v>
      </c>
      <c r="AA838" s="21"/>
      <c r="AB838" s="21"/>
      <c r="AC838" s="21"/>
      <c r="AD838" s="21"/>
      <c r="AE838" s="21"/>
      <c r="AF838" s="21"/>
      <c r="AG838" s="21"/>
      <c r="AH838" s="21" t="s">
        <v>2816</v>
      </c>
      <c r="AI838" s="21">
        <v>2</v>
      </c>
      <c r="AJ838" s="21" t="s">
        <v>70</v>
      </c>
      <c r="AK838" s="21" t="s">
        <v>70</v>
      </c>
      <c r="AL838" s="22"/>
      <c r="AM838" s="22"/>
      <c r="AN838" s="22"/>
      <c r="AO838" s="21" t="e">
        <f>_xlfn.XLOOKUP(A:A,[1]TAGS!$A:$A,[1]TAGS!$BG:$BG)</f>
        <v>#N/A</v>
      </c>
      <c r="AP838" s="21">
        <f t="shared" si="0"/>
        <v>0</v>
      </c>
      <c r="AQ838" s="21">
        <f t="shared" si="1"/>
        <v>8</v>
      </c>
      <c r="AR838" s="21">
        <f t="shared" si="2"/>
        <v>0</v>
      </c>
      <c r="AS838" s="21">
        <f t="shared" si="3"/>
        <v>8</v>
      </c>
      <c r="AT838" s="27">
        <f t="shared" si="4"/>
        <v>0</v>
      </c>
      <c r="AU838" s="21" t="s">
        <v>2817</v>
      </c>
    </row>
    <row r="839" spans="1:47" x14ac:dyDescent="0.35">
      <c r="A839" t="s">
        <v>688</v>
      </c>
      <c r="B839" t="s">
        <v>52</v>
      </c>
      <c r="F839" t="s">
        <v>370</v>
      </c>
      <c r="G839" t="s">
        <v>371</v>
      </c>
      <c r="I839" t="s">
        <v>58</v>
      </c>
      <c r="J839" t="s">
        <v>373</v>
      </c>
      <c r="Y839" s="21" t="s">
        <v>2815</v>
      </c>
      <c r="Z839" s="26" t="s">
        <v>688</v>
      </c>
      <c r="AA839" s="21"/>
      <c r="AB839" s="21"/>
      <c r="AC839" s="21"/>
      <c r="AD839" s="21"/>
      <c r="AE839" s="21"/>
      <c r="AF839" s="21"/>
      <c r="AG839" s="21"/>
      <c r="AH839" s="21" t="s">
        <v>2816</v>
      </c>
      <c r="AI839" s="21">
        <v>2</v>
      </c>
      <c r="AJ839" s="21" t="s">
        <v>70</v>
      </c>
      <c r="AK839" s="21" t="s">
        <v>70</v>
      </c>
      <c r="AL839" s="22"/>
      <c r="AM839" s="22"/>
      <c r="AN839" s="22"/>
      <c r="AO839" s="21" t="e">
        <f>_xlfn.XLOOKUP(A:A,[1]TAGS!$A:$A,[1]TAGS!$BG:$BG)</f>
        <v>#N/A</v>
      </c>
      <c r="AP839" s="21">
        <f t="shared" si="0"/>
        <v>0</v>
      </c>
      <c r="AQ839" s="21">
        <f t="shared" si="1"/>
        <v>6</v>
      </c>
      <c r="AR839" s="21">
        <f t="shared" si="2"/>
        <v>0</v>
      </c>
      <c r="AS839" s="21">
        <f t="shared" si="3"/>
        <v>6</v>
      </c>
      <c r="AT839" s="27">
        <f t="shared" si="4"/>
        <v>0</v>
      </c>
      <c r="AU839" s="21" t="s">
        <v>2817</v>
      </c>
    </row>
    <row r="840" spans="1:47" x14ac:dyDescent="0.35">
      <c r="A840" t="s">
        <v>2563</v>
      </c>
      <c r="B840" t="s">
        <v>52</v>
      </c>
      <c r="F840" t="s">
        <v>370</v>
      </c>
      <c r="G840" t="s">
        <v>371</v>
      </c>
      <c r="I840" t="s">
        <v>58</v>
      </c>
      <c r="J840" t="s">
        <v>373</v>
      </c>
      <c r="Y840" s="21" t="s">
        <v>2815</v>
      </c>
      <c r="Z840" s="26" t="s">
        <v>2563</v>
      </c>
      <c r="AA840" s="21"/>
      <c r="AB840" s="21"/>
      <c r="AC840" s="21"/>
      <c r="AD840" s="21"/>
      <c r="AE840" s="21"/>
      <c r="AF840" s="21"/>
      <c r="AG840" s="21"/>
      <c r="AH840" s="21" t="s">
        <v>2816</v>
      </c>
      <c r="AI840" s="21">
        <v>3</v>
      </c>
      <c r="AJ840" s="21" t="s">
        <v>70</v>
      </c>
      <c r="AK840" s="21" t="s">
        <v>70</v>
      </c>
      <c r="AL840" s="22"/>
      <c r="AM840" s="22"/>
      <c r="AN840" s="22"/>
      <c r="AO840" s="21" t="e">
        <f>_xlfn.XLOOKUP(A:A,[1]TAGS!$A:$A,[1]TAGS!$BG:$BG)</f>
        <v>#N/A</v>
      </c>
      <c r="AP840" s="21">
        <f t="shared" si="0"/>
        <v>0</v>
      </c>
      <c r="AQ840" s="21">
        <f t="shared" si="1"/>
        <v>9</v>
      </c>
      <c r="AR840" s="21">
        <f t="shared" si="2"/>
        <v>0</v>
      </c>
      <c r="AS840" s="21">
        <f t="shared" si="3"/>
        <v>8</v>
      </c>
      <c r="AT840" s="27">
        <f t="shared" si="4"/>
        <v>0</v>
      </c>
      <c r="AU840" s="21" t="s">
        <v>2817</v>
      </c>
    </row>
    <row r="841" spans="1:47" x14ac:dyDescent="0.35">
      <c r="A841" t="s">
        <v>629</v>
      </c>
      <c r="B841" t="s">
        <v>52</v>
      </c>
      <c r="F841" t="s">
        <v>55</v>
      </c>
      <c r="G841" t="s">
        <v>75</v>
      </c>
      <c r="I841" t="s">
        <v>58</v>
      </c>
      <c r="J841" t="s">
        <v>77</v>
      </c>
      <c r="Y841" s="21" t="s">
        <v>2815</v>
      </c>
      <c r="Z841" s="26" t="s">
        <v>629</v>
      </c>
      <c r="AA841" s="21"/>
      <c r="AB841" s="21"/>
      <c r="AC841" s="21"/>
      <c r="AD841" s="21"/>
      <c r="AE841" s="21"/>
      <c r="AF841" s="21"/>
      <c r="AG841" s="21"/>
      <c r="AH841" s="21" t="s">
        <v>2816</v>
      </c>
      <c r="AI841" s="21">
        <v>3</v>
      </c>
      <c r="AJ841" s="21" t="s">
        <v>70</v>
      </c>
      <c r="AK841" s="21" t="s">
        <v>70</v>
      </c>
      <c r="AL841" s="22"/>
      <c r="AM841" s="22"/>
      <c r="AN841" s="22"/>
      <c r="AO841" s="21" t="e">
        <f>_xlfn.XLOOKUP(A:A,[1]TAGS!$A:$A,[1]TAGS!$BG:$BG)</f>
        <v>#N/A</v>
      </c>
      <c r="AP841" s="21">
        <f t="shared" si="0"/>
        <v>0</v>
      </c>
      <c r="AQ841" s="21">
        <f t="shared" si="1"/>
        <v>8</v>
      </c>
      <c r="AR841" s="21">
        <f t="shared" si="2"/>
        <v>0</v>
      </c>
      <c r="AS841" s="21">
        <f t="shared" si="3"/>
        <v>8</v>
      </c>
      <c r="AT841" s="27">
        <f t="shared" si="4"/>
        <v>0</v>
      </c>
      <c r="AU841" s="21" t="s">
        <v>2817</v>
      </c>
    </row>
    <row r="842" spans="1:47" x14ac:dyDescent="0.35">
      <c r="A842" t="s">
        <v>721</v>
      </c>
      <c r="B842" t="s">
        <v>52</v>
      </c>
      <c r="F842" t="s">
        <v>397</v>
      </c>
      <c r="G842" t="s">
        <v>398</v>
      </c>
      <c r="I842" t="s">
        <v>58</v>
      </c>
      <c r="J842" t="s">
        <v>400</v>
      </c>
      <c r="Y842" s="21" t="s">
        <v>2815</v>
      </c>
      <c r="Z842" s="26" t="s">
        <v>721</v>
      </c>
      <c r="AA842" s="21"/>
      <c r="AB842" s="21"/>
      <c r="AC842" s="21"/>
      <c r="AD842" s="21"/>
      <c r="AE842" s="21"/>
      <c r="AF842" s="21"/>
      <c r="AG842" s="21"/>
      <c r="AH842" s="21" t="s">
        <v>2818</v>
      </c>
      <c r="AI842" s="21">
        <v>3</v>
      </c>
      <c r="AJ842" s="21" t="s">
        <v>70</v>
      </c>
      <c r="AK842" s="21" t="s">
        <v>70</v>
      </c>
      <c r="AL842" s="22"/>
      <c r="AM842" s="22"/>
      <c r="AN842" s="22"/>
      <c r="AO842" s="21" t="e">
        <f>_xlfn.XLOOKUP(A:A,[1]TAGS!$A:$A,[1]TAGS!$BG:$BG)</f>
        <v>#N/A</v>
      </c>
      <c r="AP842" s="21">
        <f t="shared" si="0"/>
        <v>0</v>
      </c>
      <c r="AQ842" s="21">
        <f t="shared" si="1"/>
        <v>9</v>
      </c>
      <c r="AR842" s="21">
        <f t="shared" si="2"/>
        <v>0</v>
      </c>
      <c r="AS842" s="21">
        <f t="shared" si="3"/>
        <v>9</v>
      </c>
      <c r="AT842" s="27">
        <f t="shared" si="4"/>
        <v>0</v>
      </c>
      <c r="AU842" s="21" t="s">
        <v>2817</v>
      </c>
    </row>
    <row r="843" spans="1:47" x14ac:dyDescent="0.35">
      <c r="A843" t="s">
        <v>2819</v>
      </c>
      <c r="B843" t="s">
        <v>52</v>
      </c>
      <c r="Y843" s="21" t="s">
        <v>2815</v>
      </c>
      <c r="Z843" s="26" t="s">
        <v>2819</v>
      </c>
      <c r="AA843" s="21"/>
      <c r="AB843" s="21"/>
      <c r="AC843" s="21"/>
      <c r="AD843" s="21"/>
      <c r="AE843" s="21"/>
      <c r="AF843" s="21"/>
      <c r="AG843" s="21"/>
      <c r="AH843" s="21" t="s">
        <v>2818</v>
      </c>
      <c r="AI843" s="21">
        <v>3</v>
      </c>
      <c r="AJ843" s="21" t="s">
        <v>70</v>
      </c>
      <c r="AK843" s="21" t="s">
        <v>70</v>
      </c>
      <c r="AL843" s="22"/>
      <c r="AM843" s="22"/>
      <c r="AN843" s="22"/>
      <c r="AO843" s="21" t="e">
        <f>_xlfn.XLOOKUP(A:A,[1]TAGS!$A:$A,[1]TAGS!$BG:$BG)</f>
        <v>#N/A</v>
      </c>
      <c r="AP843" s="21">
        <f t="shared" si="0"/>
        <v>0</v>
      </c>
      <c r="AQ843" s="21">
        <f t="shared" si="1"/>
        <v>0</v>
      </c>
      <c r="AR843" s="21">
        <f t="shared" si="2"/>
        <v>0</v>
      </c>
      <c r="AS843" s="21">
        <f t="shared" si="3"/>
        <v>0</v>
      </c>
      <c r="AT843" s="27">
        <f t="shared" si="4"/>
        <v>0</v>
      </c>
      <c r="AU843" s="21" t="s">
        <v>2817</v>
      </c>
    </row>
    <row r="844" spans="1:47" x14ac:dyDescent="0.35">
      <c r="A844" t="s">
        <v>2570</v>
      </c>
      <c r="B844" t="s">
        <v>52</v>
      </c>
      <c r="F844" t="s">
        <v>370</v>
      </c>
      <c r="G844" t="s">
        <v>371</v>
      </c>
      <c r="I844" t="s">
        <v>58</v>
      </c>
      <c r="J844" t="s">
        <v>373</v>
      </c>
      <c r="Y844" s="21" t="s">
        <v>2815</v>
      </c>
      <c r="Z844" s="26" t="s">
        <v>2570</v>
      </c>
      <c r="AA844" s="21"/>
      <c r="AB844" s="21"/>
      <c r="AC844" s="21"/>
      <c r="AD844" s="21"/>
      <c r="AE844" s="21"/>
      <c r="AF844" s="21"/>
      <c r="AG844" s="21"/>
      <c r="AH844" s="21" t="s">
        <v>2818</v>
      </c>
      <c r="AI844" s="21">
        <v>3</v>
      </c>
      <c r="AJ844" s="21" t="s">
        <v>70</v>
      </c>
      <c r="AK844" s="21" t="s">
        <v>70</v>
      </c>
      <c r="AL844" s="22"/>
      <c r="AM844" s="22"/>
      <c r="AN844" s="22"/>
      <c r="AO844" s="21" t="e">
        <f>_xlfn.XLOOKUP(A:A,[1]TAGS!$A:$A,[1]TAGS!$BG:$BG)</f>
        <v>#N/A</v>
      </c>
      <c r="AP844" s="21">
        <f t="shared" si="0"/>
        <v>0</v>
      </c>
      <c r="AQ844" s="21">
        <f t="shared" si="1"/>
        <v>9</v>
      </c>
      <c r="AR844" s="21">
        <f t="shared" si="2"/>
        <v>0</v>
      </c>
      <c r="AS844" s="21">
        <f t="shared" si="3"/>
        <v>9</v>
      </c>
      <c r="AT844" s="27">
        <f t="shared" si="4"/>
        <v>0</v>
      </c>
      <c r="AU844" s="21" t="s">
        <v>2817</v>
      </c>
    </row>
    <row r="845" spans="1:47" x14ac:dyDescent="0.35">
      <c r="A845" t="s">
        <v>2592</v>
      </c>
      <c r="B845" t="s">
        <v>52</v>
      </c>
      <c r="F845" t="s">
        <v>370</v>
      </c>
      <c r="G845" t="s">
        <v>371</v>
      </c>
      <c r="I845" t="s">
        <v>58</v>
      </c>
      <c r="J845" t="s">
        <v>373</v>
      </c>
      <c r="Y845" s="21" t="s">
        <v>2815</v>
      </c>
      <c r="Z845" s="26" t="s">
        <v>2592</v>
      </c>
      <c r="AA845" s="21"/>
      <c r="AB845" s="21"/>
      <c r="AC845" s="21"/>
      <c r="AD845" s="21"/>
      <c r="AE845" s="21"/>
      <c r="AF845" s="21"/>
      <c r="AG845" s="21"/>
      <c r="AH845" s="21" t="s">
        <v>2818</v>
      </c>
      <c r="AI845" s="21">
        <v>3</v>
      </c>
      <c r="AJ845" s="21" t="s">
        <v>70</v>
      </c>
      <c r="AK845" s="21" t="s">
        <v>70</v>
      </c>
      <c r="AL845" s="22"/>
      <c r="AM845" s="22"/>
      <c r="AN845" s="22"/>
      <c r="AO845" s="21" t="e">
        <f>_xlfn.XLOOKUP(A:A,[1]TAGS!$A:$A,[1]TAGS!$BG:$BG)</f>
        <v>#N/A</v>
      </c>
      <c r="AP845" s="21">
        <f t="shared" si="0"/>
        <v>0</v>
      </c>
      <c r="AQ845" s="21">
        <f t="shared" si="1"/>
        <v>8</v>
      </c>
      <c r="AR845" s="21">
        <f t="shared" si="2"/>
        <v>0</v>
      </c>
      <c r="AS845" s="21">
        <f t="shared" si="3"/>
        <v>8</v>
      </c>
      <c r="AT845" s="27">
        <f t="shared" si="4"/>
        <v>0</v>
      </c>
      <c r="AU845" s="21" t="s">
        <v>2817</v>
      </c>
    </row>
    <row r="846" spans="1:47" x14ac:dyDescent="0.35">
      <c r="A846" t="s">
        <v>2634</v>
      </c>
      <c r="B846" t="s">
        <v>52</v>
      </c>
      <c r="F846" t="s">
        <v>370</v>
      </c>
      <c r="G846" t="s">
        <v>371</v>
      </c>
      <c r="I846" t="s">
        <v>58</v>
      </c>
      <c r="J846" t="s">
        <v>373</v>
      </c>
      <c r="Y846" s="21" t="s">
        <v>2815</v>
      </c>
      <c r="Z846" s="26" t="s">
        <v>2634</v>
      </c>
      <c r="AA846" s="21"/>
      <c r="AB846" s="21"/>
      <c r="AC846" s="21"/>
      <c r="AD846" s="21"/>
      <c r="AE846" s="21"/>
      <c r="AF846" s="21"/>
      <c r="AG846" s="21"/>
      <c r="AH846" s="21" t="s">
        <v>2818</v>
      </c>
      <c r="AI846" s="21">
        <v>4</v>
      </c>
      <c r="AJ846" s="21" t="s">
        <v>70</v>
      </c>
      <c r="AK846" s="21" t="s">
        <v>70</v>
      </c>
      <c r="AL846" s="22"/>
      <c r="AM846" s="22"/>
      <c r="AN846" s="22"/>
      <c r="AO846" s="21" t="e">
        <f>_xlfn.XLOOKUP(A:A,[1]TAGS!$A:$A,[1]TAGS!$BG:$BG)</f>
        <v>#N/A</v>
      </c>
      <c r="AP846" s="21">
        <f t="shared" si="0"/>
        <v>0</v>
      </c>
      <c r="AQ846" s="21">
        <f t="shared" si="1"/>
        <v>4</v>
      </c>
      <c r="AR846" s="21">
        <f t="shared" si="2"/>
        <v>0</v>
      </c>
      <c r="AS846" s="21">
        <f t="shared" si="3"/>
        <v>4</v>
      </c>
      <c r="AT846" s="27">
        <f t="shared" si="4"/>
        <v>0</v>
      </c>
      <c r="AU846" s="21" t="s">
        <v>2817</v>
      </c>
    </row>
    <row r="847" spans="1:47" x14ac:dyDescent="0.35">
      <c r="A847" t="s">
        <v>2627</v>
      </c>
      <c r="B847" t="s">
        <v>52</v>
      </c>
      <c r="F847" t="s">
        <v>370</v>
      </c>
      <c r="G847" t="s">
        <v>371</v>
      </c>
      <c r="I847" t="s">
        <v>58</v>
      </c>
      <c r="J847" t="s">
        <v>373</v>
      </c>
      <c r="Y847" s="21" t="s">
        <v>2815</v>
      </c>
      <c r="Z847" s="26" t="s">
        <v>2627</v>
      </c>
      <c r="AA847" s="21"/>
      <c r="AB847" s="21"/>
      <c r="AC847" s="21"/>
      <c r="AD847" s="21"/>
      <c r="AE847" s="21"/>
      <c r="AF847" s="21"/>
      <c r="AG847" s="21"/>
      <c r="AH847" s="21" t="s">
        <v>2818</v>
      </c>
      <c r="AI847" s="21">
        <v>4</v>
      </c>
      <c r="AJ847" s="21" t="s">
        <v>70</v>
      </c>
      <c r="AK847" s="21" t="s">
        <v>70</v>
      </c>
      <c r="AL847" s="22"/>
      <c r="AM847" s="22"/>
      <c r="AN847" s="22"/>
      <c r="AO847" s="21" t="e">
        <f>_xlfn.XLOOKUP(A:A,[1]TAGS!$A:$A,[1]TAGS!$BG:$BG)</f>
        <v>#N/A</v>
      </c>
      <c r="AP847" s="21">
        <f t="shared" si="0"/>
        <v>0</v>
      </c>
      <c r="AQ847" s="21">
        <f t="shared" si="1"/>
        <v>8</v>
      </c>
      <c r="AR847" s="21">
        <f t="shared" si="2"/>
        <v>0</v>
      </c>
      <c r="AS847" s="21">
        <f t="shared" si="3"/>
        <v>8</v>
      </c>
      <c r="AT847" s="27">
        <f t="shared" si="4"/>
        <v>0</v>
      </c>
      <c r="AU847" s="21" t="s">
        <v>2817</v>
      </c>
    </row>
    <row r="848" spans="1:47" x14ac:dyDescent="0.35">
      <c r="A848" t="s">
        <v>2620</v>
      </c>
      <c r="B848" t="s">
        <v>52</v>
      </c>
      <c r="F848" t="s">
        <v>370</v>
      </c>
      <c r="G848" t="s">
        <v>371</v>
      </c>
      <c r="I848" t="s">
        <v>58</v>
      </c>
      <c r="J848" t="s">
        <v>373</v>
      </c>
      <c r="Y848" s="21" t="s">
        <v>2815</v>
      </c>
      <c r="Z848" s="26" t="s">
        <v>2620</v>
      </c>
      <c r="AA848" s="21"/>
      <c r="AB848" s="21"/>
      <c r="AC848" s="21"/>
      <c r="AD848" s="21"/>
      <c r="AE848" s="21"/>
      <c r="AF848" s="21"/>
      <c r="AG848" s="21"/>
      <c r="AH848" s="21" t="s">
        <v>2818</v>
      </c>
      <c r="AI848" s="21">
        <v>4</v>
      </c>
      <c r="AJ848" s="21" t="s">
        <v>70</v>
      </c>
      <c r="AK848" s="21" t="s">
        <v>70</v>
      </c>
      <c r="AL848" s="22"/>
      <c r="AM848" s="22"/>
      <c r="AN848" s="22"/>
      <c r="AO848" s="21" t="e">
        <f>_xlfn.XLOOKUP(A:A,[1]TAGS!$A:$A,[1]TAGS!$BG:$BG)</f>
        <v>#N/A</v>
      </c>
      <c r="AP848" s="21">
        <f t="shared" si="0"/>
        <v>0</v>
      </c>
      <c r="AQ848" s="21">
        <f t="shared" si="1"/>
        <v>8</v>
      </c>
      <c r="AR848" s="21">
        <f t="shared" si="2"/>
        <v>0</v>
      </c>
      <c r="AS848" s="21">
        <f t="shared" si="3"/>
        <v>8</v>
      </c>
      <c r="AT848" s="27">
        <f t="shared" si="4"/>
        <v>0</v>
      </c>
      <c r="AU848" s="21" t="s">
        <v>2817</v>
      </c>
    </row>
    <row r="849" spans="1:47" x14ac:dyDescent="0.35">
      <c r="A849" t="s">
        <v>2613</v>
      </c>
      <c r="B849" t="s">
        <v>52</v>
      </c>
      <c r="F849" t="s">
        <v>370</v>
      </c>
      <c r="G849" t="s">
        <v>371</v>
      </c>
      <c r="I849" t="s">
        <v>58</v>
      </c>
      <c r="J849" t="s">
        <v>373</v>
      </c>
      <c r="Y849" s="21" t="s">
        <v>2815</v>
      </c>
      <c r="Z849" s="26" t="s">
        <v>2613</v>
      </c>
      <c r="AA849" s="21"/>
      <c r="AB849" s="21"/>
      <c r="AC849" s="21"/>
      <c r="AD849" s="21"/>
      <c r="AE849" s="21"/>
      <c r="AF849" s="21"/>
      <c r="AG849" s="21"/>
      <c r="AH849" s="21" t="s">
        <v>2818</v>
      </c>
      <c r="AI849" s="21">
        <v>4</v>
      </c>
      <c r="AJ849" s="21" t="s">
        <v>70</v>
      </c>
      <c r="AK849" s="21" t="s">
        <v>70</v>
      </c>
      <c r="AL849" s="22"/>
      <c r="AM849" s="22"/>
      <c r="AN849" s="22"/>
      <c r="AO849" s="21" t="e">
        <f>_xlfn.XLOOKUP(A:A,[1]TAGS!$A:$A,[1]TAGS!$BG:$BG)</f>
        <v>#N/A</v>
      </c>
      <c r="AP849" s="21">
        <f t="shared" si="0"/>
        <v>0</v>
      </c>
      <c r="AQ849" s="21">
        <f t="shared" si="1"/>
        <v>8</v>
      </c>
      <c r="AR849" s="21">
        <f t="shared" si="2"/>
        <v>0</v>
      </c>
      <c r="AS849" s="21">
        <f t="shared" si="3"/>
        <v>8</v>
      </c>
      <c r="AT849" s="27">
        <f t="shared" si="4"/>
        <v>0</v>
      </c>
      <c r="AU849" s="21" t="s">
        <v>2817</v>
      </c>
    </row>
    <row r="850" spans="1:47" x14ac:dyDescent="0.35">
      <c r="A850" t="s">
        <v>2606</v>
      </c>
      <c r="B850" t="s">
        <v>52</v>
      </c>
      <c r="F850" t="s">
        <v>370</v>
      </c>
      <c r="G850" t="s">
        <v>371</v>
      </c>
      <c r="I850" t="s">
        <v>58</v>
      </c>
      <c r="J850" t="s">
        <v>373</v>
      </c>
      <c r="Y850" s="21" t="s">
        <v>2815</v>
      </c>
      <c r="Z850" s="26" t="s">
        <v>2606</v>
      </c>
      <c r="AA850" s="21"/>
      <c r="AB850" s="21"/>
      <c r="AC850" s="21"/>
      <c r="AD850" s="21"/>
      <c r="AE850" s="21"/>
      <c r="AF850" s="21"/>
      <c r="AG850" s="21"/>
      <c r="AH850" s="21" t="s">
        <v>2818</v>
      </c>
      <c r="AI850" s="21">
        <v>4</v>
      </c>
      <c r="AJ850" s="21" t="s">
        <v>70</v>
      </c>
      <c r="AK850" s="21" t="s">
        <v>70</v>
      </c>
      <c r="AL850" s="22"/>
      <c r="AM850" s="22"/>
      <c r="AN850" s="22"/>
      <c r="AO850" s="21" t="e">
        <f>_xlfn.XLOOKUP(A:A,[1]TAGS!$A:$A,[1]TAGS!$BG:$BG)</f>
        <v>#N/A</v>
      </c>
      <c r="AP850" s="21">
        <f t="shared" si="0"/>
        <v>0</v>
      </c>
      <c r="AQ850" s="21">
        <f t="shared" si="1"/>
        <v>8</v>
      </c>
      <c r="AR850" s="21">
        <f t="shared" si="2"/>
        <v>0</v>
      </c>
      <c r="AS850" s="21">
        <f t="shared" si="3"/>
        <v>8</v>
      </c>
      <c r="AT850" s="27">
        <f t="shared" si="4"/>
        <v>0</v>
      </c>
      <c r="AU850" s="21" t="s">
        <v>2817</v>
      </c>
    </row>
    <row r="851" spans="1:47" x14ac:dyDescent="0.35">
      <c r="A851" t="s">
        <v>2599</v>
      </c>
      <c r="B851" t="s">
        <v>52</v>
      </c>
      <c r="F851" t="s">
        <v>370</v>
      </c>
      <c r="G851" t="s">
        <v>371</v>
      </c>
      <c r="I851" t="s">
        <v>58</v>
      </c>
      <c r="J851" t="s">
        <v>373</v>
      </c>
      <c r="Y851" s="21" t="s">
        <v>2815</v>
      </c>
      <c r="Z851" s="26" t="s">
        <v>2599</v>
      </c>
      <c r="AA851" s="21"/>
      <c r="AB851" s="21"/>
      <c r="AC851" s="21"/>
      <c r="AD851" s="21"/>
      <c r="AE851" s="21"/>
      <c r="AF851" s="21"/>
      <c r="AG851" s="21"/>
      <c r="AH851" s="21" t="s">
        <v>2818</v>
      </c>
      <c r="AI851" s="21">
        <v>4</v>
      </c>
      <c r="AJ851" s="21" t="s">
        <v>70</v>
      </c>
      <c r="AK851" s="21" t="s">
        <v>70</v>
      </c>
      <c r="AL851" s="22"/>
      <c r="AM851" s="22"/>
      <c r="AN851" s="22"/>
      <c r="AO851" s="21" t="e">
        <f>_xlfn.XLOOKUP(A:A,[1]TAGS!$A:$A,[1]TAGS!$BG:$BG)</f>
        <v>#N/A</v>
      </c>
      <c r="AP851" s="21">
        <f t="shared" si="0"/>
        <v>0</v>
      </c>
      <c r="AQ851" s="21">
        <f t="shared" si="1"/>
        <v>8</v>
      </c>
      <c r="AR851" s="21">
        <f t="shared" si="2"/>
        <v>0</v>
      </c>
      <c r="AS851" s="21">
        <f t="shared" si="3"/>
        <v>8</v>
      </c>
      <c r="AT851" s="27">
        <f t="shared" si="4"/>
        <v>0</v>
      </c>
      <c r="AU851" s="21" t="s">
        <v>2817</v>
      </c>
    </row>
    <row r="852" spans="1:47" x14ac:dyDescent="0.35">
      <c r="A852" t="s">
        <v>2820</v>
      </c>
      <c r="B852" t="s">
        <v>52</v>
      </c>
      <c r="Y852" s="21" t="s">
        <v>463</v>
      </c>
      <c r="Z852" s="21" t="s">
        <v>475</v>
      </c>
      <c r="AA852" s="21"/>
      <c r="AB852" s="21">
        <v>1</v>
      </c>
      <c r="AC852" s="21">
        <v>36</v>
      </c>
      <c r="AD852" s="21">
        <v>8691670</v>
      </c>
      <c r="AE852" s="21">
        <v>11893070</v>
      </c>
      <c r="AF852" s="21">
        <v>100862</v>
      </c>
      <c r="AG852" s="21" t="s">
        <v>2820</v>
      </c>
      <c r="AH852" s="21"/>
      <c r="AI852" s="21"/>
      <c r="AJ852" s="22"/>
      <c r="AK852" s="22"/>
      <c r="AL852" s="21" t="str">
        <f>_xlfn.XLOOKUP(A:A,[1]TAGS!$A:$A,[1]TAGS!$BG:$BG)</f>
        <v>Não Montado</v>
      </c>
      <c r="AM852" s="22"/>
      <c r="AN852" s="22"/>
      <c r="AO852" s="21" t="str">
        <f>_xlfn.XLOOKUP(A:A,[1]TAGS!$A:$A,[1]TAGS!$BG:$BG)</f>
        <v>Não Montado</v>
      </c>
      <c r="AP852" s="21"/>
      <c r="AQ852" s="21"/>
      <c r="AR852" s="21"/>
      <c r="AS852" s="21"/>
      <c r="AT852" s="21"/>
      <c r="AU852" s="21" t="s">
        <v>2821</v>
      </c>
    </row>
    <row r="853" spans="1:47" x14ac:dyDescent="0.35">
      <c r="A853" t="s">
        <v>2822</v>
      </c>
      <c r="B853" t="s">
        <v>52</v>
      </c>
      <c r="Y853" s="21" t="s">
        <v>463</v>
      </c>
      <c r="Z853" s="21" t="s">
        <v>475</v>
      </c>
      <c r="AA853" s="21"/>
      <c r="AB853" s="21">
        <v>9</v>
      </c>
      <c r="AC853" s="21">
        <v>201</v>
      </c>
      <c r="AD853" s="21"/>
      <c r="AE853" s="21"/>
      <c r="AF853" s="21"/>
      <c r="AG853" s="21" t="s">
        <v>2822</v>
      </c>
      <c r="AH853" s="21"/>
      <c r="AI853" s="21"/>
      <c r="AJ853" s="22"/>
      <c r="AK853" s="22"/>
      <c r="AL853" s="21" t="str">
        <f>_xlfn.XLOOKUP(A:A,[1]TAGS!$A:$A,[1]TAGS!$BG:$BG)</f>
        <v>Não Montado</v>
      </c>
      <c r="AM853" s="22"/>
      <c r="AN853" s="22"/>
      <c r="AO853" s="21" t="str">
        <f>_xlfn.XLOOKUP(A:A,[1]TAGS!$A:$A,[1]TAGS!$BG:$BG)</f>
        <v>Não Montado</v>
      </c>
      <c r="AP853" s="21"/>
      <c r="AQ853" s="21"/>
      <c r="AR853" s="21"/>
      <c r="AS853" s="21"/>
      <c r="AT853" s="21"/>
      <c r="AU853" s="21" t="s">
        <v>2821</v>
      </c>
    </row>
    <row r="854" spans="1:47" x14ac:dyDescent="0.35">
      <c r="A854" t="s">
        <v>2823</v>
      </c>
      <c r="B854" t="s">
        <v>52</v>
      </c>
      <c r="Y854" s="21" t="s">
        <v>463</v>
      </c>
      <c r="Z854" s="21" t="s">
        <v>475</v>
      </c>
      <c r="AA854" s="21"/>
      <c r="AB854" s="21">
        <v>10</v>
      </c>
      <c r="AC854" s="21">
        <v>202</v>
      </c>
      <c r="AD854" s="21"/>
      <c r="AE854" s="21"/>
      <c r="AF854" s="21"/>
      <c r="AG854" s="21" t="s">
        <v>2823</v>
      </c>
      <c r="AH854" s="21"/>
      <c r="AI854" s="21"/>
      <c r="AJ854" s="22"/>
      <c r="AK854" s="22"/>
      <c r="AL854" s="21" t="str">
        <f>_xlfn.XLOOKUP(A:A,[1]TAGS!$A:$A,[1]TAGS!$BG:$BG)</f>
        <v>Não Montado</v>
      </c>
      <c r="AM854" s="22"/>
      <c r="AN854" s="22"/>
      <c r="AO854" s="21" t="str">
        <f>_xlfn.XLOOKUP(A:A,[1]TAGS!$A:$A,[1]TAGS!$BG:$BG)</f>
        <v>Não Montado</v>
      </c>
      <c r="AP854" s="21"/>
      <c r="AQ854" s="21"/>
      <c r="AR854" s="21"/>
      <c r="AS854" s="21"/>
      <c r="AT854" s="21"/>
      <c r="AU854" s="21" t="s">
        <v>2821</v>
      </c>
    </row>
    <row r="855" spans="1:47" x14ac:dyDescent="0.35">
      <c r="A855" t="s">
        <v>2824</v>
      </c>
      <c r="B855" t="s">
        <v>52</v>
      </c>
      <c r="Y855" s="21" t="s">
        <v>463</v>
      </c>
      <c r="Z855" s="21" t="s">
        <v>468</v>
      </c>
      <c r="AA855" s="21"/>
      <c r="AB855" s="21">
        <v>7</v>
      </c>
      <c r="AC855" s="21">
        <v>93</v>
      </c>
      <c r="AD855" s="21">
        <v>8691774</v>
      </c>
      <c r="AE855" s="21">
        <v>11871510</v>
      </c>
      <c r="AF855" s="21">
        <v>100500</v>
      </c>
      <c r="AG855" s="21" t="s">
        <v>2824</v>
      </c>
      <c r="AH855" s="21"/>
      <c r="AI855" s="21"/>
      <c r="AJ855" s="22"/>
      <c r="AK855" s="22"/>
      <c r="AL855" s="21" t="str">
        <f>_xlfn.XLOOKUP(A:A,[1]TAGS!$A:$A,[1]TAGS!$BG:$BG)</f>
        <v>Não Montado</v>
      </c>
      <c r="AM855" s="22"/>
      <c r="AN855" s="22"/>
      <c r="AO855" s="21" t="str">
        <f>_xlfn.XLOOKUP(A:A,[1]TAGS!$A:$A,[1]TAGS!$BG:$BG)</f>
        <v>Não Montado</v>
      </c>
      <c r="AP855" s="21"/>
      <c r="AQ855" s="21"/>
      <c r="AR855" s="21"/>
      <c r="AS855" s="21"/>
      <c r="AT855" s="21"/>
      <c r="AU855" s="21" t="s">
        <v>2821</v>
      </c>
    </row>
    <row r="856" spans="1:47" x14ac:dyDescent="0.35">
      <c r="A856" t="s">
        <v>2825</v>
      </c>
      <c r="B856" t="s">
        <v>52</v>
      </c>
      <c r="Y856" s="21" t="s">
        <v>463</v>
      </c>
      <c r="Z856" s="21" t="s">
        <v>464</v>
      </c>
      <c r="AA856" s="21"/>
      <c r="AB856" s="21">
        <v>1</v>
      </c>
      <c r="AC856" s="21">
        <v>39</v>
      </c>
      <c r="AD856" s="21">
        <v>8690598</v>
      </c>
      <c r="AE856" s="21">
        <v>11849760</v>
      </c>
      <c r="AF856" s="21">
        <v>100584</v>
      </c>
      <c r="AG856" s="21" t="s">
        <v>2825</v>
      </c>
      <c r="AH856" s="21"/>
      <c r="AI856" s="21"/>
      <c r="AJ856" s="22"/>
      <c r="AK856" s="22"/>
      <c r="AL856" s="21" t="str">
        <f>_xlfn.XLOOKUP(A:A,[1]TAGS!$A:$A,[1]TAGS!$BG:$BG)</f>
        <v>Não Montado</v>
      </c>
      <c r="AM856" s="22"/>
      <c r="AN856" s="22"/>
      <c r="AO856" s="21" t="str">
        <f>_xlfn.XLOOKUP(A:A,[1]TAGS!$A:$A,[1]TAGS!$BG:$BG)</f>
        <v>Não Montado</v>
      </c>
      <c r="AP856" s="21"/>
      <c r="AQ856" s="21"/>
      <c r="AR856" s="21"/>
      <c r="AS856" s="21"/>
      <c r="AT856" s="21"/>
      <c r="AU856" s="21" t="s">
        <v>2821</v>
      </c>
    </row>
    <row r="857" spans="1:47" x14ac:dyDescent="0.35">
      <c r="A857" t="s">
        <v>2826</v>
      </c>
      <c r="B857" t="s">
        <v>52</v>
      </c>
      <c r="Y857" s="21" t="s">
        <v>463</v>
      </c>
      <c r="Z857" s="21" t="s">
        <v>548</v>
      </c>
      <c r="AA857" s="21"/>
      <c r="AB857" s="21">
        <v>2</v>
      </c>
      <c r="AC857" s="21">
        <v>21</v>
      </c>
      <c r="AD857" s="21">
        <v>8602340</v>
      </c>
      <c r="AE857" s="21">
        <v>11819500</v>
      </c>
      <c r="AF857" s="21">
        <v>100371</v>
      </c>
      <c r="AG857" s="21" t="s">
        <v>2826</v>
      </c>
      <c r="AH857" s="21"/>
      <c r="AI857" s="21"/>
      <c r="AJ857" s="22"/>
      <c r="AK857" s="22"/>
      <c r="AL857" s="21" t="str">
        <f>_xlfn.XLOOKUP(A:A,[1]TAGS!$A:$A,[1]TAGS!$BG:$BG)</f>
        <v>Não Montado</v>
      </c>
      <c r="AM857" s="22"/>
      <c r="AN857" s="22"/>
      <c r="AO857" s="21" t="str">
        <f>_xlfn.XLOOKUP(A:A,[1]TAGS!$A:$A,[1]TAGS!$BG:$BG)</f>
        <v>Não Montado</v>
      </c>
      <c r="AP857" s="21"/>
      <c r="AQ857" s="21"/>
      <c r="AR857" s="21"/>
      <c r="AS857" s="21"/>
      <c r="AT857" s="21"/>
      <c r="AU857" s="21" t="s">
        <v>2821</v>
      </c>
    </row>
    <row r="858" spans="1:47" x14ac:dyDescent="0.35">
      <c r="A858" t="s">
        <v>2827</v>
      </c>
      <c r="B858" t="s">
        <v>52</v>
      </c>
      <c r="Y858" s="21" t="s">
        <v>463</v>
      </c>
      <c r="Z858" s="21" t="s">
        <v>548</v>
      </c>
      <c r="AA858" s="21"/>
      <c r="AB858" s="21">
        <v>7</v>
      </c>
      <c r="AC858" s="21">
        <v>206</v>
      </c>
      <c r="AD858" s="21"/>
      <c r="AE858" s="21"/>
      <c r="AF858" s="21"/>
      <c r="AG858" s="21" t="s">
        <v>2827</v>
      </c>
      <c r="AH858" s="21"/>
      <c r="AI858" s="21"/>
      <c r="AJ858" s="22"/>
      <c r="AK858" s="22"/>
      <c r="AL858" s="21" t="str">
        <f>_xlfn.XLOOKUP(A:A,[1]TAGS!$A:$A,[1]TAGS!$BG:$BG)</f>
        <v>Não Montado</v>
      </c>
      <c r="AM858" s="22"/>
      <c r="AN858" s="22"/>
      <c r="AO858" s="21" t="str">
        <f>_xlfn.XLOOKUP(A:A,[1]TAGS!$A:$A,[1]TAGS!$BG:$BG)</f>
        <v>Não Montado</v>
      </c>
      <c r="AP858" s="21"/>
      <c r="AQ858" s="21"/>
      <c r="AR858" s="21"/>
      <c r="AS858" s="21"/>
      <c r="AT858" s="21"/>
      <c r="AU858" s="21" t="s">
        <v>2821</v>
      </c>
    </row>
    <row r="859" spans="1:47" x14ac:dyDescent="0.35">
      <c r="A859" t="s">
        <v>2828</v>
      </c>
      <c r="B859" t="s">
        <v>52</v>
      </c>
      <c r="Y859" s="21" t="s">
        <v>463</v>
      </c>
      <c r="Z859" s="21" t="s">
        <v>548</v>
      </c>
      <c r="AA859" s="21"/>
      <c r="AB859" s="21">
        <v>8</v>
      </c>
      <c r="AC859" s="21">
        <v>207</v>
      </c>
      <c r="AD859" s="21"/>
      <c r="AE859" s="21"/>
      <c r="AF859" s="21"/>
      <c r="AG859" s="21" t="s">
        <v>2828</v>
      </c>
      <c r="AH859" s="21"/>
      <c r="AI859" s="21"/>
      <c r="AJ859" s="22"/>
      <c r="AK859" s="22"/>
      <c r="AL859" s="21" t="str">
        <f>_xlfn.XLOOKUP(A:A,[1]TAGS!$A:$A,[1]TAGS!$BG:$BG)</f>
        <v>Não Montado</v>
      </c>
      <c r="AM859" s="22"/>
      <c r="AN859" s="22"/>
      <c r="AO859" s="21" t="str">
        <f>_xlfn.XLOOKUP(A:A,[1]TAGS!$A:$A,[1]TAGS!$BG:$BG)</f>
        <v>Não Montado</v>
      </c>
      <c r="AP859" s="21"/>
      <c r="AQ859" s="21"/>
      <c r="AR859" s="21"/>
      <c r="AS859" s="21"/>
      <c r="AT859" s="21"/>
      <c r="AU859" s="21" t="s">
        <v>2821</v>
      </c>
    </row>
    <row r="860" spans="1:47" x14ac:dyDescent="0.35">
      <c r="A860" t="s">
        <v>2829</v>
      </c>
      <c r="B860" t="s">
        <v>52</v>
      </c>
      <c r="Y860" s="21" t="s">
        <v>463</v>
      </c>
      <c r="Z860" s="21" t="s">
        <v>573</v>
      </c>
      <c r="AA860" s="21"/>
      <c r="AB860" s="21">
        <v>1</v>
      </c>
      <c r="AC860" s="21">
        <v>49</v>
      </c>
      <c r="AD860" s="21">
        <v>8572539</v>
      </c>
      <c r="AE860" s="21">
        <v>11768720</v>
      </c>
      <c r="AF860" s="21">
        <v>105900</v>
      </c>
      <c r="AG860" s="21" t="s">
        <v>2829</v>
      </c>
      <c r="AH860" s="21"/>
      <c r="AI860" s="21"/>
      <c r="AJ860" s="22"/>
      <c r="AK860" s="22"/>
      <c r="AL860" s="21" t="str">
        <f>_xlfn.XLOOKUP(A:A,[1]TAGS!$A:$A,[1]TAGS!$BG:$BG)</f>
        <v>Não Montado</v>
      </c>
      <c r="AM860" s="22"/>
      <c r="AN860" s="22"/>
      <c r="AO860" s="21" t="str">
        <f>_xlfn.XLOOKUP(A:A,[1]TAGS!$A:$A,[1]TAGS!$BG:$BG)</f>
        <v>Não Montado</v>
      </c>
      <c r="AP860" s="21"/>
      <c r="AQ860" s="21"/>
      <c r="AR860" s="21"/>
      <c r="AS860" s="21"/>
      <c r="AT860" s="21"/>
      <c r="AU860" s="21" t="s">
        <v>2821</v>
      </c>
    </row>
    <row r="861" spans="1:47" x14ac:dyDescent="0.35">
      <c r="A861" t="s">
        <v>2830</v>
      </c>
      <c r="B861" t="s">
        <v>52</v>
      </c>
      <c r="Y861" s="21" t="s">
        <v>463</v>
      </c>
      <c r="Z861" s="21" t="s">
        <v>573</v>
      </c>
      <c r="AA861" s="21"/>
      <c r="AB861" s="21">
        <v>4</v>
      </c>
      <c r="AC861" s="21">
        <v>113</v>
      </c>
      <c r="AD861" s="21">
        <v>8569789</v>
      </c>
      <c r="AE861" s="21">
        <v>11763600</v>
      </c>
      <c r="AF861" s="21">
        <v>125066</v>
      </c>
      <c r="AG861" s="21" t="s">
        <v>2830</v>
      </c>
      <c r="AH861" s="21"/>
      <c r="AI861" s="21"/>
      <c r="AJ861" s="22"/>
      <c r="AK861" s="22"/>
      <c r="AL861" s="21" t="str">
        <f>_xlfn.XLOOKUP(A:A,[1]TAGS!$A:$A,[1]TAGS!$BG:$BG)</f>
        <v>Não Montado</v>
      </c>
      <c r="AM861" s="22"/>
      <c r="AN861" s="22"/>
      <c r="AO861" s="21" t="str">
        <f>_xlfn.XLOOKUP(A:A,[1]TAGS!$A:$A,[1]TAGS!$BG:$BG)</f>
        <v>Não Montado</v>
      </c>
      <c r="AP861" s="21"/>
      <c r="AQ861" s="21"/>
      <c r="AR861" s="21"/>
      <c r="AS861" s="21"/>
      <c r="AT861" s="21"/>
      <c r="AU861" s="21" t="s">
        <v>2821</v>
      </c>
    </row>
    <row r="862" spans="1:47" x14ac:dyDescent="0.35">
      <c r="A862" t="s">
        <v>2831</v>
      </c>
      <c r="B862" t="s">
        <v>52</v>
      </c>
      <c r="Y862" s="21" t="s">
        <v>463</v>
      </c>
      <c r="Z862" s="21" t="s">
        <v>573</v>
      </c>
      <c r="AA862" s="21"/>
      <c r="AB862" s="21">
        <v>5</v>
      </c>
      <c r="AC862" s="21">
        <v>111</v>
      </c>
      <c r="AD862" s="21">
        <v>8570198</v>
      </c>
      <c r="AE862" s="21">
        <v>11768730</v>
      </c>
      <c r="AF862" s="21">
        <v>124974</v>
      </c>
      <c r="AG862" s="21" t="s">
        <v>2831</v>
      </c>
      <c r="AH862" s="21"/>
      <c r="AI862" s="21"/>
      <c r="AJ862" s="22"/>
      <c r="AK862" s="22"/>
      <c r="AL862" s="21" t="str">
        <f>_xlfn.XLOOKUP(A:A,[1]TAGS!$A:$A,[1]TAGS!$BG:$BG)</f>
        <v>Não Montado</v>
      </c>
      <c r="AM862" s="22"/>
      <c r="AN862" s="22"/>
      <c r="AO862" s="21" t="str">
        <f>_xlfn.XLOOKUP(A:A,[1]TAGS!$A:$A,[1]TAGS!$BG:$BG)</f>
        <v>Não Montado</v>
      </c>
      <c r="AP862" s="21"/>
      <c r="AQ862" s="21"/>
      <c r="AR862" s="21"/>
      <c r="AS862" s="21"/>
      <c r="AT862" s="21"/>
      <c r="AU862" s="21" t="s">
        <v>2821</v>
      </c>
    </row>
    <row r="863" spans="1:47" x14ac:dyDescent="0.35">
      <c r="A863" t="s">
        <v>2832</v>
      </c>
      <c r="B863" t="s">
        <v>52</v>
      </c>
      <c r="Y863" s="21" t="s">
        <v>463</v>
      </c>
      <c r="Z863" s="21" t="s">
        <v>573</v>
      </c>
      <c r="AA863" s="21"/>
      <c r="AB863" s="21">
        <v>9</v>
      </c>
      <c r="AC863" s="21">
        <v>110</v>
      </c>
      <c r="AD863" s="21">
        <v>8553562</v>
      </c>
      <c r="AE863" s="21">
        <v>11758800</v>
      </c>
      <c r="AF863" s="21">
        <v>105900</v>
      </c>
      <c r="AG863" s="21" t="s">
        <v>2832</v>
      </c>
      <c r="AH863" s="21"/>
      <c r="AI863" s="21"/>
      <c r="AJ863" s="22"/>
      <c r="AK863" s="22"/>
      <c r="AL863" s="21" t="str">
        <f>_xlfn.XLOOKUP(A:A,[1]TAGS!$A:$A,[1]TAGS!$BG:$BG)</f>
        <v>Não Montado</v>
      </c>
      <c r="AM863" s="22"/>
      <c r="AN863" s="22"/>
      <c r="AO863" s="21" t="str">
        <f>_xlfn.XLOOKUP(A:A,[1]TAGS!$A:$A,[1]TAGS!$BG:$BG)</f>
        <v>Não Montado</v>
      </c>
      <c r="AP863" s="21"/>
      <c r="AQ863" s="21"/>
      <c r="AR863" s="21"/>
      <c r="AS863" s="21"/>
      <c r="AT863" s="21"/>
      <c r="AU863" s="21" t="s">
        <v>2821</v>
      </c>
    </row>
    <row r="864" spans="1:47" x14ac:dyDescent="0.35">
      <c r="A864" t="s">
        <v>2833</v>
      </c>
      <c r="B864" t="s">
        <v>52</v>
      </c>
      <c r="Y864" s="21" t="s">
        <v>463</v>
      </c>
      <c r="Z864" s="21" t="s">
        <v>573</v>
      </c>
      <c r="AA864" s="21"/>
      <c r="AB864" s="21">
        <v>10</v>
      </c>
      <c r="AC864" s="21">
        <v>221</v>
      </c>
      <c r="AD864" s="21">
        <v>8669523</v>
      </c>
      <c r="AE864" s="21">
        <v>11769124</v>
      </c>
      <c r="AF864" s="21">
        <v>105616</v>
      </c>
      <c r="AG864" s="21" t="s">
        <v>2833</v>
      </c>
      <c r="AH864" s="21"/>
      <c r="AI864" s="21"/>
      <c r="AJ864" s="22"/>
      <c r="AK864" s="22"/>
      <c r="AL864" s="21" t="e">
        <f>_xlfn.XLOOKUP(A:A,[1]TAGS!$A:$A,[1]TAGS!$BG:$BG)</f>
        <v>#N/A</v>
      </c>
      <c r="AM864" s="22"/>
      <c r="AN864" s="22"/>
      <c r="AO864" s="21" t="e">
        <f>_xlfn.XLOOKUP(A:A,[1]TAGS!$A:$A,[1]TAGS!$BG:$BG)</f>
        <v>#N/A</v>
      </c>
      <c r="AP864" s="21"/>
      <c r="AQ864" s="21"/>
      <c r="AR864" s="21"/>
      <c r="AS864" s="21"/>
      <c r="AT864" s="21"/>
      <c r="AU864" s="21" t="s">
        <v>2821</v>
      </c>
    </row>
    <row r="865" spans="1:47" x14ac:dyDescent="0.35">
      <c r="A865" t="s">
        <v>2834</v>
      </c>
      <c r="B865" t="s">
        <v>52</v>
      </c>
      <c r="Y865" s="21" t="s">
        <v>463</v>
      </c>
      <c r="Z865" s="21" t="s">
        <v>532</v>
      </c>
      <c r="AA865" s="21"/>
      <c r="AB865" s="21">
        <v>9</v>
      </c>
      <c r="AC865" s="21">
        <v>208</v>
      </c>
      <c r="AD865" s="21"/>
      <c r="AE865" s="21"/>
      <c r="AF865" s="21"/>
      <c r="AG865" s="21" t="s">
        <v>2834</v>
      </c>
      <c r="AH865" s="21"/>
      <c r="AI865" s="21"/>
      <c r="AJ865" s="22"/>
      <c r="AK865" s="22"/>
      <c r="AL865" s="21" t="str">
        <f>_xlfn.XLOOKUP(A:A,[1]TAGS!$A:$A,[1]TAGS!$BG:$BG)</f>
        <v>Não Montado</v>
      </c>
      <c r="AM865" s="22"/>
      <c r="AN865" s="22"/>
      <c r="AO865" s="21" t="str">
        <f>_xlfn.XLOOKUP(A:A,[1]TAGS!$A:$A,[1]TAGS!$BG:$BG)</f>
        <v>Não Montado</v>
      </c>
      <c r="AP865" s="21"/>
      <c r="AQ865" s="21"/>
      <c r="AR865" s="21"/>
      <c r="AS865" s="21"/>
      <c r="AT865" s="21"/>
      <c r="AU865" s="21" t="s">
        <v>2821</v>
      </c>
    </row>
    <row r="866" spans="1:47" x14ac:dyDescent="0.35">
      <c r="A866" t="s">
        <v>2835</v>
      </c>
      <c r="B866" t="s">
        <v>52</v>
      </c>
      <c r="Y866" s="21" t="s">
        <v>463</v>
      </c>
      <c r="Z866" s="21" t="s">
        <v>532</v>
      </c>
      <c r="AA866" s="21"/>
      <c r="AB866" s="21">
        <v>10</v>
      </c>
      <c r="AC866" s="21">
        <v>209</v>
      </c>
      <c r="AD866" s="21"/>
      <c r="AE866" s="21"/>
      <c r="AF866" s="21"/>
      <c r="AG866" s="21" t="s">
        <v>2835</v>
      </c>
      <c r="AH866" s="21"/>
      <c r="AI866" s="21"/>
      <c r="AJ866" s="22"/>
      <c r="AK866" s="22"/>
      <c r="AL866" s="21" t="str">
        <f>_xlfn.XLOOKUP(A:A,[1]TAGS!$A:$A,[1]TAGS!$BG:$BG)</f>
        <v>Não Montado</v>
      </c>
      <c r="AM866" s="22"/>
      <c r="AN866" s="22"/>
      <c r="AO866" s="21" t="str">
        <f>_xlfn.XLOOKUP(A:A,[1]TAGS!$A:$A,[1]TAGS!$BG:$BG)</f>
        <v>Não Montado</v>
      </c>
      <c r="AP866" s="21"/>
      <c r="AQ866" s="21"/>
      <c r="AR866" s="21"/>
      <c r="AS866" s="21"/>
      <c r="AT866" s="21"/>
      <c r="AU866" s="21" t="s">
        <v>2821</v>
      </c>
    </row>
    <row r="867" spans="1:47" x14ac:dyDescent="0.35">
      <c r="A867" t="s">
        <v>2836</v>
      </c>
      <c r="B867" t="s">
        <v>52</v>
      </c>
      <c r="Y867" s="21" t="s">
        <v>463</v>
      </c>
      <c r="Z867" s="21" t="s">
        <v>563</v>
      </c>
      <c r="AA867" s="21"/>
      <c r="AB867" s="21">
        <v>8</v>
      </c>
      <c r="AC867" s="21">
        <v>205</v>
      </c>
      <c r="AD867" s="21"/>
      <c r="AE867" s="21"/>
      <c r="AF867" s="21"/>
      <c r="AG867" s="21" t="s">
        <v>2836</v>
      </c>
      <c r="AH867" s="21"/>
      <c r="AI867" s="21"/>
      <c r="AJ867" s="22"/>
      <c r="AK867" s="22"/>
      <c r="AL867" s="21" t="str">
        <f>_xlfn.XLOOKUP(A:A,[1]TAGS!$A:$A,[1]TAGS!$BG:$BG)</f>
        <v>Não Montado</v>
      </c>
      <c r="AM867" s="22"/>
      <c r="AN867" s="22"/>
      <c r="AO867" s="21" t="str">
        <f>_xlfn.XLOOKUP(A:A,[1]TAGS!$A:$A,[1]TAGS!$BG:$BG)</f>
        <v>Não Montado</v>
      </c>
      <c r="AP867" s="21"/>
      <c r="AQ867" s="21"/>
      <c r="AR867" s="21"/>
      <c r="AS867" s="21"/>
      <c r="AT867" s="21"/>
      <c r="AU867" s="21" t="s">
        <v>2821</v>
      </c>
    </row>
    <row r="868" spans="1:47" x14ac:dyDescent="0.35">
      <c r="A868" t="s">
        <v>2837</v>
      </c>
      <c r="B868" t="s">
        <v>52</v>
      </c>
      <c r="Y868" s="21" t="s">
        <v>463</v>
      </c>
      <c r="Z868" s="21" t="s">
        <v>583</v>
      </c>
      <c r="AA868" s="21"/>
      <c r="AB868" s="21">
        <v>6</v>
      </c>
      <c r="AC868" s="21">
        <v>210</v>
      </c>
      <c r="AD868" s="21"/>
      <c r="AE868" s="21"/>
      <c r="AF868" s="21"/>
      <c r="AG868" s="21" t="s">
        <v>2837</v>
      </c>
      <c r="AH868" s="21"/>
      <c r="AI868" s="21"/>
      <c r="AJ868" s="22"/>
      <c r="AK868" s="22"/>
      <c r="AL868" s="21" t="str">
        <f>_xlfn.XLOOKUP(A:A,[1]TAGS!$A:$A,[1]TAGS!$BG:$BG)</f>
        <v>Não Montado</v>
      </c>
      <c r="AM868" s="22"/>
      <c r="AN868" s="22"/>
      <c r="AO868" s="21" t="str">
        <f>_xlfn.XLOOKUP(A:A,[1]TAGS!$A:$A,[1]TAGS!$BG:$BG)</f>
        <v>Não Montado</v>
      </c>
      <c r="AP868" s="21"/>
      <c r="AQ868" s="21"/>
      <c r="AR868" s="21"/>
      <c r="AS868" s="21"/>
      <c r="AT868" s="21"/>
      <c r="AU868" s="21" t="s">
        <v>2821</v>
      </c>
    </row>
    <row r="869" spans="1:47" x14ac:dyDescent="0.35">
      <c r="A869" t="s">
        <v>2838</v>
      </c>
      <c r="B869" t="s">
        <v>52</v>
      </c>
      <c r="Y869" s="21" t="s">
        <v>463</v>
      </c>
      <c r="Z869" s="21" t="s">
        <v>583</v>
      </c>
      <c r="AA869" s="21"/>
      <c r="AB869" s="21">
        <v>7</v>
      </c>
      <c r="AC869" s="21">
        <v>211</v>
      </c>
      <c r="AD869" s="21"/>
      <c r="AE869" s="21"/>
      <c r="AF869" s="21"/>
      <c r="AG869" s="21" t="s">
        <v>2838</v>
      </c>
      <c r="AH869" s="21"/>
      <c r="AI869" s="21"/>
      <c r="AJ869" s="22"/>
      <c r="AK869" s="22"/>
      <c r="AL869" s="21" t="str">
        <f>_xlfn.XLOOKUP(A:A,[1]TAGS!$A:$A,[1]TAGS!$BG:$BG)</f>
        <v>Não Montado</v>
      </c>
      <c r="AM869" s="22"/>
      <c r="AN869" s="22"/>
      <c r="AO869" s="21" t="str">
        <f>_xlfn.XLOOKUP(A:A,[1]TAGS!$A:$A,[1]TAGS!$BG:$BG)</f>
        <v>Não Montado</v>
      </c>
      <c r="AP869" s="21"/>
      <c r="AQ869" s="21"/>
      <c r="AR869" s="21"/>
      <c r="AS869" s="21"/>
      <c r="AT869" s="21"/>
      <c r="AU869" s="21" t="s">
        <v>2821</v>
      </c>
    </row>
    <row r="870" spans="1:47" x14ac:dyDescent="0.35">
      <c r="A870" t="s">
        <v>2839</v>
      </c>
      <c r="B870" t="s">
        <v>52</v>
      </c>
      <c r="Y870" s="21" t="s">
        <v>463</v>
      </c>
      <c r="Z870" s="21" t="s">
        <v>602</v>
      </c>
      <c r="AA870" s="21"/>
      <c r="AB870" s="21">
        <v>2</v>
      </c>
      <c r="AC870" s="21">
        <v>55</v>
      </c>
      <c r="AD870" s="21">
        <v>8577070</v>
      </c>
      <c r="AE870" s="21">
        <v>11713870</v>
      </c>
      <c r="AF870" s="21">
        <v>100658</v>
      </c>
      <c r="AG870" s="21" t="s">
        <v>2839</v>
      </c>
      <c r="AH870" s="21"/>
      <c r="AI870" s="21"/>
      <c r="AJ870" s="22"/>
      <c r="AK870" s="22"/>
      <c r="AL870" s="21" t="str">
        <f>_xlfn.XLOOKUP(A:A,[1]TAGS!$A:$A,[1]TAGS!$BG:$BG)</f>
        <v>Não Montado</v>
      </c>
      <c r="AM870" s="22"/>
      <c r="AN870" s="22"/>
      <c r="AO870" s="21" t="str">
        <f>_xlfn.XLOOKUP(A:A,[1]TAGS!$A:$A,[1]TAGS!$BG:$BG)</f>
        <v>Não Montado</v>
      </c>
      <c r="AP870" s="21"/>
      <c r="AQ870" s="21"/>
      <c r="AR870" s="21"/>
      <c r="AS870" s="21"/>
      <c r="AT870" s="21"/>
      <c r="AU870" s="21" t="s">
        <v>2821</v>
      </c>
    </row>
    <row r="871" spans="1:47" x14ac:dyDescent="0.35">
      <c r="A871" t="s">
        <v>2840</v>
      </c>
      <c r="B871" t="s">
        <v>52</v>
      </c>
      <c r="Y871" s="21" t="s">
        <v>463</v>
      </c>
      <c r="Z871" s="21" t="s">
        <v>897</v>
      </c>
      <c r="AA871" s="21"/>
      <c r="AB871" s="21">
        <v>6</v>
      </c>
      <c r="AC871" s="21">
        <v>31</v>
      </c>
      <c r="AD871" s="21">
        <v>8591530</v>
      </c>
      <c r="AE871" s="21">
        <v>11876400</v>
      </c>
      <c r="AF871" s="21">
        <v>101402</v>
      </c>
      <c r="AG871" s="21" t="s">
        <v>2840</v>
      </c>
      <c r="AH871" s="21"/>
      <c r="AI871" s="21"/>
      <c r="AJ871" s="22"/>
      <c r="AK871" s="22"/>
      <c r="AL871" s="21" t="str">
        <f>_xlfn.XLOOKUP(A:A,[1]TAGS!$A:$A,[1]TAGS!$BG:$BG)</f>
        <v>Não Montado</v>
      </c>
      <c r="AM871" s="22"/>
      <c r="AN871" s="22"/>
      <c r="AO871" s="21" t="str">
        <f>_xlfn.XLOOKUP(A:A,[1]TAGS!$A:$A,[1]TAGS!$BG:$BG)</f>
        <v>Não Montado</v>
      </c>
      <c r="AP871" s="21"/>
      <c r="AQ871" s="21"/>
      <c r="AR871" s="21"/>
      <c r="AS871" s="21"/>
      <c r="AT871" s="21"/>
      <c r="AU871" s="21" t="s">
        <v>2821</v>
      </c>
    </row>
    <row r="872" spans="1:47" x14ac:dyDescent="0.35">
      <c r="A872" t="s">
        <v>2841</v>
      </c>
      <c r="B872" t="s">
        <v>52</v>
      </c>
      <c r="Y872" s="21" t="s">
        <v>463</v>
      </c>
      <c r="Z872" s="21" t="s">
        <v>502</v>
      </c>
      <c r="AA872" s="21"/>
      <c r="AB872" s="21">
        <v>4</v>
      </c>
      <c r="AC872" s="21">
        <v>20</v>
      </c>
      <c r="AD872" s="21">
        <v>8602340</v>
      </c>
      <c r="AE872" s="21">
        <v>11828620</v>
      </c>
      <c r="AF872" s="21">
        <v>100451</v>
      </c>
      <c r="AG872" s="21" t="s">
        <v>2841</v>
      </c>
      <c r="AH872" s="21"/>
      <c r="AI872" s="21"/>
      <c r="AJ872" s="22"/>
      <c r="AK872" s="22"/>
      <c r="AL872" s="21" t="str">
        <f>_xlfn.XLOOKUP(A:A,[1]TAGS!$A:$A,[1]TAGS!$BG:$BG)</f>
        <v>Não Montado</v>
      </c>
      <c r="AM872" s="22"/>
      <c r="AN872" s="22"/>
      <c r="AO872" s="21" t="str">
        <f>_xlfn.XLOOKUP(A:A,[1]TAGS!$A:$A,[1]TAGS!$BG:$BG)</f>
        <v>Não Montado</v>
      </c>
      <c r="AP872" s="21"/>
      <c r="AQ872" s="21"/>
      <c r="AR872" s="21"/>
      <c r="AS872" s="21"/>
      <c r="AT872" s="21"/>
      <c r="AU872" s="21" t="s">
        <v>2821</v>
      </c>
    </row>
    <row r="873" spans="1:47" x14ac:dyDescent="0.35">
      <c r="A873" t="s">
        <v>2842</v>
      </c>
      <c r="B873" t="s">
        <v>52</v>
      </c>
      <c r="Y873" s="21" t="s">
        <v>463</v>
      </c>
      <c r="Z873" s="21" t="s">
        <v>502</v>
      </c>
      <c r="AA873" s="21"/>
      <c r="AB873" s="21">
        <v>6</v>
      </c>
      <c r="AC873" s="21">
        <v>33</v>
      </c>
      <c r="AD873" s="21">
        <v>8591488</v>
      </c>
      <c r="AE873" s="21">
        <v>11832750</v>
      </c>
      <c r="AF873" s="21">
        <v>100665</v>
      </c>
      <c r="AG873" s="21" t="s">
        <v>2842</v>
      </c>
      <c r="AH873" s="21"/>
      <c r="AI873" s="21"/>
      <c r="AJ873" s="22"/>
      <c r="AK873" s="22"/>
      <c r="AL873" s="21" t="str">
        <f>_xlfn.XLOOKUP(A:A,[1]TAGS!$A:$A,[1]TAGS!$BG:$BG)</f>
        <v>Não Montado</v>
      </c>
      <c r="AM873" s="22"/>
      <c r="AN873" s="22"/>
      <c r="AO873" s="21" t="str">
        <f>_xlfn.XLOOKUP(A:A,[1]TAGS!$A:$A,[1]TAGS!$BG:$BG)</f>
        <v>Não Montado</v>
      </c>
      <c r="AP873" s="21"/>
      <c r="AQ873" s="21"/>
      <c r="AR873" s="21"/>
      <c r="AS873" s="21"/>
      <c r="AT873" s="21"/>
      <c r="AU873" s="21" t="s">
        <v>2821</v>
      </c>
    </row>
    <row r="874" spans="1:47" x14ac:dyDescent="0.35">
      <c r="A874" t="s">
        <v>2843</v>
      </c>
      <c r="B874" t="s">
        <v>52</v>
      </c>
      <c r="Y874" s="21" t="s">
        <v>463</v>
      </c>
      <c r="Z874" s="21" t="s">
        <v>2785</v>
      </c>
      <c r="AA874" s="21"/>
      <c r="AB874" s="21">
        <v>1</v>
      </c>
      <c r="AC874" s="21">
        <v>212</v>
      </c>
      <c r="AD874" s="21"/>
      <c r="AE874" s="21"/>
      <c r="AF874" s="21"/>
      <c r="AG874" s="21" t="s">
        <v>2843</v>
      </c>
      <c r="AH874" s="21"/>
      <c r="AI874" s="21"/>
      <c r="AJ874" s="22"/>
      <c r="AK874" s="22"/>
      <c r="AL874" s="21" t="str">
        <f>_xlfn.XLOOKUP(A:A,[1]TAGS!$A:$A,[1]TAGS!$BG:$BG)</f>
        <v>Não Montado</v>
      </c>
      <c r="AM874" s="22"/>
      <c r="AN874" s="22"/>
      <c r="AO874" s="21" t="str">
        <f>_xlfn.XLOOKUP(A:A,[1]TAGS!$A:$A,[1]TAGS!$BG:$BG)</f>
        <v>Não Montado</v>
      </c>
      <c r="AP874" s="21"/>
      <c r="AQ874" s="21"/>
      <c r="AR874" s="21"/>
      <c r="AS874" s="21"/>
      <c r="AT874" s="21"/>
      <c r="AU874" s="21" t="s">
        <v>2821</v>
      </c>
    </row>
    <row r="875" spans="1:47" x14ac:dyDescent="0.35">
      <c r="A875" t="s">
        <v>2844</v>
      </c>
      <c r="B875" t="s">
        <v>52</v>
      </c>
      <c r="Y875" s="21" t="s">
        <v>463</v>
      </c>
      <c r="Z875" s="21" t="s">
        <v>2785</v>
      </c>
      <c r="AA875" s="21"/>
      <c r="AB875" s="21">
        <v>2</v>
      </c>
      <c r="AC875" s="21">
        <v>213</v>
      </c>
      <c r="AD875" s="21"/>
      <c r="AE875" s="21"/>
      <c r="AF875" s="21"/>
      <c r="AG875" s="21" t="s">
        <v>2844</v>
      </c>
      <c r="AH875" s="21"/>
      <c r="AI875" s="21"/>
      <c r="AJ875" s="22"/>
      <c r="AK875" s="22"/>
      <c r="AL875" s="21" t="str">
        <f>_xlfn.XLOOKUP(A:A,[1]TAGS!$A:$A,[1]TAGS!$BG:$BG)</f>
        <v>Não Montado</v>
      </c>
      <c r="AM875" s="22"/>
      <c r="AN875" s="22"/>
      <c r="AO875" s="21" t="str">
        <f>_xlfn.XLOOKUP(A:A,[1]TAGS!$A:$A,[1]TAGS!$BG:$BG)</f>
        <v>Não Montado</v>
      </c>
      <c r="AP875" s="21"/>
      <c r="AQ875" s="21"/>
      <c r="AR875" s="21"/>
      <c r="AS875" s="21"/>
      <c r="AT875" s="21"/>
      <c r="AU875" s="21" t="s">
        <v>2821</v>
      </c>
    </row>
    <row r="876" spans="1:47" x14ac:dyDescent="0.35">
      <c r="A876" t="s">
        <v>2845</v>
      </c>
      <c r="B876" t="s">
        <v>52</v>
      </c>
      <c r="Y876" s="21" t="s">
        <v>463</v>
      </c>
      <c r="Z876" s="21" t="s">
        <v>2812</v>
      </c>
      <c r="AA876" s="21"/>
      <c r="AB876" s="21">
        <v>1</v>
      </c>
      <c r="AC876" s="21">
        <v>218</v>
      </c>
      <c r="AD876" s="21">
        <v>8679110</v>
      </c>
      <c r="AE876" s="21">
        <v>11768875</v>
      </c>
      <c r="AF876" s="21">
        <v>125060</v>
      </c>
      <c r="AG876" s="21" t="s">
        <v>2845</v>
      </c>
      <c r="AH876" s="21"/>
      <c r="AI876" s="21"/>
      <c r="AJ876" s="22"/>
      <c r="AK876" s="22"/>
      <c r="AL876" s="21" t="e">
        <f>_xlfn.XLOOKUP(A:A,[1]TAGS!$A:$A,[1]TAGS!$BG:$BG)</f>
        <v>#N/A</v>
      </c>
      <c r="AM876" s="22"/>
      <c r="AN876" s="22"/>
      <c r="AO876" s="21" t="e">
        <f>_xlfn.XLOOKUP(A:A,[1]TAGS!$A:$A,[1]TAGS!$BG:$BG)</f>
        <v>#N/A</v>
      </c>
      <c r="AP876" s="21"/>
      <c r="AQ876" s="21"/>
      <c r="AR876" s="21"/>
      <c r="AS876" s="21"/>
      <c r="AT876" s="21"/>
      <c r="AU876" s="21" t="s">
        <v>2821</v>
      </c>
    </row>
    <row r="877" spans="1:47" x14ac:dyDescent="0.35">
      <c r="A877" t="s">
        <v>2846</v>
      </c>
      <c r="B877" t="s">
        <v>52</v>
      </c>
      <c r="Y877" s="21" t="s">
        <v>463</v>
      </c>
      <c r="Z877" s="21" t="s">
        <v>2812</v>
      </c>
      <c r="AA877" s="21"/>
      <c r="AB877" s="21">
        <v>2</v>
      </c>
      <c r="AC877" s="21">
        <v>219</v>
      </c>
      <c r="AD877" s="21">
        <v>8676006</v>
      </c>
      <c r="AE877" s="21">
        <v>11763946</v>
      </c>
      <c r="AF877" s="21">
        <v>124928</v>
      </c>
      <c r="AG877" s="21" t="s">
        <v>2846</v>
      </c>
      <c r="AH877" s="21"/>
      <c r="AI877" s="21"/>
      <c r="AJ877" s="22"/>
      <c r="AK877" s="22"/>
      <c r="AL877" s="21" t="e">
        <f>_xlfn.XLOOKUP(A:A,[1]TAGS!$A:$A,[1]TAGS!$BG:$BG)</f>
        <v>#N/A</v>
      </c>
      <c r="AM877" s="22"/>
      <c r="AN877" s="22"/>
      <c r="AO877" s="21" t="e">
        <f>_xlfn.XLOOKUP(A:A,[1]TAGS!$A:$A,[1]TAGS!$BG:$BG)</f>
        <v>#N/A</v>
      </c>
      <c r="AP877" s="21"/>
      <c r="AQ877" s="21"/>
      <c r="AR877" s="21"/>
      <c r="AS877" s="21"/>
      <c r="AT877" s="21"/>
      <c r="AU877" s="21" t="s">
        <v>2821</v>
      </c>
    </row>
    <row r="878" spans="1:47" x14ac:dyDescent="0.35">
      <c r="A878" t="s">
        <v>2847</v>
      </c>
      <c r="B878" t="s">
        <v>52</v>
      </c>
      <c r="Y878" s="21" t="s">
        <v>463</v>
      </c>
      <c r="Z878" s="21" t="s">
        <v>2812</v>
      </c>
      <c r="AA878" s="21"/>
      <c r="AB878" s="21">
        <v>3</v>
      </c>
      <c r="AC878" s="21">
        <v>220</v>
      </c>
      <c r="AD878" s="21">
        <v>8675064</v>
      </c>
      <c r="AE878" s="21">
        <v>11763794</v>
      </c>
      <c r="AF878" s="21">
        <v>124923</v>
      </c>
      <c r="AG878" s="21" t="s">
        <v>2847</v>
      </c>
      <c r="AH878" s="21"/>
      <c r="AI878" s="21"/>
      <c r="AJ878" s="22"/>
      <c r="AK878" s="22"/>
      <c r="AL878" s="21" t="e">
        <f>_xlfn.XLOOKUP(A:A,[1]TAGS!$A:$A,[1]TAGS!$BG:$BG)</f>
        <v>#N/A</v>
      </c>
      <c r="AM878" s="22"/>
      <c r="AN878" s="22"/>
      <c r="AO878" s="21" t="e">
        <f>_xlfn.XLOOKUP(A:A,[1]TAGS!$A:$A,[1]TAGS!$BG:$BG)</f>
        <v>#N/A</v>
      </c>
      <c r="AP878" s="21"/>
      <c r="AQ878" s="21"/>
      <c r="AR878" s="21"/>
      <c r="AS878" s="21"/>
      <c r="AT878" s="21"/>
      <c r="AU878" s="21" t="s">
        <v>2821</v>
      </c>
    </row>
    <row r="879" spans="1:47" x14ac:dyDescent="0.35">
      <c r="A879" t="s">
        <v>2848</v>
      </c>
      <c r="B879" t="s">
        <v>52</v>
      </c>
      <c r="Y879" s="21" t="s">
        <v>623</v>
      </c>
      <c r="Z879" s="21" t="s">
        <v>2148</v>
      </c>
      <c r="AA879" s="21" t="s">
        <v>625</v>
      </c>
      <c r="AB879" s="21">
        <v>2</v>
      </c>
      <c r="AC879" s="21"/>
      <c r="AD879" s="21"/>
      <c r="AE879" s="21"/>
      <c r="AF879" s="21"/>
      <c r="AG879" s="21" t="s">
        <v>2848</v>
      </c>
      <c r="AH879" s="21"/>
      <c r="AI879" s="21"/>
      <c r="AJ879" s="22"/>
      <c r="AK879" s="22"/>
      <c r="AL879" s="21" t="e">
        <f>_xlfn.XLOOKUP(A:A,[1]TAGS!$A:$A,[1]TAGS!$BG:$BG)</f>
        <v>#N/A</v>
      </c>
      <c r="AM879" s="22"/>
      <c r="AN879" s="22"/>
      <c r="AO879" s="21" t="e">
        <f>_xlfn.XLOOKUP(A:A,[1]TAGS!$A:$A,[1]TAGS!$BG:$BG)</f>
        <v>#N/A</v>
      </c>
      <c r="AP879" s="21"/>
      <c r="AQ879" s="21"/>
      <c r="AR879" s="21"/>
      <c r="AS879" s="21"/>
      <c r="AT879" s="21"/>
      <c r="AU879" s="21" t="s">
        <v>2849</v>
      </c>
    </row>
    <row r="880" spans="1:47" x14ac:dyDescent="0.35">
      <c r="A880" t="s">
        <v>2850</v>
      </c>
      <c r="B880" t="s">
        <v>52</v>
      </c>
      <c r="Y880" s="21" t="s">
        <v>623</v>
      </c>
      <c r="Z880" s="21" t="s">
        <v>2563</v>
      </c>
      <c r="AA880" s="21" t="s">
        <v>625</v>
      </c>
      <c r="AB880" s="21">
        <v>1</v>
      </c>
      <c r="AC880" s="21"/>
      <c r="AD880" s="21"/>
      <c r="AE880" s="21"/>
      <c r="AF880" s="21"/>
      <c r="AG880" s="21" t="s">
        <v>2850</v>
      </c>
      <c r="AH880" s="21"/>
      <c r="AI880" s="21"/>
      <c r="AJ880" s="22"/>
      <c r="AK880" s="22"/>
      <c r="AL880" s="21" t="e">
        <f>_xlfn.XLOOKUP(A:A,[1]TAGS!$A:$A,[1]TAGS!$BG:$BG)</f>
        <v>#N/A</v>
      </c>
      <c r="AM880" s="22"/>
      <c r="AN880" s="22"/>
      <c r="AO880" s="21" t="e">
        <f>_xlfn.XLOOKUP(A:A,[1]TAGS!$A:$A,[1]TAGS!$BG:$BG)</f>
        <v>#N/A</v>
      </c>
      <c r="AP880" s="21"/>
      <c r="AQ880" s="21"/>
      <c r="AR880" s="21"/>
      <c r="AS880" s="21"/>
      <c r="AT880" s="21"/>
      <c r="AU880" s="21" t="s">
        <v>2849</v>
      </c>
    </row>
  </sheetData>
  <autoFilter ref="A2:AU880" xr:uid="{00000000-0009-0000-0000-000000000000}"/>
  <conditionalFormatting sqref="A1:A1048576">
    <cfRule type="duplicateValues" dxfId="3" priority="1"/>
  </conditionalFormatting>
  <conditionalFormatting sqref="AJ3:AO1500">
    <cfRule type="cellIs" dxfId="2" priority="3" operator="equal">
      <formula>"Montado"</formula>
    </cfRule>
    <cfRule type="cellIs" dxfId="1" priority="4" operator="equal">
      <formula>"Em andamento"</formula>
    </cfRule>
    <cfRule type="cellIs" dxfId="0" priority="5" operator="equal">
      <formula>"Não montado"</formula>
    </cfRule>
  </conditionalFormatting>
  <dataValidations count="1">
    <dataValidation type="list" allowBlank="1" sqref="AL593:AM807 AL852:AL880 AL96:AM172 AO173:AO208 AL209:AM225 AO226:AO272 AL273:AM278 AJ808:AK851 AM3:AO95 AM226:AM272 AM173:AM208 AM279:AM592 AO279:AO880 AN173:AN592" xr:uid="{00000000-0002-0000-0000-000000000000}">
      <formula1>"Não montado,Em andamento,Montado"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Paulo Alexandre de Almeida Vilarinho</dc:creator>
  <dc:description/>
  <cp:lastModifiedBy>Lourenco Souza do Bomfim</cp:lastModifiedBy>
  <cp:revision>0</cp:revision>
  <dcterms:created xsi:type="dcterms:W3CDTF">2026-04-21T17:12:37Z</dcterms:created>
  <dcterms:modified xsi:type="dcterms:W3CDTF">2026-10-07T17:18:46Z</dcterms:modified>
  <dc:language>en-US</dc:language>
</cp:coreProperties>
</file>